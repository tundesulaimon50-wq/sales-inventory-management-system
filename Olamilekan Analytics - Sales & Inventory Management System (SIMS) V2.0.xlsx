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 \files\"/>
    </mc:Choice>
  </mc:AlternateContent>
  <xr:revisionPtr revIDLastSave="0" documentId="13_ncr:1_{72878B55-DE87-4F63-BC00-89AFCFF6D8CB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User Guide" sheetId="10" r:id="rId1"/>
    <sheet name="Dashboard" sheetId="1" r:id="rId2"/>
    <sheet name="Product Master" sheetId="2" r:id="rId3"/>
    <sheet name="Daily Sales Entry" sheetId="3" r:id="rId4"/>
    <sheet name="Stock Purchase" sheetId="4" r:id="rId5"/>
    <sheet name="Inventory" sheetId="5" r:id="rId6"/>
    <sheet name="Stock Adjustment" sheetId="15" r:id="rId7"/>
    <sheet name="Expenses" sheetId="6" r:id="rId8"/>
    <sheet name="Budget" sheetId="7" r:id="rId9"/>
    <sheet name="Suppliers" sheetId="11" r:id="rId10"/>
    <sheet name="REPORTS" sheetId="12" state="hidden" r:id="rId11"/>
    <sheet name="Product Search" sheetId="13" r:id="rId12"/>
    <sheet name="List" sheetId="8" state="hidden" r:id="rId13"/>
    <sheet name="Sheet1" sheetId="14" state="hidden" r:id="rId14"/>
  </sheets>
  <definedNames>
    <definedName name="a">List!$A$2:$A$13</definedName>
    <definedName name="AdjustmentTypes">List!$L$2:$L$6</definedName>
    <definedName name="BudgetCategoryList">List!$I$2:$I$14</definedName>
    <definedName name="CashierList">List!$G$2:$G$4</definedName>
    <definedName name="CashierLists">List!$G$2:$G$6</definedName>
    <definedName name="CategoryList">List!$A$2:$A$13</definedName>
    <definedName name="CategoryLists">List!$A$2:$A$17</definedName>
    <definedName name="DateList">List!$J$2:$J$32</definedName>
    <definedName name="ddmmyyyy">Table8[Date]</definedName>
    <definedName name="ECategoryList">List!$F$2:$F$8</definedName>
    <definedName name="EPMethod">List!$H$2:$H$3</definedName>
    <definedName name="ExpensesCategoryList">List!$F$2:$F$14</definedName>
    <definedName name="PaymentMethodList">List!$H$2:$H$5</definedName>
    <definedName name="ProductID">List!$K$2:$K$51</definedName>
    <definedName name="ProductList">List!$B$2:$B$12</definedName>
    <definedName name="ProductNames">List!$B$2:$B$78</definedName>
    <definedName name="Statuslist">List!$E$2:$E$3</definedName>
    <definedName name="SupplierList">List!$D$2:$D$6</definedName>
    <definedName name="UnitofMeasures">List!$C$2:$C$19</definedName>
    <definedName name="Uomlist">List!$C$2:$C$18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E3" i="7" s="1"/>
  <c r="D4" i="7"/>
  <c r="E4" i="7" s="1"/>
  <c r="D5" i="7"/>
  <c r="E5" i="7" s="1"/>
  <c r="D6" i="7"/>
  <c r="E6" i="7" s="1"/>
  <c r="D7" i="7"/>
  <c r="E7" i="7" s="1"/>
  <c r="D8" i="7"/>
  <c r="E8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D33" i="7"/>
  <c r="E33" i="7" s="1"/>
  <c r="D34" i="7"/>
  <c r="E34" i="7" s="1"/>
  <c r="D35" i="7"/>
  <c r="E35" i="7" s="1"/>
  <c r="D36" i="7"/>
  <c r="E36" i="7" s="1"/>
  <c r="D37" i="7"/>
  <c r="E37" i="7" s="1"/>
  <c r="D38" i="7"/>
  <c r="E38" i="7" s="1"/>
  <c r="D39" i="7"/>
  <c r="E39" i="7" s="1"/>
  <c r="D40" i="7"/>
  <c r="E40" i="7" s="1"/>
  <c r="D41" i="7"/>
  <c r="E41" i="7" s="1"/>
  <c r="D42" i="7"/>
  <c r="E42" i="7" s="1"/>
  <c r="D43" i="7"/>
  <c r="E43" i="7" s="1"/>
  <c r="D44" i="7"/>
  <c r="E44" i="7" s="1"/>
  <c r="D45" i="7"/>
  <c r="E45" i="7" s="1"/>
  <c r="D46" i="7"/>
  <c r="E46" i="7" s="1"/>
  <c r="D47" i="7"/>
  <c r="E47" i="7" s="1"/>
  <c r="D48" i="7"/>
  <c r="E48" i="7" s="1"/>
  <c r="D49" i="7"/>
  <c r="E49" i="7" s="1"/>
  <c r="D50" i="7"/>
  <c r="E50" i="7" s="1"/>
  <c r="D51" i="7"/>
  <c r="E51" i="7" s="1"/>
  <c r="D52" i="7"/>
  <c r="E52" i="7" s="1"/>
  <c r="D53" i="7"/>
  <c r="E53" i="7" s="1"/>
  <c r="D54" i="7"/>
  <c r="E54" i="7" s="1"/>
  <c r="D55" i="7"/>
  <c r="E55" i="7" s="1"/>
  <c r="D56" i="7"/>
  <c r="E56" i="7" s="1"/>
  <c r="D57" i="7"/>
  <c r="E57" i="7" s="1"/>
  <c r="D58" i="7"/>
  <c r="E58" i="7" s="1"/>
  <c r="D59" i="7"/>
  <c r="E59" i="7" s="1"/>
  <c r="D60" i="7"/>
  <c r="E60" i="7" s="1"/>
  <c r="D61" i="7"/>
  <c r="E61" i="7" s="1"/>
  <c r="D62" i="7"/>
  <c r="E62" i="7" s="1"/>
  <c r="D63" i="7"/>
  <c r="E63" i="7" s="1"/>
  <c r="D64" i="7"/>
  <c r="E64" i="7" s="1"/>
  <c r="D65" i="7"/>
  <c r="E65" i="7" s="1"/>
  <c r="D66" i="7"/>
  <c r="E66" i="7" s="1"/>
  <c r="D67" i="7"/>
  <c r="E67" i="7" s="1"/>
  <c r="D68" i="7"/>
  <c r="E68" i="7" s="1"/>
  <c r="D69" i="7"/>
  <c r="E69" i="7" s="1"/>
  <c r="D70" i="7"/>
  <c r="E70" i="7" s="1"/>
  <c r="D71" i="7"/>
  <c r="E71" i="7" s="1"/>
  <c r="D72" i="7"/>
  <c r="E72" i="7" s="1"/>
  <c r="D73" i="7"/>
  <c r="E73" i="7" s="1"/>
  <c r="D74" i="7"/>
  <c r="E74" i="7" s="1"/>
  <c r="D75" i="7"/>
  <c r="E75" i="7" s="1"/>
  <c r="D76" i="7"/>
  <c r="E76" i="7" s="1"/>
  <c r="D77" i="7"/>
  <c r="E77" i="7" s="1"/>
  <c r="D78" i="7"/>
  <c r="E78" i="7" s="1"/>
  <c r="D79" i="7"/>
  <c r="E79" i="7" s="1"/>
  <c r="D80" i="7"/>
  <c r="E80" i="7" s="1"/>
  <c r="D81" i="7"/>
  <c r="E81" i="7" s="1"/>
  <c r="D82" i="7"/>
  <c r="E82" i="7" s="1"/>
  <c r="D83" i="7"/>
  <c r="E83" i="7" s="1"/>
  <c r="D84" i="7"/>
  <c r="E84" i="7" s="1"/>
  <c r="D85" i="7"/>
  <c r="E85" i="7" s="1"/>
  <c r="D86" i="7"/>
  <c r="E86" i="7" s="1"/>
  <c r="D87" i="7"/>
  <c r="E87" i="7" s="1"/>
  <c r="D88" i="7"/>
  <c r="E88" i="7" s="1"/>
  <c r="D89" i="7"/>
  <c r="E89" i="7" s="1"/>
  <c r="D90" i="7"/>
  <c r="E90" i="7" s="1"/>
  <c r="D91" i="7"/>
  <c r="E91" i="7" s="1"/>
  <c r="D92" i="7"/>
  <c r="E92" i="7" s="1"/>
  <c r="D93" i="7"/>
  <c r="E93" i="7" s="1"/>
  <c r="D94" i="7"/>
  <c r="E94" i="7" s="1"/>
  <c r="D95" i="7"/>
  <c r="E95" i="7" s="1"/>
  <c r="D96" i="7"/>
  <c r="E96" i="7" s="1"/>
  <c r="D97" i="7"/>
  <c r="E97" i="7" s="1"/>
  <c r="D98" i="7"/>
  <c r="E98" i="7" s="1"/>
  <c r="D99" i="7"/>
  <c r="E99" i="7" s="1"/>
  <c r="D100" i="7"/>
  <c r="E100" i="7" s="1"/>
  <c r="D101" i="7"/>
  <c r="E101" i="7" s="1"/>
  <c r="D102" i="7"/>
  <c r="E102" i="7" s="1"/>
  <c r="D103" i="7"/>
  <c r="E103" i="7" s="1"/>
  <c r="D104" i="7"/>
  <c r="E104" i="7" s="1"/>
  <c r="D105" i="7"/>
  <c r="E105" i="7" s="1"/>
  <c r="D106" i="7"/>
  <c r="E106" i="7" s="1"/>
  <c r="D107" i="7"/>
  <c r="E107" i="7" s="1"/>
  <c r="D108" i="7"/>
  <c r="E108" i="7" s="1"/>
  <c r="D109" i="7"/>
  <c r="E109" i="7" s="1"/>
  <c r="D110" i="7"/>
  <c r="E110" i="7" s="1"/>
  <c r="D111" i="7"/>
  <c r="E111" i="7" s="1"/>
  <c r="D112" i="7"/>
  <c r="E112" i="7" s="1"/>
  <c r="D113" i="7"/>
  <c r="E113" i="7" s="1"/>
  <c r="D114" i="7"/>
  <c r="E114" i="7" s="1"/>
  <c r="D115" i="7"/>
  <c r="E115" i="7" s="1"/>
  <c r="D116" i="7"/>
  <c r="E116" i="7" s="1"/>
  <c r="D117" i="7"/>
  <c r="E117" i="7" s="1"/>
  <c r="D118" i="7"/>
  <c r="E118" i="7" s="1"/>
  <c r="D119" i="7"/>
  <c r="E119" i="7" s="1"/>
  <c r="D120" i="7"/>
  <c r="E120" i="7" s="1"/>
  <c r="D121" i="7"/>
  <c r="E121" i="7" s="1"/>
  <c r="D122" i="7"/>
  <c r="E122" i="7" s="1"/>
  <c r="D123" i="7"/>
  <c r="E123" i="7" s="1"/>
  <c r="D124" i="7"/>
  <c r="E124" i="7" s="1"/>
  <c r="D125" i="7"/>
  <c r="E125" i="7" s="1"/>
  <c r="D126" i="7"/>
  <c r="E126" i="7" s="1"/>
  <c r="D127" i="7"/>
  <c r="E127" i="7" s="1"/>
  <c r="D128" i="7"/>
  <c r="E128" i="7" s="1"/>
  <c r="D129" i="7"/>
  <c r="E129" i="7" s="1"/>
  <c r="D130" i="7"/>
  <c r="E130" i="7" s="1"/>
  <c r="D131" i="7"/>
  <c r="E131" i="7" s="1"/>
  <c r="D132" i="7"/>
  <c r="E132" i="7" s="1"/>
  <c r="D133" i="7"/>
  <c r="E133" i="7" s="1"/>
  <c r="D134" i="7"/>
  <c r="E134" i="7" s="1"/>
  <c r="D135" i="7"/>
  <c r="E135" i="7" s="1"/>
  <c r="D136" i="7"/>
  <c r="E136" i="7" s="1"/>
  <c r="D137" i="7"/>
  <c r="E137" i="7" s="1"/>
  <c r="D138" i="7"/>
  <c r="E138" i="7" s="1"/>
  <c r="D139" i="7"/>
  <c r="E139" i="7" s="1"/>
  <c r="D140" i="7"/>
  <c r="E140" i="7" s="1"/>
  <c r="D141" i="7"/>
  <c r="E141" i="7" s="1"/>
  <c r="D142" i="7"/>
  <c r="E142" i="7" s="1"/>
  <c r="D143" i="7"/>
  <c r="E143" i="7" s="1"/>
  <c r="D144" i="7"/>
  <c r="E144" i="7" s="1"/>
  <c r="D145" i="7"/>
  <c r="E145" i="7" s="1"/>
  <c r="D146" i="7"/>
  <c r="E146" i="7" s="1"/>
  <c r="D147" i="7"/>
  <c r="E147" i="7" s="1"/>
  <c r="D148" i="7"/>
  <c r="E148" i="7" s="1"/>
  <c r="D149" i="7"/>
  <c r="E149" i="7" s="1"/>
  <c r="D150" i="7"/>
  <c r="E150" i="7" s="1"/>
  <c r="D151" i="7"/>
  <c r="E151" i="7" s="1"/>
  <c r="D152" i="7"/>
  <c r="E152" i="7" s="1"/>
  <c r="D153" i="7"/>
  <c r="E153" i="7" s="1"/>
  <c r="D154" i="7"/>
  <c r="E154" i="7" s="1"/>
  <c r="D155" i="7"/>
  <c r="E155" i="7" s="1"/>
  <c r="D156" i="7"/>
  <c r="E156" i="7" s="1"/>
  <c r="D157" i="7"/>
  <c r="E157" i="7" s="1"/>
  <c r="D158" i="7"/>
  <c r="E158" i="7" s="1"/>
  <c r="D159" i="7"/>
  <c r="E159" i="7" s="1"/>
  <c r="D160" i="7"/>
  <c r="E160" i="7" s="1"/>
  <c r="D161" i="7"/>
  <c r="E161" i="7" s="1"/>
  <c r="D162" i="7"/>
  <c r="E162" i="7" s="1"/>
  <c r="D163" i="7"/>
  <c r="E163" i="7" s="1"/>
  <c r="D164" i="7"/>
  <c r="E164" i="7" s="1"/>
  <c r="D165" i="7"/>
  <c r="E165" i="7" s="1"/>
  <c r="D166" i="7"/>
  <c r="E166" i="7" s="1"/>
  <c r="D167" i="7"/>
  <c r="E167" i="7" s="1"/>
  <c r="D168" i="7"/>
  <c r="E168" i="7" s="1"/>
  <c r="D169" i="7"/>
  <c r="E169" i="7" s="1"/>
  <c r="D170" i="7"/>
  <c r="E170" i="7" s="1"/>
  <c r="D171" i="7"/>
  <c r="E171" i="7" s="1"/>
  <c r="D172" i="7"/>
  <c r="E172" i="7" s="1"/>
  <c r="D173" i="7"/>
  <c r="E173" i="7" s="1"/>
  <c r="D174" i="7"/>
  <c r="E174" i="7" s="1"/>
  <c r="D175" i="7"/>
  <c r="E175" i="7" s="1"/>
  <c r="D176" i="7"/>
  <c r="E176" i="7" s="1"/>
  <c r="D177" i="7"/>
  <c r="E177" i="7" s="1"/>
  <c r="D178" i="7"/>
  <c r="E178" i="7" s="1"/>
  <c r="D179" i="7"/>
  <c r="E179" i="7" s="1"/>
  <c r="D180" i="7"/>
  <c r="E180" i="7" s="1"/>
  <c r="D181" i="7"/>
  <c r="E181" i="7" s="1"/>
  <c r="D182" i="7"/>
  <c r="E182" i="7" s="1"/>
  <c r="D183" i="7"/>
  <c r="E183" i="7" s="1"/>
  <c r="D184" i="7"/>
  <c r="E184" i="7" s="1"/>
  <c r="D185" i="7"/>
  <c r="E185" i="7" s="1"/>
  <c r="D186" i="7"/>
  <c r="E186" i="7" s="1"/>
  <c r="D187" i="7"/>
  <c r="E187" i="7" s="1"/>
  <c r="D188" i="7"/>
  <c r="E188" i="7" s="1"/>
  <c r="D189" i="7"/>
  <c r="E189" i="7" s="1"/>
  <c r="D190" i="7"/>
  <c r="E190" i="7" s="1"/>
  <c r="D191" i="7"/>
  <c r="E191" i="7" s="1"/>
  <c r="D192" i="7"/>
  <c r="E192" i="7" s="1"/>
  <c r="D193" i="7"/>
  <c r="E193" i="7" s="1"/>
  <c r="D194" i="7"/>
  <c r="E194" i="7" s="1"/>
  <c r="D195" i="7"/>
  <c r="E195" i="7" s="1"/>
  <c r="D196" i="7"/>
  <c r="E196" i="7" s="1"/>
  <c r="D197" i="7"/>
  <c r="E197" i="7" s="1"/>
  <c r="D198" i="7"/>
  <c r="E198" i="7" s="1"/>
  <c r="D199" i="7"/>
  <c r="E199" i="7" s="1"/>
  <c r="D200" i="7"/>
  <c r="E200" i="7" s="1"/>
  <c r="P30" i="1" l="1"/>
  <c r="P31" i="1"/>
  <c r="P32" i="1"/>
  <c r="P33" i="1"/>
  <c r="P38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O30" i="1"/>
  <c r="O31" i="1"/>
  <c r="O32" i="1"/>
  <c r="O33" i="1"/>
  <c r="O38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V11" i="1" l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V12" i="1" l="1"/>
  <c r="V13" i="1" s="1"/>
  <c r="V14" i="1" s="1"/>
  <c r="V15" i="1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E62" i="14"/>
  <c r="E61" i="14"/>
  <c r="E60" i="14"/>
  <c r="E59" i="14"/>
  <c r="E58" i="14"/>
  <c r="E57" i="14"/>
  <c r="E56" i="14"/>
  <c r="E55" i="14"/>
  <c r="E54" i="14"/>
  <c r="E53" i="14"/>
  <c r="E52" i="14"/>
  <c r="E51" i="14"/>
  <c r="B54" i="14"/>
  <c r="B53" i="14"/>
  <c r="B52" i="14"/>
  <c r="B51" i="14"/>
  <c r="B50" i="14"/>
  <c r="D8" i="14"/>
  <c r="B29" i="14"/>
  <c r="B28" i="14"/>
  <c r="B27" i="14"/>
  <c r="B26" i="14"/>
  <c r="B24" i="14"/>
  <c r="B23" i="14"/>
  <c r="B22" i="14"/>
  <c r="B20" i="14"/>
  <c r="B19" i="14"/>
  <c r="B18" i="14"/>
  <c r="B17" i="14"/>
  <c r="B16" i="14"/>
  <c r="B15" i="14"/>
  <c r="B13" i="14"/>
  <c r="B12" i="14"/>
  <c r="B11" i="14"/>
  <c r="B10" i="14"/>
  <c r="B9" i="14"/>
  <c r="B8" i="14"/>
  <c r="B7" i="14"/>
  <c r="B6" i="14"/>
  <c r="V16" i="1" l="1"/>
  <c r="V17" i="1" s="1"/>
  <c r="W17" i="1" s="1"/>
  <c r="W14" i="1"/>
  <c r="W12" i="1"/>
  <c r="W15" i="1"/>
  <c r="W13" i="1"/>
  <c r="W11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2" i="3"/>
  <c r="J2" i="8"/>
  <c r="J3" i="8" s="1"/>
  <c r="J4" i="8" s="1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C6" i="13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B5" i="1"/>
  <c r="H33" i="3"/>
  <c r="H34" i="3"/>
  <c r="J34" i="3" s="1"/>
  <c r="L34" i="3" s="1"/>
  <c r="H35" i="3"/>
  <c r="J35" i="3" s="1"/>
  <c r="L35" i="3" s="1"/>
  <c r="H36" i="3"/>
  <c r="J36" i="3" s="1"/>
  <c r="L36" i="3" s="1"/>
  <c r="H37" i="3"/>
  <c r="J37" i="3" s="1"/>
  <c r="H38" i="3"/>
  <c r="J38" i="3" s="1"/>
  <c r="L38" i="3" s="1"/>
  <c r="H39" i="3"/>
  <c r="J39" i="3" s="1"/>
  <c r="L39" i="3" s="1"/>
  <c r="H40" i="3"/>
  <c r="J40" i="3" s="1"/>
  <c r="L40" i="3" s="1"/>
  <c r="H41" i="3"/>
  <c r="J41" i="3" s="1"/>
  <c r="L41" i="3" s="1"/>
  <c r="H42" i="3"/>
  <c r="J42" i="3" s="1"/>
  <c r="L42" i="3" s="1"/>
  <c r="H43" i="3"/>
  <c r="J43" i="3" s="1"/>
  <c r="L43" i="3" s="1"/>
  <c r="H44" i="3"/>
  <c r="J44" i="3" s="1"/>
  <c r="L44" i="3" s="1"/>
  <c r="H45" i="3"/>
  <c r="J45" i="3" s="1"/>
  <c r="L45" i="3" s="1"/>
  <c r="H46" i="3"/>
  <c r="J46" i="3" s="1"/>
  <c r="L46" i="3" s="1"/>
  <c r="H47" i="3"/>
  <c r="J47" i="3" s="1"/>
  <c r="L47" i="3" s="1"/>
  <c r="H48" i="3"/>
  <c r="J48" i="3" s="1"/>
  <c r="L48" i="3" s="1"/>
  <c r="H49" i="3"/>
  <c r="J49" i="3" s="1"/>
  <c r="L49" i="3" s="1"/>
  <c r="H50" i="3"/>
  <c r="J50" i="3" s="1"/>
  <c r="L50" i="3" s="1"/>
  <c r="H51" i="3"/>
  <c r="J51" i="3" s="1"/>
  <c r="L51" i="3" s="1"/>
  <c r="H52" i="3"/>
  <c r="J52" i="3" s="1"/>
  <c r="L52" i="3" s="1"/>
  <c r="H53" i="3"/>
  <c r="J53" i="3" s="1"/>
  <c r="L53" i="3" s="1"/>
  <c r="H54" i="3"/>
  <c r="J54" i="3" s="1"/>
  <c r="L54" i="3" s="1"/>
  <c r="H55" i="3"/>
  <c r="J55" i="3" s="1"/>
  <c r="L55" i="3" s="1"/>
  <c r="H56" i="3"/>
  <c r="J56" i="3" s="1"/>
  <c r="L56" i="3" s="1"/>
  <c r="H57" i="3"/>
  <c r="J57" i="3" s="1"/>
  <c r="L57" i="3" s="1"/>
  <c r="H58" i="3"/>
  <c r="J58" i="3" s="1"/>
  <c r="L58" i="3" s="1"/>
  <c r="H59" i="3"/>
  <c r="J59" i="3" s="1"/>
  <c r="L59" i="3" s="1"/>
  <c r="H60" i="3"/>
  <c r="J60" i="3" s="1"/>
  <c r="H61" i="3"/>
  <c r="J61" i="3" s="1"/>
  <c r="L61" i="3" s="1"/>
  <c r="H62" i="3"/>
  <c r="J62" i="3" s="1"/>
  <c r="L62" i="3" s="1"/>
  <c r="H63" i="3"/>
  <c r="J63" i="3" s="1"/>
  <c r="L63" i="3" s="1"/>
  <c r="H64" i="3"/>
  <c r="J64" i="3" s="1"/>
  <c r="L64" i="3" s="1"/>
  <c r="H65" i="3"/>
  <c r="J65" i="3" s="1"/>
  <c r="L65" i="3" s="1"/>
  <c r="H66" i="3"/>
  <c r="J66" i="3" s="1"/>
  <c r="L66" i="3" s="1"/>
  <c r="H67" i="3"/>
  <c r="J67" i="3" s="1"/>
  <c r="L67" i="3" s="1"/>
  <c r="H68" i="3"/>
  <c r="J68" i="3" s="1"/>
  <c r="L68" i="3" s="1"/>
  <c r="H69" i="3"/>
  <c r="J69" i="3" s="1"/>
  <c r="L69" i="3" s="1"/>
  <c r="H70" i="3"/>
  <c r="J70" i="3" s="1"/>
  <c r="L70" i="3" s="1"/>
  <c r="H71" i="3"/>
  <c r="J71" i="3" s="1"/>
  <c r="L71" i="3" s="1"/>
  <c r="H72" i="3"/>
  <c r="J72" i="3" s="1"/>
  <c r="L72" i="3" s="1"/>
  <c r="H73" i="3"/>
  <c r="J73" i="3" s="1"/>
  <c r="H74" i="3"/>
  <c r="J74" i="3" s="1"/>
  <c r="L74" i="3" s="1"/>
  <c r="H75" i="3"/>
  <c r="J75" i="3" s="1"/>
  <c r="L75" i="3" s="1"/>
  <c r="H76" i="3"/>
  <c r="J76" i="3" s="1"/>
  <c r="H77" i="3"/>
  <c r="J77" i="3" s="1"/>
  <c r="L77" i="3" s="1"/>
  <c r="H78" i="3"/>
  <c r="J78" i="3" s="1"/>
  <c r="L78" i="3" s="1"/>
  <c r="H79" i="3"/>
  <c r="J79" i="3" s="1"/>
  <c r="H80" i="3"/>
  <c r="J80" i="3" s="1"/>
  <c r="L80" i="3" s="1"/>
  <c r="H81" i="3"/>
  <c r="J81" i="3" s="1"/>
  <c r="L81" i="3" s="1"/>
  <c r="H82" i="3"/>
  <c r="J82" i="3" s="1"/>
  <c r="L82" i="3" s="1"/>
  <c r="H83" i="3"/>
  <c r="J83" i="3" s="1"/>
  <c r="L83" i="3" s="1"/>
  <c r="H84" i="3"/>
  <c r="J84" i="3" s="1"/>
  <c r="L84" i="3" s="1"/>
  <c r="H85" i="3"/>
  <c r="J85" i="3" s="1"/>
  <c r="L85" i="3" s="1"/>
  <c r="H86" i="3"/>
  <c r="J86" i="3" s="1"/>
  <c r="L86" i="3" s="1"/>
  <c r="H87" i="3"/>
  <c r="J87" i="3" s="1"/>
  <c r="L87" i="3" s="1"/>
  <c r="H88" i="3"/>
  <c r="J88" i="3" s="1"/>
  <c r="L88" i="3" s="1"/>
  <c r="H89" i="3"/>
  <c r="J89" i="3" s="1"/>
  <c r="L89" i="3" s="1"/>
  <c r="H90" i="3"/>
  <c r="J90" i="3" s="1"/>
  <c r="L90" i="3" s="1"/>
  <c r="H91" i="3"/>
  <c r="J91" i="3" s="1"/>
  <c r="L91" i="3" s="1"/>
  <c r="H92" i="3"/>
  <c r="J92" i="3" s="1"/>
  <c r="H93" i="3"/>
  <c r="J93" i="3" s="1"/>
  <c r="L93" i="3" s="1"/>
  <c r="H94" i="3"/>
  <c r="J94" i="3" s="1"/>
  <c r="L94" i="3" s="1"/>
  <c r="H95" i="3"/>
  <c r="J95" i="3" s="1"/>
  <c r="L95" i="3" s="1"/>
  <c r="H96" i="3"/>
  <c r="J96" i="3" s="1"/>
  <c r="L96" i="3" s="1"/>
  <c r="H97" i="3"/>
  <c r="J97" i="3" s="1"/>
  <c r="L97" i="3" s="1"/>
  <c r="H98" i="3"/>
  <c r="J98" i="3" s="1"/>
  <c r="L98" i="3" s="1"/>
  <c r="H99" i="3"/>
  <c r="J99" i="3" s="1"/>
  <c r="L99" i="3" s="1"/>
  <c r="H100" i="3"/>
  <c r="J100" i="3" s="1"/>
  <c r="L100" i="3" s="1"/>
  <c r="H101" i="3"/>
  <c r="J101" i="3" s="1"/>
  <c r="L101" i="3" s="1"/>
  <c r="H102" i="3"/>
  <c r="J102" i="3" s="1"/>
  <c r="L102" i="3" s="1"/>
  <c r="H103" i="3"/>
  <c r="J103" i="3" s="1"/>
  <c r="L103" i="3" s="1"/>
  <c r="H104" i="3"/>
  <c r="J104" i="3" s="1"/>
  <c r="L104" i="3" s="1"/>
  <c r="H105" i="3"/>
  <c r="J105" i="3" s="1"/>
  <c r="H106" i="3"/>
  <c r="J106" i="3" s="1"/>
  <c r="L106" i="3" s="1"/>
  <c r="H107" i="3"/>
  <c r="J107" i="3" s="1"/>
  <c r="L107" i="3" s="1"/>
  <c r="H108" i="3"/>
  <c r="J108" i="3" s="1"/>
  <c r="H109" i="3"/>
  <c r="J109" i="3" s="1"/>
  <c r="L109" i="3" s="1"/>
  <c r="H110" i="3"/>
  <c r="J110" i="3" s="1"/>
  <c r="L110" i="3" s="1"/>
  <c r="H111" i="3"/>
  <c r="J111" i="3" s="1"/>
  <c r="H112" i="3"/>
  <c r="J112" i="3" s="1"/>
  <c r="L112" i="3" s="1"/>
  <c r="H113" i="3"/>
  <c r="J113" i="3" s="1"/>
  <c r="L113" i="3" s="1"/>
  <c r="H114" i="3"/>
  <c r="J114" i="3" s="1"/>
  <c r="L114" i="3" s="1"/>
  <c r="H115" i="3"/>
  <c r="J115" i="3" s="1"/>
  <c r="L115" i="3" s="1"/>
  <c r="H116" i="3"/>
  <c r="J116" i="3" s="1"/>
  <c r="L116" i="3" s="1"/>
  <c r="H117" i="3"/>
  <c r="J117" i="3" s="1"/>
  <c r="L117" i="3" s="1"/>
  <c r="H118" i="3"/>
  <c r="J118" i="3" s="1"/>
  <c r="L118" i="3" s="1"/>
  <c r="H119" i="3"/>
  <c r="J119" i="3" s="1"/>
  <c r="L119" i="3" s="1"/>
  <c r="H120" i="3"/>
  <c r="J120" i="3" s="1"/>
  <c r="L120" i="3" s="1"/>
  <c r="H121" i="3"/>
  <c r="J121" i="3" s="1"/>
  <c r="L121" i="3" s="1"/>
  <c r="H122" i="3"/>
  <c r="J122" i="3" s="1"/>
  <c r="L122" i="3" s="1"/>
  <c r="H123" i="3"/>
  <c r="J123" i="3" s="1"/>
  <c r="L123" i="3" s="1"/>
  <c r="H124" i="3"/>
  <c r="J124" i="3" s="1"/>
  <c r="H125" i="3"/>
  <c r="J125" i="3" s="1"/>
  <c r="L125" i="3" s="1"/>
  <c r="H126" i="3"/>
  <c r="J126" i="3" s="1"/>
  <c r="L126" i="3" s="1"/>
  <c r="H127" i="3"/>
  <c r="J127" i="3" s="1"/>
  <c r="L127" i="3" s="1"/>
  <c r="H128" i="3"/>
  <c r="J128" i="3" s="1"/>
  <c r="L128" i="3" s="1"/>
  <c r="H129" i="3"/>
  <c r="J129" i="3" s="1"/>
  <c r="L129" i="3" s="1"/>
  <c r="H130" i="3"/>
  <c r="J130" i="3" s="1"/>
  <c r="L130" i="3" s="1"/>
  <c r="H131" i="3"/>
  <c r="J131" i="3" s="1"/>
  <c r="L131" i="3" s="1"/>
  <c r="H132" i="3"/>
  <c r="J132" i="3" s="1"/>
  <c r="L132" i="3" s="1"/>
  <c r="H133" i="3"/>
  <c r="J133" i="3" s="1"/>
  <c r="L133" i="3" s="1"/>
  <c r="H134" i="3"/>
  <c r="J134" i="3" s="1"/>
  <c r="L134" i="3" s="1"/>
  <c r="H135" i="3"/>
  <c r="J135" i="3" s="1"/>
  <c r="L135" i="3" s="1"/>
  <c r="H136" i="3"/>
  <c r="J136" i="3" s="1"/>
  <c r="L136" i="3" s="1"/>
  <c r="H137" i="3"/>
  <c r="J137" i="3" s="1"/>
  <c r="H138" i="3"/>
  <c r="J138" i="3" s="1"/>
  <c r="L138" i="3" s="1"/>
  <c r="H139" i="3"/>
  <c r="J139" i="3" s="1"/>
  <c r="L139" i="3" s="1"/>
  <c r="H140" i="3"/>
  <c r="J140" i="3" s="1"/>
  <c r="H141" i="3"/>
  <c r="J141" i="3" s="1"/>
  <c r="L141" i="3" s="1"/>
  <c r="H142" i="3"/>
  <c r="J142" i="3" s="1"/>
  <c r="L142" i="3" s="1"/>
  <c r="H143" i="3"/>
  <c r="J143" i="3" s="1"/>
  <c r="H144" i="3"/>
  <c r="J144" i="3" s="1"/>
  <c r="L144" i="3" s="1"/>
  <c r="H145" i="3"/>
  <c r="J145" i="3" s="1"/>
  <c r="L145" i="3" s="1"/>
  <c r="H146" i="3"/>
  <c r="J146" i="3" s="1"/>
  <c r="L146" i="3" s="1"/>
  <c r="H147" i="3"/>
  <c r="J147" i="3" s="1"/>
  <c r="L147" i="3" s="1"/>
  <c r="H148" i="3"/>
  <c r="J148" i="3" s="1"/>
  <c r="L148" i="3" s="1"/>
  <c r="H149" i="3"/>
  <c r="J149" i="3" s="1"/>
  <c r="L149" i="3" s="1"/>
  <c r="H150" i="3"/>
  <c r="J150" i="3" s="1"/>
  <c r="L150" i="3" s="1"/>
  <c r="H151" i="3"/>
  <c r="J151" i="3" s="1"/>
  <c r="L151" i="3" s="1"/>
  <c r="H152" i="3"/>
  <c r="J152" i="3" s="1"/>
  <c r="L152" i="3" s="1"/>
  <c r="H153" i="3"/>
  <c r="J153" i="3" s="1"/>
  <c r="L153" i="3" s="1"/>
  <c r="H154" i="3"/>
  <c r="J154" i="3" s="1"/>
  <c r="L154" i="3" s="1"/>
  <c r="H155" i="3"/>
  <c r="J155" i="3" s="1"/>
  <c r="L155" i="3" s="1"/>
  <c r="H156" i="3"/>
  <c r="J156" i="3" s="1"/>
  <c r="H157" i="3"/>
  <c r="J157" i="3" s="1"/>
  <c r="L157" i="3" s="1"/>
  <c r="H158" i="3"/>
  <c r="J158" i="3" s="1"/>
  <c r="L158" i="3" s="1"/>
  <c r="H159" i="3"/>
  <c r="J159" i="3" s="1"/>
  <c r="L159" i="3" s="1"/>
  <c r="H160" i="3"/>
  <c r="J160" i="3" s="1"/>
  <c r="L160" i="3" s="1"/>
  <c r="H161" i="3"/>
  <c r="J161" i="3" s="1"/>
  <c r="L161" i="3" s="1"/>
  <c r="H162" i="3"/>
  <c r="J162" i="3" s="1"/>
  <c r="L162" i="3" s="1"/>
  <c r="H163" i="3"/>
  <c r="J163" i="3" s="1"/>
  <c r="L163" i="3" s="1"/>
  <c r="H164" i="3"/>
  <c r="J164" i="3" s="1"/>
  <c r="L164" i="3" s="1"/>
  <c r="H165" i="3"/>
  <c r="J165" i="3" s="1"/>
  <c r="L165" i="3" s="1"/>
  <c r="H166" i="3"/>
  <c r="J166" i="3" s="1"/>
  <c r="L166" i="3" s="1"/>
  <c r="H167" i="3"/>
  <c r="J167" i="3" s="1"/>
  <c r="L167" i="3" s="1"/>
  <c r="H168" i="3"/>
  <c r="J168" i="3" s="1"/>
  <c r="L168" i="3" s="1"/>
  <c r="H169" i="3"/>
  <c r="J169" i="3" s="1"/>
  <c r="H170" i="3"/>
  <c r="J170" i="3" s="1"/>
  <c r="L170" i="3" s="1"/>
  <c r="H171" i="3"/>
  <c r="J171" i="3" s="1"/>
  <c r="L171" i="3" s="1"/>
  <c r="H172" i="3"/>
  <c r="J172" i="3" s="1"/>
  <c r="H173" i="3"/>
  <c r="J173" i="3" s="1"/>
  <c r="L173" i="3" s="1"/>
  <c r="H174" i="3"/>
  <c r="J174" i="3" s="1"/>
  <c r="L174" i="3" s="1"/>
  <c r="H175" i="3"/>
  <c r="J175" i="3" s="1"/>
  <c r="H176" i="3"/>
  <c r="J176" i="3" s="1"/>
  <c r="L176" i="3" s="1"/>
  <c r="H177" i="3"/>
  <c r="J177" i="3" s="1"/>
  <c r="L177" i="3" s="1"/>
  <c r="H178" i="3"/>
  <c r="J178" i="3" s="1"/>
  <c r="L178" i="3" s="1"/>
  <c r="H179" i="3"/>
  <c r="J179" i="3" s="1"/>
  <c r="L179" i="3" s="1"/>
  <c r="H180" i="3"/>
  <c r="J180" i="3" s="1"/>
  <c r="L180" i="3" s="1"/>
  <c r="H181" i="3"/>
  <c r="J181" i="3" s="1"/>
  <c r="L181" i="3" s="1"/>
  <c r="H182" i="3"/>
  <c r="J182" i="3" s="1"/>
  <c r="L182" i="3" s="1"/>
  <c r="H183" i="3"/>
  <c r="J183" i="3" s="1"/>
  <c r="L183" i="3" s="1"/>
  <c r="H184" i="3"/>
  <c r="J184" i="3" s="1"/>
  <c r="L184" i="3" s="1"/>
  <c r="H185" i="3"/>
  <c r="J185" i="3" s="1"/>
  <c r="L185" i="3" s="1"/>
  <c r="H186" i="3"/>
  <c r="J186" i="3" s="1"/>
  <c r="L186" i="3" s="1"/>
  <c r="H187" i="3"/>
  <c r="J187" i="3" s="1"/>
  <c r="L187" i="3" s="1"/>
  <c r="H188" i="3"/>
  <c r="J188" i="3" s="1"/>
  <c r="H189" i="3"/>
  <c r="J189" i="3" s="1"/>
  <c r="L189" i="3" s="1"/>
  <c r="H190" i="3"/>
  <c r="J190" i="3" s="1"/>
  <c r="L190" i="3" s="1"/>
  <c r="H191" i="3"/>
  <c r="J191" i="3" s="1"/>
  <c r="L191" i="3" s="1"/>
  <c r="H192" i="3"/>
  <c r="J192" i="3" s="1"/>
  <c r="L192" i="3" s="1"/>
  <c r="H193" i="3"/>
  <c r="J193" i="3" s="1"/>
  <c r="L193" i="3" s="1"/>
  <c r="H194" i="3"/>
  <c r="J194" i="3" s="1"/>
  <c r="L194" i="3" s="1"/>
  <c r="H195" i="3"/>
  <c r="J195" i="3" s="1"/>
  <c r="L195" i="3" s="1"/>
  <c r="H196" i="3"/>
  <c r="J196" i="3" s="1"/>
  <c r="L196" i="3" s="1"/>
  <c r="H197" i="3"/>
  <c r="J197" i="3" s="1"/>
  <c r="L197" i="3" s="1"/>
  <c r="H198" i="3"/>
  <c r="J198" i="3" s="1"/>
  <c r="L198" i="3" s="1"/>
  <c r="H199" i="3"/>
  <c r="J199" i="3" s="1"/>
  <c r="L199" i="3" s="1"/>
  <c r="H200" i="3"/>
  <c r="J200" i="3" s="1"/>
  <c r="L200" i="3" s="1"/>
  <c r="H201" i="3"/>
  <c r="J201" i="3" s="1"/>
  <c r="H202" i="3"/>
  <c r="J202" i="3" s="1"/>
  <c r="L202" i="3" s="1"/>
  <c r="H203" i="3"/>
  <c r="J203" i="3" s="1"/>
  <c r="L203" i="3" s="1"/>
  <c r="H204" i="3"/>
  <c r="J204" i="3" s="1"/>
  <c r="H205" i="3"/>
  <c r="J205" i="3" s="1"/>
  <c r="L205" i="3" s="1"/>
  <c r="H206" i="3"/>
  <c r="J206" i="3" s="1"/>
  <c r="L206" i="3" s="1"/>
  <c r="H207" i="3"/>
  <c r="J207" i="3" s="1"/>
  <c r="H208" i="3"/>
  <c r="J208" i="3" s="1"/>
  <c r="L208" i="3" s="1"/>
  <c r="H209" i="3"/>
  <c r="J209" i="3" s="1"/>
  <c r="L209" i="3" s="1"/>
  <c r="H210" i="3"/>
  <c r="J210" i="3" s="1"/>
  <c r="L210" i="3" s="1"/>
  <c r="H211" i="3"/>
  <c r="J211" i="3" s="1"/>
  <c r="L211" i="3" s="1"/>
  <c r="H212" i="3"/>
  <c r="J212" i="3" s="1"/>
  <c r="L212" i="3" s="1"/>
  <c r="H213" i="3"/>
  <c r="J213" i="3" s="1"/>
  <c r="L213" i="3" s="1"/>
  <c r="H214" i="3"/>
  <c r="J214" i="3" s="1"/>
  <c r="L214" i="3" s="1"/>
  <c r="H215" i="3"/>
  <c r="J215" i="3" s="1"/>
  <c r="L215" i="3" s="1"/>
  <c r="H216" i="3"/>
  <c r="J216" i="3" s="1"/>
  <c r="L216" i="3" s="1"/>
  <c r="H217" i="3"/>
  <c r="J217" i="3" s="1"/>
  <c r="L217" i="3" s="1"/>
  <c r="H218" i="3"/>
  <c r="J218" i="3" s="1"/>
  <c r="L218" i="3" s="1"/>
  <c r="H219" i="3"/>
  <c r="J219" i="3" s="1"/>
  <c r="L219" i="3" s="1"/>
  <c r="H220" i="3"/>
  <c r="J220" i="3" s="1"/>
  <c r="H221" i="3"/>
  <c r="J221" i="3" s="1"/>
  <c r="L221" i="3" s="1"/>
  <c r="H222" i="3"/>
  <c r="J222" i="3" s="1"/>
  <c r="L222" i="3" s="1"/>
  <c r="H223" i="3"/>
  <c r="J223" i="3" s="1"/>
  <c r="L223" i="3" s="1"/>
  <c r="H224" i="3"/>
  <c r="J224" i="3" s="1"/>
  <c r="L224" i="3" s="1"/>
  <c r="H225" i="3"/>
  <c r="J225" i="3" s="1"/>
  <c r="L225" i="3" s="1"/>
  <c r="H226" i="3"/>
  <c r="J226" i="3" s="1"/>
  <c r="L226" i="3" s="1"/>
  <c r="H227" i="3"/>
  <c r="J227" i="3" s="1"/>
  <c r="L227" i="3" s="1"/>
  <c r="H228" i="3"/>
  <c r="J228" i="3" s="1"/>
  <c r="L228" i="3" s="1"/>
  <c r="H229" i="3"/>
  <c r="J229" i="3" s="1"/>
  <c r="L229" i="3" s="1"/>
  <c r="H230" i="3"/>
  <c r="J230" i="3" s="1"/>
  <c r="L230" i="3" s="1"/>
  <c r="H231" i="3"/>
  <c r="J231" i="3" s="1"/>
  <c r="L231" i="3" s="1"/>
  <c r="H232" i="3"/>
  <c r="J232" i="3" s="1"/>
  <c r="L232" i="3" s="1"/>
  <c r="H233" i="3"/>
  <c r="J233" i="3" s="1"/>
  <c r="H234" i="3"/>
  <c r="J234" i="3" s="1"/>
  <c r="L234" i="3" s="1"/>
  <c r="H235" i="3"/>
  <c r="J235" i="3" s="1"/>
  <c r="L235" i="3" s="1"/>
  <c r="H236" i="3"/>
  <c r="J236" i="3" s="1"/>
  <c r="H237" i="3"/>
  <c r="J237" i="3" s="1"/>
  <c r="L237" i="3" s="1"/>
  <c r="H238" i="3"/>
  <c r="J238" i="3" s="1"/>
  <c r="L238" i="3" s="1"/>
  <c r="H239" i="3"/>
  <c r="J239" i="3" s="1"/>
  <c r="H240" i="3"/>
  <c r="J240" i="3" s="1"/>
  <c r="L240" i="3" s="1"/>
  <c r="H241" i="3"/>
  <c r="J241" i="3" s="1"/>
  <c r="L241" i="3" s="1"/>
  <c r="H242" i="3"/>
  <c r="J242" i="3" s="1"/>
  <c r="L242" i="3" s="1"/>
  <c r="H243" i="3"/>
  <c r="J243" i="3" s="1"/>
  <c r="L243" i="3" s="1"/>
  <c r="H244" i="3"/>
  <c r="J244" i="3" s="1"/>
  <c r="L244" i="3" s="1"/>
  <c r="H245" i="3"/>
  <c r="J245" i="3" s="1"/>
  <c r="L245" i="3" s="1"/>
  <c r="H246" i="3"/>
  <c r="J246" i="3" s="1"/>
  <c r="L246" i="3" s="1"/>
  <c r="H247" i="3"/>
  <c r="J247" i="3" s="1"/>
  <c r="L247" i="3" s="1"/>
  <c r="H248" i="3"/>
  <c r="J248" i="3" s="1"/>
  <c r="L248" i="3" s="1"/>
  <c r="H249" i="3"/>
  <c r="J249" i="3" s="1"/>
  <c r="L249" i="3" s="1"/>
  <c r="H250" i="3"/>
  <c r="J250" i="3" s="1"/>
  <c r="L250" i="3" s="1"/>
  <c r="H251" i="3"/>
  <c r="J251" i="3" s="1"/>
  <c r="L251" i="3" s="1"/>
  <c r="H252" i="3"/>
  <c r="J252" i="3" s="1"/>
  <c r="H253" i="3"/>
  <c r="J253" i="3" s="1"/>
  <c r="L253" i="3" s="1"/>
  <c r="H254" i="3"/>
  <c r="J254" i="3" s="1"/>
  <c r="L254" i="3" s="1"/>
  <c r="H255" i="3"/>
  <c r="J255" i="3" s="1"/>
  <c r="L255" i="3" s="1"/>
  <c r="H256" i="3"/>
  <c r="J256" i="3" s="1"/>
  <c r="L256" i="3" s="1"/>
  <c r="H257" i="3"/>
  <c r="J257" i="3" s="1"/>
  <c r="L257" i="3" s="1"/>
  <c r="H258" i="3"/>
  <c r="J258" i="3" s="1"/>
  <c r="L258" i="3" s="1"/>
  <c r="H259" i="3"/>
  <c r="J259" i="3" s="1"/>
  <c r="L259" i="3" s="1"/>
  <c r="H260" i="3"/>
  <c r="J260" i="3" s="1"/>
  <c r="L260" i="3" s="1"/>
  <c r="H261" i="3"/>
  <c r="J261" i="3" s="1"/>
  <c r="L261" i="3" s="1"/>
  <c r="H262" i="3"/>
  <c r="J262" i="3" s="1"/>
  <c r="L262" i="3" s="1"/>
  <c r="H263" i="3"/>
  <c r="J263" i="3" s="1"/>
  <c r="L263" i="3" s="1"/>
  <c r="H264" i="3"/>
  <c r="J264" i="3" s="1"/>
  <c r="L264" i="3" s="1"/>
  <c r="H265" i="3"/>
  <c r="J265" i="3" s="1"/>
  <c r="H266" i="3"/>
  <c r="J266" i="3" s="1"/>
  <c r="L266" i="3" s="1"/>
  <c r="H267" i="3"/>
  <c r="J267" i="3" s="1"/>
  <c r="L267" i="3" s="1"/>
  <c r="H268" i="3"/>
  <c r="J268" i="3" s="1"/>
  <c r="H269" i="3"/>
  <c r="J269" i="3" s="1"/>
  <c r="L269" i="3" s="1"/>
  <c r="H270" i="3"/>
  <c r="J270" i="3" s="1"/>
  <c r="L270" i="3" s="1"/>
  <c r="H271" i="3"/>
  <c r="J271" i="3" s="1"/>
  <c r="H272" i="3"/>
  <c r="J272" i="3" s="1"/>
  <c r="L272" i="3" s="1"/>
  <c r="H273" i="3"/>
  <c r="J273" i="3" s="1"/>
  <c r="L273" i="3" s="1"/>
  <c r="H274" i="3"/>
  <c r="J274" i="3" s="1"/>
  <c r="L274" i="3" s="1"/>
  <c r="H275" i="3"/>
  <c r="J275" i="3" s="1"/>
  <c r="L275" i="3" s="1"/>
  <c r="H276" i="3"/>
  <c r="J276" i="3" s="1"/>
  <c r="L276" i="3" s="1"/>
  <c r="H277" i="3"/>
  <c r="J277" i="3" s="1"/>
  <c r="L277" i="3" s="1"/>
  <c r="H278" i="3"/>
  <c r="J278" i="3" s="1"/>
  <c r="L278" i="3" s="1"/>
  <c r="H279" i="3"/>
  <c r="J279" i="3" s="1"/>
  <c r="L279" i="3" s="1"/>
  <c r="H280" i="3"/>
  <c r="J280" i="3" s="1"/>
  <c r="L280" i="3" s="1"/>
  <c r="H281" i="3"/>
  <c r="J281" i="3" s="1"/>
  <c r="L281" i="3" s="1"/>
  <c r="H282" i="3"/>
  <c r="J282" i="3" s="1"/>
  <c r="L282" i="3" s="1"/>
  <c r="H283" i="3"/>
  <c r="J283" i="3" s="1"/>
  <c r="L283" i="3" s="1"/>
  <c r="H284" i="3"/>
  <c r="J284" i="3" s="1"/>
  <c r="H285" i="3"/>
  <c r="J285" i="3" s="1"/>
  <c r="L285" i="3" s="1"/>
  <c r="H286" i="3"/>
  <c r="J286" i="3" s="1"/>
  <c r="L286" i="3" s="1"/>
  <c r="H287" i="3"/>
  <c r="J287" i="3" s="1"/>
  <c r="L287" i="3" s="1"/>
  <c r="H288" i="3"/>
  <c r="J288" i="3" s="1"/>
  <c r="L288" i="3" s="1"/>
  <c r="H289" i="3"/>
  <c r="J289" i="3" s="1"/>
  <c r="L289" i="3" s="1"/>
  <c r="H290" i="3"/>
  <c r="J290" i="3" s="1"/>
  <c r="L290" i="3" s="1"/>
  <c r="H291" i="3"/>
  <c r="J291" i="3" s="1"/>
  <c r="L291" i="3" s="1"/>
  <c r="H292" i="3"/>
  <c r="J292" i="3" s="1"/>
  <c r="L292" i="3" s="1"/>
  <c r="H293" i="3"/>
  <c r="J293" i="3" s="1"/>
  <c r="L293" i="3" s="1"/>
  <c r="H294" i="3"/>
  <c r="J294" i="3" s="1"/>
  <c r="L294" i="3" s="1"/>
  <c r="H295" i="3"/>
  <c r="J295" i="3" s="1"/>
  <c r="L295" i="3" s="1"/>
  <c r="H296" i="3"/>
  <c r="J296" i="3" s="1"/>
  <c r="L296" i="3" s="1"/>
  <c r="H297" i="3"/>
  <c r="J297" i="3" s="1"/>
  <c r="H298" i="3"/>
  <c r="J298" i="3" s="1"/>
  <c r="L298" i="3" s="1"/>
  <c r="H299" i="3"/>
  <c r="J299" i="3" s="1"/>
  <c r="L299" i="3" s="1"/>
  <c r="H300" i="3"/>
  <c r="J300" i="3" s="1"/>
  <c r="H301" i="3"/>
  <c r="J301" i="3" s="1"/>
  <c r="L301" i="3" s="1"/>
  <c r="H302" i="3"/>
  <c r="J302" i="3" s="1"/>
  <c r="L302" i="3" s="1"/>
  <c r="H303" i="3"/>
  <c r="J303" i="3" s="1"/>
  <c r="H304" i="3"/>
  <c r="J304" i="3" s="1"/>
  <c r="L304" i="3" s="1"/>
  <c r="H305" i="3"/>
  <c r="J305" i="3" s="1"/>
  <c r="L305" i="3" s="1"/>
  <c r="H306" i="3"/>
  <c r="J306" i="3" s="1"/>
  <c r="L306" i="3" s="1"/>
  <c r="H307" i="3"/>
  <c r="J307" i="3" s="1"/>
  <c r="L307" i="3" s="1"/>
  <c r="H308" i="3"/>
  <c r="J308" i="3" s="1"/>
  <c r="L308" i="3" s="1"/>
  <c r="H309" i="3"/>
  <c r="J309" i="3" s="1"/>
  <c r="L309" i="3" s="1"/>
  <c r="H310" i="3"/>
  <c r="J310" i="3" s="1"/>
  <c r="L310" i="3" s="1"/>
  <c r="H311" i="3"/>
  <c r="J311" i="3" s="1"/>
  <c r="L311" i="3" s="1"/>
  <c r="H312" i="3"/>
  <c r="J312" i="3" s="1"/>
  <c r="L312" i="3" s="1"/>
  <c r="H313" i="3"/>
  <c r="J313" i="3" s="1"/>
  <c r="L313" i="3" s="1"/>
  <c r="H314" i="3"/>
  <c r="J314" i="3" s="1"/>
  <c r="L314" i="3" s="1"/>
  <c r="H315" i="3"/>
  <c r="J315" i="3" s="1"/>
  <c r="L315" i="3" s="1"/>
  <c r="H316" i="3"/>
  <c r="J316" i="3" s="1"/>
  <c r="H317" i="3"/>
  <c r="J317" i="3" s="1"/>
  <c r="L317" i="3" s="1"/>
  <c r="H318" i="3"/>
  <c r="J318" i="3" s="1"/>
  <c r="L318" i="3" s="1"/>
  <c r="H319" i="3"/>
  <c r="J319" i="3" s="1"/>
  <c r="L319" i="3" s="1"/>
  <c r="H320" i="3"/>
  <c r="J320" i="3" s="1"/>
  <c r="L320" i="3" s="1"/>
  <c r="H321" i="3"/>
  <c r="J321" i="3" s="1"/>
  <c r="L321" i="3" s="1"/>
  <c r="H322" i="3"/>
  <c r="J322" i="3" s="1"/>
  <c r="L322" i="3" s="1"/>
  <c r="H323" i="3"/>
  <c r="J323" i="3" s="1"/>
  <c r="L323" i="3" s="1"/>
  <c r="H324" i="3"/>
  <c r="J324" i="3" s="1"/>
  <c r="L324" i="3" s="1"/>
  <c r="H325" i="3"/>
  <c r="J325" i="3" s="1"/>
  <c r="L325" i="3" s="1"/>
  <c r="H326" i="3"/>
  <c r="J326" i="3" s="1"/>
  <c r="L326" i="3" s="1"/>
  <c r="H327" i="3"/>
  <c r="J327" i="3" s="1"/>
  <c r="L327" i="3" s="1"/>
  <c r="H328" i="3"/>
  <c r="J328" i="3" s="1"/>
  <c r="L328" i="3" s="1"/>
  <c r="H329" i="3"/>
  <c r="J329" i="3" s="1"/>
  <c r="H330" i="3"/>
  <c r="J330" i="3" s="1"/>
  <c r="L330" i="3" s="1"/>
  <c r="H331" i="3"/>
  <c r="J331" i="3" s="1"/>
  <c r="L331" i="3" s="1"/>
  <c r="H332" i="3"/>
  <c r="J332" i="3" s="1"/>
  <c r="H333" i="3"/>
  <c r="J333" i="3" s="1"/>
  <c r="L333" i="3" s="1"/>
  <c r="H334" i="3"/>
  <c r="J334" i="3" s="1"/>
  <c r="L334" i="3" s="1"/>
  <c r="H335" i="3"/>
  <c r="J335" i="3" s="1"/>
  <c r="H336" i="3"/>
  <c r="J336" i="3" s="1"/>
  <c r="L336" i="3" s="1"/>
  <c r="H337" i="3"/>
  <c r="J337" i="3" s="1"/>
  <c r="L337" i="3" s="1"/>
  <c r="H338" i="3"/>
  <c r="J338" i="3" s="1"/>
  <c r="L338" i="3" s="1"/>
  <c r="H339" i="3"/>
  <c r="J339" i="3" s="1"/>
  <c r="L339" i="3" s="1"/>
  <c r="H340" i="3"/>
  <c r="J340" i="3" s="1"/>
  <c r="L340" i="3" s="1"/>
  <c r="H341" i="3"/>
  <c r="J341" i="3" s="1"/>
  <c r="L341" i="3" s="1"/>
  <c r="H342" i="3"/>
  <c r="J342" i="3" s="1"/>
  <c r="L342" i="3" s="1"/>
  <c r="H343" i="3"/>
  <c r="J343" i="3" s="1"/>
  <c r="L343" i="3" s="1"/>
  <c r="H344" i="3"/>
  <c r="J344" i="3" s="1"/>
  <c r="L344" i="3" s="1"/>
  <c r="H345" i="3"/>
  <c r="J345" i="3" s="1"/>
  <c r="L345" i="3" s="1"/>
  <c r="H346" i="3"/>
  <c r="J346" i="3" s="1"/>
  <c r="L346" i="3" s="1"/>
  <c r="H347" i="3"/>
  <c r="J347" i="3" s="1"/>
  <c r="L347" i="3" s="1"/>
  <c r="H348" i="3"/>
  <c r="J348" i="3" s="1"/>
  <c r="H349" i="3"/>
  <c r="J349" i="3" s="1"/>
  <c r="L349" i="3" s="1"/>
  <c r="H350" i="3"/>
  <c r="J350" i="3" s="1"/>
  <c r="L350" i="3" s="1"/>
  <c r="H351" i="3"/>
  <c r="J351" i="3" s="1"/>
  <c r="L351" i="3" s="1"/>
  <c r="H352" i="3"/>
  <c r="J352" i="3" s="1"/>
  <c r="L352" i="3" s="1"/>
  <c r="H353" i="3"/>
  <c r="J353" i="3" s="1"/>
  <c r="L353" i="3" s="1"/>
  <c r="H354" i="3"/>
  <c r="J354" i="3" s="1"/>
  <c r="L354" i="3" s="1"/>
  <c r="H355" i="3"/>
  <c r="J355" i="3" s="1"/>
  <c r="L355" i="3" s="1"/>
  <c r="H356" i="3"/>
  <c r="J356" i="3" s="1"/>
  <c r="L356" i="3" s="1"/>
  <c r="H357" i="3"/>
  <c r="J357" i="3" s="1"/>
  <c r="L357" i="3" s="1"/>
  <c r="H358" i="3"/>
  <c r="J358" i="3" s="1"/>
  <c r="L358" i="3" s="1"/>
  <c r="H359" i="3"/>
  <c r="J359" i="3" s="1"/>
  <c r="L359" i="3" s="1"/>
  <c r="H360" i="3"/>
  <c r="J360" i="3" s="1"/>
  <c r="L360" i="3" s="1"/>
  <c r="H361" i="3"/>
  <c r="J361" i="3" s="1"/>
  <c r="H362" i="3"/>
  <c r="J362" i="3" s="1"/>
  <c r="L362" i="3" s="1"/>
  <c r="H363" i="3"/>
  <c r="J363" i="3" s="1"/>
  <c r="L363" i="3" s="1"/>
  <c r="H364" i="3"/>
  <c r="J364" i="3" s="1"/>
  <c r="H365" i="3"/>
  <c r="J365" i="3" s="1"/>
  <c r="L365" i="3" s="1"/>
  <c r="H366" i="3"/>
  <c r="J366" i="3" s="1"/>
  <c r="L366" i="3" s="1"/>
  <c r="H367" i="3"/>
  <c r="J367" i="3" s="1"/>
  <c r="H368" i="3"/>
  <c r="J368" i="3" s="1"/>
  <c r="L368" i="3" s="1"/>
  <c r="H369" i="3"/>
  <c r="J369" i="3" s="1"/>
  <c r="L369" i="3" s="1"/>
  <c r="H370" i="3"/>
  <c r="J370" i="3" s="1"/>
  <c r="L370" i="3" s="1"/>
  <c r="H371" i="3"/>
  <c r="J371" i="3" s="1"/>
  <c r="L371" i="3" s="1"/>
  <c r="H372" i="3"/>
  <c r="J372" i="3" s="1"/>
  <c r="L372" i="3" s="1"/>
  <c r="H373" i="3"/>
  <c r="J373" i="3" s="1"/>
  <c r="L373" i="3" s="1"/>
  <c r="H374" i="3"/>
  <c r="J374" i="3" s="1"/>
  <c r="L374" i="3" s="1"/>
  <c r="H375" i="3"/>
  <c r="J375" i="3" s="1"/>
  <c r="L375" i="3" s="1"/>
  <c r="H376" i="3"/>
  <c r="J376" i="3" s="1"/>
  <c r="L376" i="3" s="1"/>
  <c r="H377" i="3"/>
  <c r="J377" i="3" s="1"/>
  <c r="L377" i="3" s="1"/>
  <c r="H378" i="3"/>
  <c r="J378" i="3" s="1"/>
  <c r="L378" i="3" s="1"/>
  <c r="H379" i="3"/>
  <c r="J379" i="3" s="1"/>
  <c r="L379" i="3" s="1"/>
  <c r="H380" i="3"/>
  <c r="J380" i="3" s="1"/>
  <c r="H381" i="3"/>
  <c r="J381" i="3" s="1"/>
  <c r="L381" i="3" s="1"/>
  <c r="H382" i="3"/>
  <c r="J382" i="3" s="1"/>
  <c r="L382" i="3" s="1"/>
  <c r="H383" i="3"/>
  <c r="J383" i="3" s="1"/>
  <c r="L383" i="3" s="1"/>
  <c r="H384" i="3"/>
  <c r="J384" i="3" s="1"/>
  <c r="L384" i="3" s="1"/>
  <c r="H385" i="3"/>
  <c r="J385" i="3" s="1"/>
  <c r="L385" i="3" s="1"/>
  <c r="H386" i="3"/>
  <c r="J386" i="3" s="1"/>
  <c r="L386" i="3" s="1"/>
  <c r="H387" i="3"/>
  <c r="J387" i="3" s="1"/>
  <c r="L387" i="3" s="1"/>
  <c r="H388" i="3"/>
  <c r="J388" i="3" s="1"/>
  <c r="L388" i="3" s="1"/>
  <c r="H389" i="3"/>
  <c r="J389" i="3" s="1"/>
  <c r="L389" i="3" s="1"/>
  <c r="H390" i="3"/>
  <c r="J390" i="3" s="1"/>
  <c r="L390" i="3" s="1"/>
  <c r="H391" i="3"/>
  <c r="J391" i="3" s="1"/>
  <c r="L391" i="3" s="1"/>
  <c r="H392" i="3"/>
  <c r="J392" i="3" s="1"/>
  <c r="L392" i="3" s="1"/>
  <c r="H393" i="3"/>
  <c r="J393" i="3" s="1"/>
  <c r="H394" i="3"/>
  <c r="J394" i="3" s="1"/>
  <c r="L394" i="3" s="1"/>
  <c r="H395" i="3"/>
  <c r="J395" i="3" s="1"/>
  <c r="L395" i="3" s="1"/>
  <c r="H396" i="3"/>
  <c r="J396" i="3" s="1"/>
  <c r="H397" i="3"/>
  <c r="J397" i="3" s="1"/>
  <c r="L397" i="3" s="1"/>
  <c r="H398" i="3"/>
  <c r="J398" i="3" s="1"/>
  <c r="L398" i="3" s="1"/>
  <c r="H399" i="3"/>
  <c r="J399" i="3" s="1"/>
  <c r="H400" i="3"/>
  <c r="J400" i="3" s="1"/>
  <c r="L400" i="3" s="1"/>
  <c r="H401" i="3"/>
  <c r="J401" i="3" s="1"/>
  <c r="L401" i="3" s="1"/>
  <c r="H402" i="3"/>
  <c r="J402" i="3" s="1"/>
  <c r="L402" i="3" s="1"/>
  <c r="H403" i="3"/>
  <c r="J403" i="3" s="1"/>
  <c r="L403" i="3" s="1"/>
  <c r="H404" i="3"/>
  <c r="J404" i="3" s="1"/>
  <c r="L404" i="3" s="1"/>
  <c r="H405" i="3"/>
  <c r="J405" i="3" s="1"/>
  <c r="L405" i="3" s="1"/>
  <c r="H406" i="3"/>
  <c r="J406" i="3" s="1"/>
  <c r="L406" i="3" s="1"/>
  <c r="H407" i="3"/>
  <c r="J407" i="3" s="1"/>
  <c r="L407" i="3" s="1"/>
  <c r="H408" i="3"/>
  <c r="J408" i="3" s="1"/>
  <c r="L408" i="3" s="1"/>
  <c r="H409" i="3"/>
  <c r="J409" i="3" s="1"/>
  <c r="L409" i="3" s="1"/>
  <c r="H410" i="3"/>
  <c r="J410" i="3" s="1"/>
  <c r="L410" i="3" s="1"/>
  <c r="H411" i="3"/>
  <c r="J411" i="3" s="1"/>
  <c r="L411" i="3" s="1"/>
  <c r="H412" i="3"/>
  <c r="J412" i="3" s="1"/>
  <c r="H413" i="3"/>
  <c r="J413" i="3" s="1"/>
  <c r="L413" i="3" s="1"/>
  <c r="H414" i="3"/>
  <c r="J414" i="3" s="1"/>
  <c r="L414" i="3" s="1"/>
  <c r="H415" i="3"/>
  <c r="J415" i="3" s="1"/>
  <c r="L415" i="3" s="1"/>
  <c r="H416" i="3"/>
  <c r="J416" i="3" s="1"/>
  <c r="L416" i="3" s="1"/>
  <c r="H417" i="3"/>
  <c r="J417" i="3" s="1"/>
  <c r="L417" i="3" s="1"/>
  <c r="H418" i="3"/>
  <c r="J418" i="3" s="1"/>
  <c r="L418" i="3" s="1"/>
  <c r="H419" i="3"/>
  <c r="J419" i="3" s="1"/>
  <c r="L419" i="3" s="1"/>
  <c r="H420" i="3"/>
  <c r="J420" i="3" s="1"/>
  <c r="L420" i="3" s="1"/>
  <c r="H421" i="3"/>
  <c r="J421" i="3" s="1"/>
  <c r="L421" i="3" s="1"/>
  <c r="H422" i="3"/>
  <c r="J422" i="3" s="1"/>
  <c r="L422" i="3" s="1"/>
  <c r="H423" i="3"/>
  <c r="J423" i="3" s="1"/>
  <c r="L423" i="3" s="1"/>
  <c r="H424" i="3"/>
  <c r="J424" i="3" s="1"/>
  <c r="L424" i="3" s="1"/>
  <c r="H425" i="3"/>
  <c r="J425" i="3" s="1"/>
  <c r="H426" i="3"/>
  <c r="J426" i="3" s="1"/>
  <c r="L426" i="3" s="1"/>
  <c r="H427" i="3"/>
  <c r="J427" i="3" s="1"/>
  <c r="L427" i="3" s="1"/>
  <c r="H428" i="3"/>
  <c r="J428" i="3" s="1"/>
  <c r="H429" i="3"/>
  <c r="J429" i="3" s="1"/>
  <c r="L429" i="3" s="1"/>
  <c r="H430" i="3"/>
  <c r="J430" i="3" s="1"/>
  <c r="L430" i="3" s="1"/>
  <c r="H431" i="3"/>
  <c r="J431" i="3" s="1"/>
  <c r="H432" i="3"/>
  <c r="J432" i="3" s="1"/>
  <c r="L432" i="3" s="1"/>
  <c r="H433" i="3"/>
  <c r="J433" i="3" s="1"/>
  <c r="L433" i="3" s="1"/>
  <c r="H434" i="3"/>
  <c r="J434" i="3" s="1"/>
  <c r="L434" i="3" s="1"/>
  <c r="H435" i="3"/>
  <c r="J435" i="3" s="1"/>
  <c r="L435" i="3" s="1"/>
  <c r="H436" i="3"/>
  <c r="J436" i="3" s="1"/>
  <c r="L436" i="3" s="1"/>
  <c r="H437" i="3"/>
  <c r="J437" i="3" s="1"/>
  <c r="L437" i="3" s="1"/>
  <c r="H438" i="3"/>
  <c r="J438" i="3" s="1"/>
  <c r="L438" i="3" s="1"/>
  <c r="H439" i="3"/>
  <c r="J439" i="3" s="1"/>
  <c r="L439" i="3" s="1"/>
  <c r="H440" i="3"/>
  <c r="J440" i="3" s="1"/>
  <c r="L440" i="3" s="1"/>
  <c r="H441" i="3"/>
  <c r="J441" i="3" s="1"/>
  <c r="L441" i="3" s="1"/>
  <c r="H442" i="3"/>
  <c r="J442" i="3" s="1"/>
  <c r="L442" i="3" s="1"/>
  <c r="H443" i="3"/>
  <c r="J443" i="3" s="1"/>
  <c r="L443" i="3" s="1"/>
  <c r="H444" i="3"/>
  <c r="J444" i="3" s="1"/>
  <c r="H445" i="3"/>
  <c r="J445" i="3" s="1"/>
  <c r="L445" i="3" s="1"/>
  <c r="H446" i="3"/>
  <c r="J446" i="3" s="1"/>
  <c r="L446" i="3" s="1"/>
  <c r="H447" i="3"/>
  <c r="J447" i="3" s="1"/>
  <c r="L447" i="3" s="1"/>
  <c r="H448" i="3"/>
  <c r="J448" i="3" s="1"/>
  <c r="L448" i="3" s="1"/>
  <c r="H449" i="3"/>
  <c r="J449" i="3" s="1"/>
  <c r="L449" i="3" s="1"/>
  <c r="H450" i="3"/>
  <c r="J450" i="3" s="1"/>
  <c r="L450" i="3" s="1"/>
  <c r="H451" i="3"/>
  <c r="J451" i="3" s="1"/>
  <c r="L451" i="3" s="1"/>
  <c r="H452" i="3"/>
  <c r="J452" i="3" s="1"/>
  <c r="L452" i="3" s="1"/>
  <c r="H453" i="3"/>
  <c r="J453" i="3" s="1"/>
  <c r="L453" i="3" s="1"/>
  <c r="H454" i="3"/>
  <c r="J454" i="3" s="1"/>
  <c r="L454" i="3" s="1"/>
  <c r="H455" i="3"/>
  <c r="J455" i="3" s="1"/>
  <c r="L455" i="3" s="1"/>
  <c r="H456" i="3"/>
  <c r="J456" i="3" s="1"/>
  <c r="L456" i="3" s="1"/>
  <c r="H457" i="3"/>
  <c r="J457" i="3" s="1"/>
  <c r="H458" i="3"/>
  <c r="J458" i="3" s="1"/>
  <c r="L458" i="3" s="1"/>
  <c r="H459" i="3"/>
  <c r="J459" i="3" s="1"/>
  <c r="L459" i="3" s="1"/>
  <c r="H460" i="3"/>
  <c r="J460" i="3" s="1"/>
  <c r="H461" i="3"/>
  <c r="J461" i="3" s="1"/>
  <c r="L461" i="3" s="1"/>
  <c r="H462" i="3"/>
  <c r="J462" i="3" s="1"/>
  <c r="L462" i="3" s="1"/>
  <c r="H463" i="3"/>
  <c r="J463" i="3" s="1"/>
  <c r="H464" i="3"/>
  <c r="J464" i="3" s="1"/>
  <c r="L464" i="3" s="1"/>
  <c r="H465" i="3"/>
  <c r="J465" i="3" s="1"/>
  <c r="L465" i="3" s="1"/>
  <c r="H466" i="3"/>
  <c r="J466" i="3" s="1"/>
  <c r="L466" i="3" s="1"/>
  <c r="H467" i="3"/>
  <c r="J467" i="3" s="1"/>
  <c r="L467" i="3" s="1"/>
  <c r="H468" i="3"/>
  <c r="J468" i="3" s="1"/>
  <c r="L468" i="3" s="1"/>
  <c r="H469" i="3"/>
  <c r="J469" i="3" s="1"/>
  <c r="L469" i="3" s="1"/>
  <c r="H470" i="3"/>
  <c r="J470" i="3" s="1"/>
  <c r="L470" i="3" s="1"/>
  <c r="H471" i="3"/>
  <c r="J471" i="3" s="1"/>
  <c r="L471" i="3" s="1"/>
  <c r="H472" i="3"/>
  <c r="J472" i="3" s="1"/>
  <c r="L472" i="3" s="1"/>
  <c r="H473" i="3"/>
  <c r="J473" i="3" s="1"/>
  <c r="L473" i="3" s="1"/>
  <c r="H474" i="3"/>
  <c r="J474" i="3" s="1"/>
  <c r="L474" i="3" s="1"/>
  <c r="H475" i="3"/>
  <c r="J475" i="3" s="1"/>
  <c r="L475" i="3" s="1"/>
  <c r="H476" i="3"/>
  <c r="J476" i="3" s="1"/>
  <c r="H477" i="3"/>
  <c r="J477" i="3" s="1"/>
  <c r="L477" i="3" s="1"/>
  <c r="H478" i="3"/>
  <c r="J478" i="3" s="1"/>
  <c r="L478" i="3" s="1"/>
  <c r="H479" i="3"/>
  <c r="J479" i="3" s="1"/>
  <c r="L479" i="3" s="1"/>
  <c r="H480" i="3"/>
  <c r="J480" i="3" s="1"/>
  <c r="L480" i="3" s="1"/>
  <c r="H481" i="3"/>
  <c r="J481" i="3" s="1"/>
  <c r="L481" i="3" s="1"/>
  <c r="H482" i="3"/>
  <c r="J482" i="3" s="1"/>
  <c r="L482" i="3" s="1"/>
  <c r="H483" i="3"/>
  <c r="J483" i="3" s="1"/>
  <c r="L483" i="3" s="1"/>
  <c r="H484" i="3"/>
  <c r="J484" i="3" s="1"/>
  <c r="L484" i="3" s="1"/>
  <c r="H485" i="3"/>
  <c r="J485" i="3" s="1"/>
  <c r="L485" i="3" s="1"/>
  <c r="H486" i="3"/>
  <c r="J486" i="3" s="1"/>
  <c r="L486" i="3" s="1"/>
  <c r="H487" i="3"/>
  <c r="J487" i="3" s="1"/>
  <c r="L487" i="3" s="1"/>
  <c r="H488" i="3"/>
  <c r="J488" i="3" s="1"/>
  <c r="L488" i="3" s="1"/>
  <c r="H489" i="3"/>
  <c r="J489" i="3" s="1"/>
  <c r="H490" i="3"/>
  <c r="J490" i="3" s="1"/>
  <c r="L490" i="3" s="1"/>
  <c r="H491" i="3"/>
  <c r="J491" i="3" s="1"/>
  <c r="L491" i="3" s="1"/>
  <c r="H492" i="3"/>
  <c r="J492" i="3" s="1"/>
  <c r="H493" i="3"/>
  <c r="J493" i="3" s="1"/>
  <c r="L493" i="3" s="1"/>
  <c r="H494" i="3"/>
  <c r="J494" i="3" s="1"/>
  <c r="L494" i="3" s="1"/>
  <c r="H495" i="3"/>
  <c r="J495" i="3" s="1"/>
  <c r="H496" i="3"/>
  <c r="J496" i="3" s="1"/>
  <c r="L496" i="3" s="1"/>
  <c r="H497" i="3"/>
  <c r="J497" i="3" s="1"/>
  <c r="L497" i="3" s="1"/>
  <c r="H498" i="3"/>
  <c r="J498" i="3" s="1"/>
  <c r="L498" i="3" s="1"/>
  <c r="H499" i="3"/>
  <c r="J499" i="3" s="1"/>
  <c r="L499" i="3" s="1"/>
  <c r="H500" i="3"/>
  <c r="J500" i="3" s="1"/>
  <c r="L500" i="3" s="1"/>
  <c r="H501" i="3"/>
  <c r="J501" i="3" s="1"/>
  <c r="L501" i="3" s="1"/>
  <c r="H502" i="3"/>
  <c r="J502" i="3" s="1"/>
  <c r="L502" i="3" s="1"/>
  <c r="H503" i="3"/>
  <c r="J503" i="3" s="1"/>
  <c r="L503" i="3" s="1"/>
  <c r="H504" i="3"/>
  <c r="J504" i="3" s="1"/>
  <c r="L504" i="3" s="1"/>
  <c r="H505" i="3"/>
  <c r="J505" i="3" s="1"/>
  <c r="L505" i="3" s="1"/>
  <c r="H506" i="3"/>
  <c r="J506" i="3" s="1"/>
  <c r="L506" i="3" s="1"/>
  <c r="H507" i="3"/>
  <c r="J507" i="3" s="1"/>
  <c r="L507" i="3" s="1"/>
  <c r="H508" i="3"/>
  <c r="J508" i="3" s="1"/>
  <c r="H509" i="3"/>
  <c r="J509" i="3" s="1"/>
  <c r="L509" i="3" s="1"/>
  <c r="H510" i="3"/>
  <c r="J510" i="3" s="1"/>
  <c r="L510" i="3" s="1"/>
  <c r="H511" i="3"/>
  <c r="J511" i="3" s="1"/>
  <c r="L511" i="3" s="1"/>
  <c r="H512" i="3"/>
  <c r="J512" i="3" s="1"/>
  <c r="L512" i="3" s="1"/>
  <c r="H513" i="3"/>
  <c r="J513" i="3" s="1"/>
  <c r="L513" i="3" s="1"/>
  <c r="H514" i="3"/>
  <c r="J514" i="3" s="1"/>
  <c r="L514" i="3" s="1"/>
  <c r="H515" i="3"/>
  <c r="J515" i="3" s="1"/>
  <c r="L515" i="3" s="1"/>
  <c r="H516" i="3"/>
  <c r="J516" i="3" s="1"/>
  <c r="L516" i="3" s="1"/>
  <c r="H517" i="3"/>
  <c r="J517" i="3" s="1"/>
  <c r="L517" i="3" s="1"/>
  <c r="H518" i="3"/>
  <c r="J518" i="3" s="1"/>
  <c r="L518" i="3" s="1"/>
  <c r="H519" i="3"/>
  <c r="J519" i="3" s="1"/>
  <c r="L519" i="3" s="1"/>
  <c r="H520" i="3"/>
  <c r="J520" i="3" s="1"/>
  <c r="L520" i="3" s="1"/>
  <c r="H521" i="3"/>
  <c r="J521" i="3" s="1"/>
  <c r="H522" i="3"/>
  <c r="J522" i="3" s="1"/>
  <c r="L522" i="3" s="1"/>
  <c r="H523" i="3"/>
  <c r="J523" i="3" s="1"/>
  <c r="L523" i="3" s="1"/>
  <c r="H524" i="3"/>
  <c r="J524" i="3" s="1"/>
  <c r="H525" i="3"/>
  <c r="J525" i="3" s="1"/>
  <c r="L525" i="3" s="1"/>
  <c r="H526" i="3"/>
  <c r="J526" i="3" s="1"/>
  <c r="L526" i="3" s="1"/>
  <c r="H527" i="3"/>
  <c r="J527" i="3" s="1"/>
  <c r="H528" i="3"/>
  <c r="J528" i="3" s="1"/>
  <c r="L528" i="3" s="1"/>
  <c r="H529" i="3"/>
  <c r="J529" i="3" s="1"/>
  <c r="L529" i="3" s="1"/>
  <c r="H530" i="3"/>
  <c r="J530" i="3" s="1"/>
  <c r="L530" i="3" s="1"/>
  <c r="H531" i="3"/>
  <c r="J531" i="3" s="1"/>
  <c r="L531" i="3" s="1"/>
  <c r="H532" i="3"/>
  <c r="J532" i="3" s="1"/>
  <c r="L532" i="3" s="1"/>
  <c r="H533" i="3"/>
  <c r="J533" i="3" s="1"/>
  <c r="L533" i="3" s="1"/>
  <c r="H534" i="3"/>
  <c r="J534" i="3" s="1"/>
  <c r="L534" i="3" s="1"/>
  <c r="H535" i="3"/>
  <c r="J535" i="3" s="1"/>
  <c r="L535" i="3" s="1"/>
  <c r="H536" i="3"/>
  <c r="J536" i="3" s="1"/>
  <c r="L536" i="3" s="1"/>
  <c r="H537" i="3"/>
  <c r="J537" i="3" s="1"/>
  <c r="L537" i="3" s="1"/>
  <c r="H538" i="3"/>
  <c r="J538" i="3" s="1"/>
  <c r="L538" i="3" s="1"/>
  <c r="H539" i="3"/>
  <c r="J539" i="3" s="1"/>
  <c r="L539" i="3" s="1"/>
  <c r="H540" i="3"/>
  <c r="J540" i="3" s="1"/>
  <c r="H541" i="3"/>
  <c r="J541" i="3" s="1"/>
  <c r="L541" i="3" s="1"/>
  <c r="H542" i="3"/>
  <c r="J542" i="3" s="1"/>
  <c r="L542" i="3" s="1"/>
  <c r="H543" i="3"/>
  <c r="J543" i="3" s="1"/>
  <c r="L543" i="3" s="1"/>
  <c r="H544" i="3"/>
  <c r="J544" i="3" s="1"/>
  <c r="L544" i="3" s="1"/>
  <c r="H545" i="3"/>
  <c r="J545" i="3" s="1"/>
  <c r="L545" i="3" s="1"/>
  <c r="H546" i="3"/>
  <c r="J546" i="3" s="1"/>
  <c r="L546" i="3" s="1"/>
  <c r="H547" i="3"/>
  <c r="J547" i="3" s="1"/>
  <c r="L547" i="3" s="1"/>
  <c r="H548" i="3"/>
  <c r="J548" i="3" s="1"/>
  <c r="L548" i="3" s="1"/>
  <c r="H549" i="3"/>
  <c r="J549" i="3" s="1"/>
  <c r="L549" i="3" s="1"/>
  <c r="H550" i="3"/>
  <c r="J550" i="3" s="1"/>
  <c r="L550" i="3" s="1"/>
  <c r="H551" i="3"/>
  <c r="J551" i="3" s="1"/>
  <c r="L551" i="3" s="1"/>
  <c r="H552" i="3"/>
  <c r="J552" i="3" s="1"/>
  <c r="L552" i="3" s="1"/>
  <c r="H553" i="3"/>
  <c r="J553" i="3" s="1"/>
  <c r="H554" i="3"/>
  <c r="J554" i="3" s="1"/>
  <c r="L554" i="3" s="1"/>
  <c r="H555" i="3"/>
  <c r="J555" i="3" s="1"/>
  <c r="L555" i="3" s="1"/>
  <c r="H556" i="3"/>
  <c r="J556" i="3" s="1"/>
  <c r="H557" i="3"/>
  <c r="J557" i="3" s="1"/>
  <c r="L557" i="3" s="1"/>
  <c r="H558" i="3"/>
  <c r="J558" i="3" s="1"/>
  <c r="L558" i="3" s="1"/>
  <c r="H559" i="3"/>
  <c r="J559" i="3" s="1"/>
  <c r="H560" i="3"/>
  <c r="J560" i="3" s="1"/>
  <c r="L560" i="3" s="1"/>
  <c r="H561" i="3"/>
  <c r="J561" i="3" s="1"/>
  <c r="L561" i="3" s="1"/>
  <c r="H562" i="3"/>
  <c r="J562" i="3" s="1"/>
  <c r="L562" i="3" s="1"/>
  <c r="H563" i="3"/>
  <c r="J563" i="3" s="1"/>
  <c r="L563" i="3" s="1"/>
  <c r="H564" i="3"/>
  <c r="J564" i="3" s="1"/>
  <c r="L564" i="3" s="1"/>
  <c r="H565" i="3"/>
  <c r="J565" i="3" s="1"/>
  <c r="L565" i="3" s="1"/>
  <c r="H566" i="3"/>
  <c r="J566" i="3" s="1"/>
  <c r="L566" i="3" s="1"/>
  <c r="H567" i="3"/>
  <c r="J567" i="3" s="1"/>
  <c r="L567" i="3" s="1"/>
  <c r="H568" i="3"/>
  <c r="J568" i="3" s="1"/>
  <c r="L568" i="3" s="1"/>
  <c r="H569" i="3"/>
  <c r="J569" i="3" s="1"/>
  <c r="L569" i="3" s="1"/>
  <c r="H570" i="3"/>
  <c r="J570" i="3" s="1"/>
  <c r="L570" i="3" s="1"/>
  <c r="H571" i="3"/>
  <c r="J571" i="3" s="1"/>
  <c r="L571" i="3" s="1"/>
  <c r="H572" i="3"/>
  <c r="J572" i="3" s="1"/>
  <c r="H573" i="3"/>
  <c r="J573" i="3" s="1"/>
  <c r="L573" i="3" s="1"/>
  <c r="H574" i="3"/>
  <c r="J574" i="3" s="1"/>
  <c r="L574" i="3" s="1"/>
  <c r="H575" i="3"/>
  <c r="J575" i="3" s="1"/>
  <c r="L575" i="3" s="1"/>
  <c r="H576" i="3"/>
  <c r="J576" i="3" s="1"/>
  <c r="L576" i="3" s="1"/>
  <c r="H577" i="3"/>
  <c r="J577" i="3" s="1"/>
  <c r="L577" i="3" s="1"/>
  <c r="H578" i="3"/>
  <c r="J578" i="3" s="1"/>
  <c r="L578" i="3" s="1"/>
  <c r="H579" i="3"/>
  <c r="J579" i="3" s="1"/>
  <c r="L579" i="3" s="1"/>
  <c r="H580" i="3"/>
  <c r="J580" i="3" s="1"/>
  <c r="L580" i="3" s="1"/>
  <c r="H581" i="3"/>
  <c r="J581" i="3" s="1"/>
  <c r="L581" i="3" s="1"/>
  <c r="H582" i="3"/>
  <c r="J582" i="3" s="1"/>
  <c r="L582" i="3" s="1"/>
  <c r="H583" i="3"/>
  <c r="J583" i="3" s="1"/>
  <c r="L583" i="3" s="1"/>
  <c r="H584" i="3"/>
  <c r="J584" i="3" s="1"/>
  <c r="L584" i="3" s="1"/>
  <c r="H585" i="3"/>
  <c r="J585" i="3" s="1"/>
  <c r="L585" i="3" s="1"/>
  <c r="H586" i="3"/>
  <c r="J586" i="3" s="1"/>
  <c r="L586" i="3" s="1"/>
  <c r="H587" i="3"/>
  <c r="J587" i="3" s="1"/>
  <c r="L587" i="3" s="1"/>
  <c r="H588" i="3"/>
  <c r="J588" i="3" s="1"/>
  <c r="L588" i="3" s="1"/>
  <c r="H589" i="3"/>
  <c r="J589" i="3" s="1"/>
  <c r="L589" i="3" s="1"/>
  <c r="H590" i="3"/>
  <c r="J590" i="3" s="1"/>
  <c r="L590" i="3" s="1"/>
  <c r="H591" i="3"/>
  <c r="J591" i="3" s="1"/>
  <c r="L591" i="3" s="1"/>
  <c r="H592" i="3"/>
  <c r="J592" i="3" s="1"/>
  <c r="L592" i="3" s="1"/>
  <c r="H593" i="3"/>
  <c r="J593" i="3" s="1"/>
  <c r="L593" i="3" s="1"/>
  <c r="H594" i="3"/>
  <c r="J594" i="3" s="1"/>
  <c r="L594" i="3" s="1"/>
  <c r="H595" i="3"/>
  <c r="J595" i="3" s="1"/>
  <c r="L595" i="3" s="1"/>
  <c r="H596" i="3"/>
  <c r="J596" i="3" s="1"/>
  <c r="L596" i="3" s="1"/>
  <c r="H597" i="3"/>
  <c r="J597" i="3" s="1"/>
  <c r="L597" i="3" s="1"/>
  <c r="H598" i="3"/>
  <c r="J598" i="3" s="1"/>
  <c r="L598" i="3" s="1"/>
  <c r="H599" i="3"/>
  <c r="J599" i="3" s="1"/>
  <c r="L599" i="3" s="1"/>
  <c r="H600" i="3"/>
  <c r="J600" i="3" s="1"/>
  <c r="L600" i="3" s="1"/>
  <c r="H601" i="3"/>
  <c r="J601" i="3" s="1"/>
  <c r="L601" i="3" s="1"/>
  <c r="H602" i="3"/>
  <c r="J602" i="3" s="1"/>
  <c r="L602" i="3" s="1"/>
  <c r="H603" i="3"/>
  <c r="J603" i="3" s="1"/>
  <c r="L603" i="3" s="1"/>
  <c r="H604" i="3"/>
  <c r="J604" i="3" s="1"/>
  <c r="L604" i="3" s="1"/>
  <c r="H605" i="3"/>
  <c r="J605" i="3" s="1"/>
  <c r="L605" i="3" s="1"/>
  <c r="H606" i="3"/>
  <c r="J606" i="3" s="1"/>
  <c r="L606" i="3" s="1"/>
  <c r="H607" i="3"/>
  <c r="J607" i="3" s="1"/>
  <c r="L607" i="3" s="1"/>
  <c r="H608" i="3"/>
  <c r="J608" i="3" s="1"/>
  <c r="L608" i="3" s="1"/>
  <c r="H609" i="3"/>
  <c r="J609" i="3" s="1"/>
  <c r="L609" i="3" s="1"/>
  <c r="H610" i="3"/>
  <c r="J610" i="3" s="1"/>
  <c r="L610" i="3" s="1"/>
  <c r="H611" i="3"/>
  <c r="J611" i="3" s="1"/>
  <c r="L611" i="3" s="1"/>
  <c r="H612" i="3"/>
  <c r="J612" i="3" s="1"/>
  <c r="L612" i="3" s="1"/>
  <c r="H613" i="3"/>
  <c r="J613" i="3" s="1"/>
  <c r="L613" i="3" s="1"/>
  <c r="H614" i="3"/>
  <c r="J614" i="3" s="1"/>
  <c r="L614" i="3" s="1"/>
  <c r="H615" i="3"/>
  <c r="J615" i="3" s="1"/>
  <c r="L615" i="3" s="1"/>
  <c r="H616" i="3"/>
  <c r="J616" i="3" s="1"/>
  <c r="L616" i="3" s="1"/>
  <c r="H617" i="3"/>
  <c r="J617" i="3" s="1"/>
  <c r="L617" i="3" s="1"/>
  <c r="H618" i="3"/>
  <c r="J618" i="3" s="1"/>
  <c r="L618" i="3" s="1"/>
  <c r="H619" i="3"/>
  <c r="J619" i="3" s="1"/>
  <c r="L619" i="3" s="1"/>
  <c r="H620" i="3"/>
  <c r="J620" i="3" s="1"/>
  <c r="L620" i="3" s="1"/>
  <c r="H621" i="3"/>
  <c r="J621" i="3" s="1"/>
  <c r="L621" i="3" s="1"/>
  <c r="H622" i="3"/>
  <c r="J622" i="3" s="1"/>
  <c r="L622" i="3" s="1"/>
  <c r="H623" i="3"/>
  <c r="J623" i="3" s="1"/>
  <c r="L623" i="3" s="1"/>
  <c r="H624" i="3"/>
  <c r="J624" i="3" s="1"/>
  <c r="L624" i="3" s="1"/>
  <c r="H625" i="3"/>
  <c r="J625" i="3" s="1"/>
  <c r="L625" i="3" s="1"/>
  <c r="H626" i="3"/>
  <c r="J626" i="3" s="1"/>
  <c r="L626" i="3" s="1"/>
  <c r="H627" i="3"/>
  <c r="J627" i="3" s="1"/>
  <c r="L627" i="3" s="1"/>
  <c r="H628" i="3"/>
  <c r="J628" i="3" s="1"/>
  <c r="L628" i="3" s="1"/>
  <c r="H629" i="3"/>
  <c r="J629" i="3" s="1"/>
  <c r="L629" i="3" s="1"/>
  <c r="H630" i="3"/>
  <c r="J630" i="3" s="1"/>
  <c r="L630" i="3" s="1"/>
  <c r="H631" i="3"/>
  <c r="J631" i="3" s="1"/>
  <c r="L631" i="3" s="1"/>
  <c r="H632" i="3"/>
  <c r="J632" i="3" s="1"/>
  <c r="L632" i="3" s="1"/>
  <c r="H633" i="3"/>
  <c r="J633" i="3" s="1"/>
  <c r="L633" i="3" s="1"/>
  <c r="H634" i="3"/>
  <c r="J634" i="3" s="1"/>
  <c r="L634" i="3" s="1"/>
  <c r="H635" i="3"/>
  <c r="J635" i="3" s="1"/>
  <c r="L635" i="3" s="1"/>
  <c r="H636" i="3"/>
  <c r="J636" i="3" s="1"/>
  <c r="L636" i="3" s="1"/>
  <c r="H637" i="3"/>
  <c r="J637" i="3" s="1"/>
  <c r="L637" i="3" s="1"/>
  <c r="H638" i="3"/>
  <c r="J638" i="3" s="1"/>
  <c r="L638" i="3" s="1"/>
  <c r="H639" i="3"/>
  <c r="J639" i="3" s="1"/>
  <c r="L639" i="3" s="1"/>
  <c r="H640" i="3"/>
  <c r="J640" i="3" s="1"/>
  <c r="L640" i="3" s="1"/>
  <c r="H641" i="3"/>
  <c r="J641" i="3" s="1"/>
  <c r="L641" i="3" s="1"/>
  <c r="H642" i="3"/>
  <c r="J642" i="3" s="1"/>
  <c r="L642" i="3" s="1"/>
  <c r="H643" i="3"/>
  <c r="J643" i="3" s="1"/>
  <c r="L643" i="3" s="1"/>
  <c r="H644" i="3"/>
  <c r="J644" i="3" s="1"/>
  <c r="L644" i="3" s="1"/>
  <c r="H645" i="3"/>
  <c r="J645" i="3" s="1"/>
  <c r="L645" i="3" s="1"/>
  <c r="H646" i="3"/>
  <c r="J646" i="3" s="1"/>
  <c r="L646" i="3" s="1"/>
  <c r="H647" i="3"/>
  <c r="J647" i="3" s="1"/>
  <c r="L647" i="3" s="1"/>
  <c r="H648" i="3"/>
  <c r="J648" i="3" s="1"/>
  <c r="L648" i="3" s="1"/>
  <c r="H649" i="3"/>
  <c r="J649" i="3" s="1"/>
  <c r="L649" i="3" s="1"/>
  <c r="H650" i="3"/>
  <c r="J650" i="3" s="1"/>
  <c r="L650" i="3" s="1"/>
  <c r="H651" i="3"/>
  <c r="J651" i="3" s="1"/>
  <c r="L651" i="3" s="1"/>
  <c r="H652" i="3"/>
  <c r="J652" i="3" s="1"/>
  <c r="L652" i="3" s="1"/>
  <c r="H653" i="3"/>
  <c r="J653" i="3" s="1"/>
  <c r="L653" i="3" s="1"/>
  <c r="H654" i="3"/>
  <c r="J654" i="3" s="1"/>
  <c r="L654" i="3" s="1"/>
  <c r="H655" i="3"/>
  <c r="J655" i="3" s="1"/>
  <c r="L655" i="3" s="1"/>
  <c r="H656" i="3"/>
  <c r="J656" i="3" s="1"/>
  <c r="L656" i="3" s="1"/>
  <c r="H657" i="3"/>
  <c r="J657" i="3" s="1"/>
  <c r="L657" i="3" s="1"/>
  <c r="H658" i="3"/>
  <c r="J658" i="3" s="1"/>
  <c r="L658" i="3" s="1"/>
  <c r="H659" i="3"/>
  <c r="J659" i="3" s="1"/>
  <c r="L659" i="3" s="1"/>
  <c r="H660" i="3"/>
  <c r="J660" i="3" s="1"/>
  <c r="L660" i="3" s="1"/>
  <c r="H661" i="3"/>
  <c r="J661" i="3" s="1"/>
  <c r="L661" i="3" s="1"/>
  <c r="H662" i="3"/>
  <c r="J662" i="3" s="1"/>
  <c r="L662" i="3" s="1"/>
  <c r="H663" i="3"/>
  <c r="J663" i="3" s="1"/>
  <c r="L663" i="3" s="1"/>
  <c r="H664" i="3"/>
  <c r="J664" i="3" s="1"/>
  <c r="L664" i="3" s="1"/>
  <c r="H665" i="3"/>
  <c r="J665" i="3" s="1"/>
  <c r="L665" i="3" s="1"/>
  <c r="H666" i="3"/>
  <c r="J666" i="3" s="1"/>
  <c r="L666" i="3" s="1"/>
  <c r="H667" i="3"/>
  <c r="J667" i="3" s="1"/>
  <c r="L667" i="3" s="1"/>
  <c r="H668" i="3"/>
  <c r="J668" i="3" s="1"/>
  <c r="L668" i="3" s="1"/>
  <c r="H669" i="3"/>
  <c r="J669" i="3" s="1"/>
  <c r="L669" i="3" s="1"/>
  <c r="H670" i="3"/>
  <c r="J670" i="3" s="1"/>
  <c r="L670" i="3" s="1"/>
  <c r="H671" i="3"/>
  <c r="J671" i="3" s="1"/>
  <c r="L671" i="3" s="1"/>
  <c r="H672" i="3"/>
  <c r="J672" i="3" s="1"/>
  <c r="L672" i="3" s="1"/>
  <c r="H673" i="3"/>
  <c r="J673" i="3" s="1"/>
  <c r="L673" i="3" s="1"/>
  <c r="H674" i="3"/>
  <c r="J674" i="3" s="1"/>
  <c r="L674" i="3" s="1"/>
  <c r="H675" i="3"/>
  <c r="J675" i="3" s="1"/>
  <c r="L675" i="3" s="1"/>
  <c r="H676" i="3"/>
  <c r="J676" i="3" s="1"/>
  <c r="L676" i="3" s="1"/>
  <c r="H677" i="3"/>
  <c r="J677" i="3" s="1"/>
  <c r="L677" i="3" s="1"/>
  <c r="H678" i="3"/>
  <c r="J678" i="3" s="1"/>
  <c r="L678" i="3" s="1"/>
  <c r="H679" i="3"/>
  <c r="J679" i="3" s="1"/>
  <c r="L679" i="3" s="1"/>
  <c r="H680" i="3"/>
  <c r="J680" i="3" s="1"/>
  <c r="L680" i="3" s="1"/>
  <c r="H681" i="3"/>
  <c r="J681" i="3" s="1"/>
  <c r="L681" i="3" s="1"/>
  <c r="H682" i="3"/>
  <c r="J682" i="3" s="1"/>
  <c r="L682" i="3" s="1"/>
  <c r="H683" i="3"/>
  <c r="J683" i="3" s="1"/>
  <c r="L683" i="3" s="1"/>
  <c r="H684" i="3"/>
  <c r="J684" i="3" s="1"/>
  <c r="L684" i="3" s="1"/>
  <c r="H685" i="3"/>
  <c r="J685" i="3" s="1"/>
  <c r="L685" i="3" s="1"/>
  <c r="H686" i="3"/>
  <c r="J686" i="3" s="1"/>
  <c r="L686" i="3" s="1"/>
  <c r="H687" i="3"/>
  <c r="J687" i="3" s="1"/>
  <c r="L687" i="3" s="1"/>
  <c r="H688" i="3"/>
  <c r="J688" i="3" s="1"/>
  <c r="L688" i="3" s="1"/>
  <c r="H689" i="3"/>
  <c r="J689" i="3" s="1"/>
  <c r="L689" i="3" s="1"/>
  <c r="H690" i="3"/>
  <c r="J690" i="3" s="1"/>
  <c r="L690" i="3" s="1"/>
  <c r="H691" i="3"/>
  <c r="J691" i="3" s="1"/>
  <c r="L691" i="3" s="1"/>
  <c r="H692" i="3"/>
  <c r="J692" i="3" s="1"/>
  <c r="L692" i="3" s="1"/>
  <c r="H693" i="3"/>
  <c r="J693" i="3" s="1"/>
  <c r="L693" i="3" s="1"/>
  <c r="H694" i="3"/>
  <c r="J694" i="3" s="1"/>
  <c r="L694" i="3" s="1"/>
  <c r="H695" i="3"/>
  <c r="J695" i="3" s="1"/>
  <c r="L695" i="3" s="1"/>
  <c r="H696" i="3"/>
  <c r="J696" i="3" s="1"/>
  <c r="L696" i="3" s="1"/>
  <c r="H697" i="3"/>
  <c r="J697" i="3" s="1"/>
  <c r="L697" i="3" s="1"/>
  <c r="H698" i="3"/>
  <c r="J698" i="3" s="1"/>
  <c r="L698" i="3" s="1"/>
  <c r="H699" i="3"/>
  <c r="J699" i="3" s="1"/>
  <c r="L699" i="3" s="1"/>
  <c r="H700" i="3"/>
  <c r="J700" i="3" s="1"/>
  <c r="L700" i="3" s="1"/>
  <c r="H701" i="3"/>
  <c r="J701" i="3" s="1"/>
  <c r="L701" i="3" s="1"/>
  <c r="H702" i="3"/>
  <c r="J702" i="3" s="1"/>
  <c r="L702" i="3" s="1"/>
  <c r="H703" i="3"/>
  <c r="J703" i="3" s="1"/>
  <c r="L703" i="3" s="1"/>
  <c r="H704" i="3"/>
  <c r="J704" i="3" s="1"/>
  <c r="L704" i="3" s="1"/>
  <c r="H705" i="3"/>
  <c r="J705" i="3" s="1"/>
  <c r="L705" i="3" s="1"/>
  <c r="H706" i="3"/>
  <c r="J706" i="3" s="1"/>
  <c r="L706" i="3" s="1"/>
  <c r="H707" i="3"/>
  <c r="J707" i="3" s="1"/>
  <c r="L707" i="3" s="1"/>
  <c r="H708" i="3"/>
  <c r="J708" i="3" s="1"/>
  <c r="L708" i="3" s="1"/>
  <c r="H709" i="3"/>
  <c r="J709" i="3" s="1"/>
  <c r="L709" i="3" s="1"/>
  <c r="H710" i="3"/>
  <c r="J710" i="3" s="1"/>
  <c r="L710" i="3" s="1"/>
  <c r="H711" i="3"/>
  <c r="J711" i="3" s="1"/>
  <c r="L711" i="3" s="1"/>
  <c r="H712" i="3"/>
  <c r="J712" i="3" s="1"/>
  <c r="L712" i="3" s="1"/>
  <c r="H713" i="3"/>
  <c r="J713" i="3" s="1"/>
  <c r="L713" i="3" s="1"/>
  <c r="H714" i="3"/>
  <c r="J714" i="3" s="1"/>
  <c r="L714" i="3" s="1"/>
  <c r="H715" i="3"/>
  <c r="J715" i="3" s="1"/>
  <c r="L715" i="3" s="1"/>
  <c r="H716" i="3"/>
  <c r="J716" i="3" s="1"/>
  <c r="L716" i="3" s="1"/>
  <c r="H717" i="3"/>
  <c r="J717" i="3" s="1"/>
  <c r="L717" i="3" s="1"/>
  <c r="H718" i="3"/>
  <c r="J718" i="3" s="1"/>
  <c r="L718" i="3" s="1"/>
  <c r="H719" i="3"/>
  <c r="J719" i="3" s="1"/>
  <c r="L719" i="3" s="1"/>
  <c r="H720" i="3"/>
  <c r="J720" i="3" s="1"/>
  <c r="L720" i="3" s="1"/>
  <c r="H721" i="3"/>
  <c r="J721" i="3" s="1"/>
  <c r="L721" i="3" s="1"/>
  <c r="H722" i="3"/>
  <c r="J722" i="3" s="1"/>
  <c r="L722" i="3" s="1"/>
  <c r="H723" i="3"/>
  <c r="J723" i="3" s="1"/>
  <c r="L723" i="3" s="1"/>
  <c r="H724" i="3"/>
  <c r="J724" i="3" s="1"/>
  <c r="L724" i="3" s="1"/>
  <c r="H725" i="3"/>
  <c r="J725" i="3" s="1"/>
  <c r="L725" i="3" s="1"/>
  <c r="H726" i="3"/>
  <c r="J726" i="3" s="1"/>
  <c r="L726" i="3" s="1"/>
  <c r="H727" i="3"/>
  <c r="J727" i="3" s="1"/>
  <c r="L727" i="3" s="1"/>
  <c r="H728" i="3"/>
  <c r="J728" i="3" s="1"/>
  <c r="L728" i="3" s="1"/>
  <c r="H729" i="3"/>
  <c r="J729" i="3" s="1"/>
  <c r="L729" i="3" s="1"/>
  <c r="H730" i="3"/>
  <c r="J730" i="3" s="1"/>
  <c r="L730" i="3" s="1"/>
  <c r="H731" i="3"/>
  <c r="J731" i="3" s="1"/>
  <c r="L731" i="3" s="1"/>
  <c r="H732" i="3"/>
  <c r="J732" i="3" s="1"/>
  <c r="L732" i="3" s="1"/>
  <c r="H733" i="3"/>
  <c r="J733" i="3" s="1"/>
  <c r="L733" i="3" s="1"/>
  <c r="H734" i="3"/>
  <c r="J734" i="3" s="1"/>
  <c r="L734" i="3" s="1"/>
  <c r="H735" i="3"/>
  <c r="J735" i="3" s="1"/>
  <c r="L735" i="3" s="1"/>
  <c r="H736" i="3"/>
  <c r="J736" i="3" s="1"/>
  <c r="H737" i="3"/>
  <c r="J737" i="3" s="1"/>
  <c r="L737" i="3" s="1"/>
  <c r="H738" i="3"/>
  <c r="J738" i="3" s="1"/>
  <c r="L738" i="3" s="1"/>
  <c r="H739" i="3"/>
  <c r="J739" i="3" s="1"/>
  <c r="L739" i="3" s="1"/>
  <c r="H740" i="3"/>
  <c r="J740" i="3" s="1"/>
  <c r="L740" i="3" s="1"/>
  <c r="H741" i="3"/>
  <c r="J741" i="3" s="1"/>
  <c r="L741" i="3" s="1"/>
  <c r="H742" i="3"/>
  <c r="J742" i="3" s="1"/>
  <c r="L742" i="3" s="1"/>
  <c r="H743" i="3"/>
  <c r="J743" i="3" s="1"/>
  <c r="L743" i="3" s="1"/>
  <c r="H744" i="3"/>
  <c r="J744" i="3" s="1"/>
  <c r="L744" i="3" s="1"/>
  <c r="H745" i="3"/>
  <c r="J745" i="3" s="1"/>
  <c r="L745" i="3" s="1"/>
  <c r="H746" i="3"/>
  <c r="J746" i="3" s="1"/>
  <c r="L746" i="3" s="1"/>
  <c r="H747" i="3"/>
  <c r="J747" i="3" s="1"/>
  <c r="L747" i="3" s="1"/>
  <c r="H748" i="3"/>
  <c r="J748" i="3" s="1"/>
  <c r="L748" i="3" s="1"/>
  <c r="H749" i="3"/>
  <c r="J749" i="3" s="1"/>
  <c r="L749" i="3" s="1"/>
  <c r="H750" i="3"/>
  <c r="J750" i="3" s="1"/>
  <c r="L750" i="3" s="1"/>
  <c r="H751" i="3"/>
  <c r="J751" i="3" s="1"/>
  <c r="L751" i="3" s="1"/>
  <c r="H752" i="3"/>
  <c r="J752" i="3" s="1"/>
  <c r="L752" i="3" s="1"/>
  <c r="H753" i="3"/>
  <c r="J753" i="3" s="1"/>
  <c r="L753" i="3" s="1"/>
  <c r="H754" i="3"/>
  <c r="J754" i="3" s="1"/>
  <c r="L754" i="3" s="1"/>
  <c r="H755" i="3"/>
  <c r="J755" i="3" s="1"/>
  <c r="L755" i="3" s="1"/>
  <c r="H756" i="3"/>
  <c r="J756" i="3" s="1"/>
  <c r="L756" i="3" s="1"/>
  <c r="H757" i="3"/>
  <c r="J757" i="3" s="1"/>
  <c r="L757" i="3" s="1"/>
  <c r="H758" i="3"/>
  <c r="J758" i="3" s="1"/>
  <c r="L758" i="3" s="1"/>
  <c r="H759" i="3"/>
  <c r="J759" i="3" s="1"/>
  <c r="L759" i="3" s="1"/>
  <c r="H760" i="3"/>
  <c r="J760" i="3" s="1"/>
  <c r="L760" i="3" s="1"/>
  <c r="H761" i="3"/>
  <c r="J761" i="3" s="1"/>
  <c r="L761" i="3" s="1"/>
  <c r="H762" i="3"/>
  <c r="J762" i="3" s="1"/>
  <c r="L762" i="3" s="1"/>
  <c r="H763" i="3"/>
  <c r="J763" i="3" s="1"/>
  <c r="L763" i="3" s="1"/>
  <c r="H764" i="3"/>
  <c r="J764" i="3" s="1"/>
  <c r="L764" i="3" s="1"/>
  <c r="H765" i="3"/>
  <c r="J765" i="3" s="1"/>
  <c r="L765" i="3" s="1"/>
  <c r="H766" i="3"/>
  <c r="J766" i="3" s="1"/>
  <c r="L766" i="3" s="1"/>
  <c r="H767" i="3"/>
  <c r="J767" i="3" s="1"/>
  <c r="L767" i="3" s="1"/>
  <c r="H768" i="3"/>
  <c r="J768" i="3" s="1"/>
  <c r="L768" i="3" s="1"/>
  <c r="H769" i="3"/>
  <c r="J769" i="3" s="1"/>
  <c r="L769" i="3" s="1"/>
  <c r="H770" i="3"/>
  <c r="J770" i="3" s="1"/>
  <c r="L770" i="3" s="1"/>
  <c r="H771" i="3"/>
  <c r="J771" i="3" s="1"/>
  <c r="L771" i="3" s="1"/>
  <c r="H772" i="3"/>
  <c r="J772" i="3" s="1"/>
  <c r="L772" i="3" s="1"/>
  <c r="H773" i="3"/>
  <c r="J773" i="3" s="1"/>
  <c r="L773" i="3" s="1"/>
  <c r="H774" i="3"/>
  <c r="J774" i="3" s="1"/>
  <c r="L774" i="3" s="1"/>
  <c r="H775" i="3"/>
  <c r="J775" i="3" s="1"/>
  <c r="L775" i="3" s="1"/>
  <c r="H776" i="3"/>
  <c r="J776" i="3" s="1"/>
  <c r="L776" i="3" s="1"/>
  <c r="H777" i="3"/>
  <c r="J777" i="3" s="1"/>
  <c r="L777" i="3" s="1"/>
  <c r="H778" i="3"/>
  <c r="J778" i="3" s="1"/>
  <c r="L778" i="3" s="1"/>
  <c r="H779" i="3"/>
  <c r="J779" i="3" s="1"/>
  <c r="L779" i="3" s="1"/>
  <c r="H780" i="3"/>
  <c r="J780" i="3" s="1"/>
  <c r="L780" i="3" s="1"/>
  <c r="H781" i="3"/>
  <c r="J781" i="3" s="1"/>
  <c r="L781" i="3" s="1"/>
  <c r="H782" i="3"/>
  <c r="J782" i="3" s="1"/>
  <c r="L782" i="3" s="1"/>
  <c r="H783" i="3"/>
  <c r="J783" i="3" s="1"/>
  <c r="L783" i="3" s="1"/>
  <c r="H784" i="3"/>
  <c r="J784" i="3" s="1"/>
  <c r="L784" i="3" s="1"/>
  <c r="H785" i="3"/>
  <c r="J785" i="3" s="1"/>
  <c r="L785" i="3" s="1"/>
  <c r="H786" i="3"/>
  <c r="J786" i="3" s="1"/>
  <c r="L786" i="3" s="1"/>
  <c r="H787" i="3"/>
  <c r="J787" i="3" s="1"/>
  <c r="L787" i="3" s="1"/>
  <c r="H788" i="3"/>
  <c r="J788" i="3" s="1"/>
  <c r="L788" i="3" s="1"/>
  <c r="H789" i="3"/>
  <c r="J789" i="3" s="1"/>
  <c r="L789" i="3" s="1"/>
  <c r="H790" i="3"/>
  <c r="J790" i="3" s="1"/>
  <c r="L790" i="3" s="1"/>
  <c r="H791" i="3"/>
  <c r="J791" i="3" s="1"/>
  <c r="L791" i="3" s="1"/>
  <c r="H792" i="3"/>
  <c r="J792" i="3" s="1"/>
  <c r="L792" i="3" s="1"/>
  <c r="H793" i="3"/>
  <c r="J793" i="3" s="1"/>
  <c r="L793" i="3" s="1"/>
  <c r="H794" i="3"/>
  <c r="J794" i="3" s="1"/>
  <c r="L794" i="3" s="1"/>
  <c r="H795" i="3"/>
  <c r="J795" i="3" s="1"/>
  <c r="L795" i="3" s="1"/>
  <c r="H796" i="3"/>
  <c r="J796" i="3" s="1"/>
  <c r="L796" i="3" s="1"/>
  <c r="H797" i="3"/>
  <c r="J797" i="3" s="1"/>
  <c r="L797" i="3" s="1"/>
  <c r="H798" i="3"/>
  <c r="J798" i="3" s="1"/>
  <c r="L798" i="3" s="1"/>
  <c r="H799" i="3"/>
  <c r="J799" i="3" s="1"/>
  <c r="L799" i="3" s="1"/>
  <c r="H800" i="3"/>
  <c r="J800" i="3" s="1"/>
  <c r="L800" i="3" s="1"/>
  <c r="H801" i="3"/>
  <c r="J801" i="3" s="1"/>
  <c r="L801" i="3" s="1"/>
  <c r="H802" i="3"/>
  <c r="J802" i="3" s="1"/>
  <c r="L802" i="3" s="1"/>
  <c r="H803" i="3"/>
  <c r="J803" i="3" s="1"/>
  <c r="L803" i="3" s="1"/>
  <c r="H804" i="3"/>
  <c r="J804" i="3" s="1"/>
  <c r="L804" i="3" s="1"/>
  <c r="H805" i="3"/>
  <c r="J805" i="3" s="1"/>
  <c r="L805" i="3" s="1"/>
  <c r="H806" i="3"/>
  <c r="J806" i="3" s="1"/>
  <c r="L806" i="3" s="1"/>
  <c r="H807" i="3"/>
  <c r="J807" i="3" s="1"/>
  <c r="L807" i="3" s="1"/>
  <c r="H808" i="3"/>
  <c r="J808" i="3" s="1"/>
  <c r="L808" i="3" s="1"/>
  <c r="H809" i="3"/>
  <c r="J809" i="3" s="1"/>
  <c r="L809" i="3" s="1"/>
  <c r="H810" i="3"/>
  <c r="J810" i="3" s="1"/>
  <c r="L810" i="3" s="1"/>
  <c r="H811" i="3"/>
  <c r="J811" i="3" s="1"/>
  <c r="L811" i="3" s="1"/>
  <c r="H812" i="3"/>
  <c r="J812" i="3" s="1"/>
  <c r="L812" i="3" s="1"/>
  <c r="H813" i="3"/>
  <c r="J813" i="3" s="1"/>
  <c r="L813" i="3" s="1"/>
  <c r="H814" i="3"/>
  <c r="J814" i="3" s="1"/>
  <c r="L814" i="3" s="1"/>
  <c r="H815" i="3"/>
  <c r="J815" i="3" s="1"/>
  <c r="L815" i="3" s="1"/>
  <c r="H816" i="3"/>
  <c r="J816" i="3" s="1"/>
  <c r="L816" i="3" s="1"/>
  <c r="H817" i="3"/>
  <c r="J817" i="3" s="1"/>
  <c r="L817" i="3" s="1"/>
  <c r="H818" i="3"/>
  <c r="J818" i="3" s="1"/>
  <c r="L818" i="3" s="1"/>
  <c r="H819" i="3"/>
  <c r="J819" i="3" s="1"/>
  <c r="L819" i="3" s="1"/>
  <c r="H820" i="3"/>
  <c r="J820" i="3" s="1"/>
  <c r="L820" i="3" s="1"/>
  <c r="H821" i="3"/>
  <c r="J821" i="3" s="1"/>
  <c r="L821" i="3" s="1"/>
  <c r="H822" i="3"/>
  <c r="J822" i="3" s="1"/>
  <c r="L822" i="3" s="1"/>
  <c r="H823" i="3"/>
  <c r="J823" i="3" s="1"/>
  <c r="L823" i="3" s="1"/>
  <c r="H824" i="3"/>
  <c r="J824" i="3" s="1"/>
  <c r="L824" i="3" s="1"/>
  <c r="H825" i="3"/>
  <c r="J825" i="3" s="1"/>
  <c r="L825" i="3" s="1"/>
  <c r="H826" i="3"/>
  <c r="J826" i="3" s="1"/>
  <c r="L826" i="3" s="1"/>
  <c r="H827" i="3"/>
  <c r="J827" i="3" s="1"/>
  <c r="L827" i="3" s="1"/>
  <c r="H828" i="3"/>
  <c r="J828" i="3" s="1"/>
  <c r="L828" i="3" s="1"/>
  <c r="H829" i="3"/>
  <c r="J829" i="3" s="1"/>
  <c r="L829" i="3" s="1"/>
  <c r="H830" i="3"/>
  <c r="J830" i="3" s="1"/>
  <c r="L830" i="3" s="1"/>
  <c r="H831" i="3"/>
  <c r="J831" i="3" s="1"/>
  <c r="L831" i="3" s="1"/>
  <c r="H832" i="3"/>
  <c r="J832" i="3" s="1"/>
  <c r="L832" i="3" s="1"/>
  <c r="H833" i="3"/>
  <c r="J833" i="3" s="1"/>
  <c r="L833" i="3" s="1"/>
  <c r="H834" i="3"/>
  <c r="J834" i="3" s="1"/>
  <c r="L834" i="3" s="1"/>
  <c r="H835" i="3"/>
  <c r="J835" i="3" s="1"/>
  <c r="L835" i="3" s="1"/>
  <c r="H836" i="3"/>
  <c r="J836" i="3" s="1"/>
  <c r="L836" i="3" s="1"/>
  <c r="H837" i="3"/>
  <c r="J837" i="3" s="1"/>
  <c r="L837" i="3" s="1"/>
  <c r="H838" i="3"/>
  <c r="J838" i="3" s="1"/>
  <c r="L838" i="3" s="1"/>
  <c r="H839" i="3"/>
  <c r="J839" i="3" s="1"/>
  <c r="L839" i="3" s="1"/>
  <c r="H840" i="3"/>
  <c r="J840" i="3" s="1"/>
  <c r="L840" i="3" s="1"/>
  <c r="H841" i="3"/>
  <c r="J841" i="3" s="1"/>
  <c r="L841" i="3" s="1"/>
  <c r="H842" i="3"/>
  <c r="J842" i="3" s="1"/>
  <c r="L842" i="3" s="1"/>
  <c r="H843" i="3"/>
  <c r="J843" i="3" s="1"/>
  <c r="L843" i="3" s="1"/>
  <c r="H844" i="3"/>
  <c r="J844" i="3" s="1"/>
  <c r="L844" i="3" s="1"/>
  <c r="H845" i="3"/>
  <c r="J845" i="3" s="1"/>
  <c r="L845" i="3" s="1"/>
  <c r="H846" i="3"/>
  <c r="J846" i="3" s="1"/>
  <c r="L846" i="3" s="1"/>
  <c r="H847" i="3"/>
  <c r="J847" i="3" s="1"/>
  <c r="L847" i="3" s="1"/>
  <c r="H848" i="3"/>
  <c r="J848" i="3" s="1"/>
  <c r="L848" i="3" s="1"/>
  <c r="H849" i="3"/>
  <c r="J849" i="3" s="1"/>
  <c r="L849" i="3" s="1"/>
  <c r="H850" i="3"/>
  <c r="J850" i="3" s="1"/>
  <c r="L850" i="3" s="1"/>
  <c r="H851" i="3"/>
  <c r="J851" i="3" s="1"/>
  <c r="L851" i="3" s="1"/>
  <c r="H852" i="3"/>
  <c r="J852" i="3" s="1"/>
  <c r="L852" i="3" s="1"/>
  <c r="H853" i="3"/>
  <c r="J853" i="3" s="1"/>
  <c r="L853" i="3" s="1"/>
  <c r="H854" i="3"/>
  <c r="J854" i="3" s="1"/>
  <c r="L854" i="3" s="1"/>
  <c r="H855" i="3"/>
  <c r="J855" i="3" s="1"/>
  <c r="L855" i="3" s="1"/>
  <c r="H856" i="3"/>
  <c r="J856" i="3" s="1"/>
  <c r="L856" i="3" s="1"/>
  <c r="H857" i="3"/>
  <c r="J857" i="3" s="1"/>
  <c r="L857" i="3" s="1"/>
  <c r="H858" i="3"/>
  <c r="J858" i="3" s="1"/>
  <c r="L858" i="3" s="1"/>
  <c r="H859" i="3"/>
  <c r="J859" i="3" s="1"/>
  <c r="L859" i="3" s="1"/>
  <c r="H860" i="3"/>
  <c r="J860" i="3" s="1"/>
  <c r="L860" i="3" s="1"/>
  <c r="H861" i="3"/>
  <c r="J861" i="3" s="1"/>
  <c r="L861" i="3" s="1"/>
  <c r="H862" i="3"/>
  <c r="J862" i="3" s="1"/>
  <c r="L862" i="3" s="1"/>
  <c r="H863" i="3"/>
  <c r="J863" i="3" s="1"/>
  <c r="L863" i="3" s="1"/>
  <c r="H864" i="3"/>
  <c r="J864" i="3" s="1"/>
  <c r="L864" i="3" s="1"/>
  <c r="H865" i="3"/>
  <c r="J865" i="3" s="1"/>
  <c r="L865" i="3" s="1"/>
  <c r="H866" i="3"/>
  <c r="J866" i="3" s="1"/>
  <c r="L866" i="3" s="1"/>
  <c r="H867" i="3"/>
  <c r="J867" i="3" s="1"/>
  <c r="L867" i="3" s="1"/>
  <c r="H868" i="3"/>
  <c r="J868" i="3" s="1"/>
  <c r="L868" i="3" s="1"/>
  <c r="H869" i="3"/>
  <c r="J869" i="3" s="1"/>
  <c r="L869" i="3" s="1"/>
  <c r="H870" i="3"/>
  <c r="J870" i="3" s="1"/>
  <c r="L870" i="3" s="1"/>
  <c r="H871" i="3"/>
  <c r="J871" i="3" s="1"/>
  <c r="L871" i="3" s="1"/>
  <c r="H872" i="3"/>
  <c r="J872" i="3" s="1"/>
  <c r="L872" i="3" s="1"/>
  <c r="H873" i="3"/>
  <c r="J873" i="3" s="1"/>
  <c r="L873" i="3" s="1"/>
  <c r="H874" i="3"/>
  <c r="J874" i="3" s="1"/>
  <c r="L874" i="3" s="1"/>
  <c r="H875" i="3"/>
  <c r="J875" i="3" s="1"/>
  <c r="L875" i="3" s="1"/>
  <c r="H876" i="3"/>
  <c r="J876" i="3" s="1"/>
  <c r="L876" i="3" s="1"/>
  <c r="H877" i="3"/>
  <c r="J877" i="3" s="1"/>
  <c r="L877" i="3" s="1"/>
  <c r="H878" i="3"/>
  <c r="J878" i="3" s="1"/>
  <c r="L878" i="3" s="1"/>
  <c r="H879" i="3"/>
  <c r="J879" i="3" s="1"/>
  <c r="L879" i="3" s="1"/>
  <c r="H880" i="3"/>
  <c r="J880" i="3" s="1"/>
  <c r="L880" i="3" s="1"/>
  <c r="H881" i="3"/>
  <c r="J881" i="3" s="1"/>
  <c r="L881" i="3" s="1"/>
  <c r="H882" i="3"/>
  <c r="J882" i="3" s="1"/>
  <c r="L882" i="3" s="1"/>
  <c r="H883" i="3"/>
  <c r="J883" i="3" s="1"/>
  <c r="L883" i="3" s="1"/>
  <c r="H884" i="3"/>
  <c r="J884" i="3" s="1"/>
  <c r="L884" i="3" s="1"/>
  <c r="H885" i="3"/>
  <c r="J885" i="3" s="1"/>
  <c r="L885" i="3" s="1"/>
  <c r="H886" i="3"/>
  <c r="J886" i="3" s="1"/>
  <c r="L886" i="3" s="1"/>
  <c r="H887" i="3"/>
  <c r="J887" i="3" s="1"/>
  <c r="L887" i="3" s="1"/>
  <c r="H888" i="3"/>
  <c r="J888" i="3" s="1"/>
  <c r="L888" i="3" s="1"/>
  <c r="H889" i="3"/>
  <c r="J889" i="3" s="1"/>
  <c r="L889" i="3" s="1"/>
  <c r="H890" i="3"/>
  <c r="J890" i="3" s="1"/>
  <c r="L890" i="3" s="1"/>
  <c r="H891" i="3"/>
  <c r="J891" i="3" s="1"/>
  <c r="L891" i="3" s="1"/>
  <c r="H892" i="3"/>
  <c r="J892" i="3" s="1"/>
  <c r="L892" i="3" s="1"/>
  <c r="H893" i="3"/>
  <c r="J893" i="3" s="1"/>
  <c r="L893" i="3" s="1"/>
  <c r="H894" i="3"/>
  <c r="J894" i="3" s="1"/>
  <c r="L894" i="3" s="1"/>
  <c r="H895" i="3"/>
  <c r="J895" i="3" s="1"/>
  <c r="L895" i="3" s="1"/>
  <c r="H896" i="3"/>
  <c r="J896" i="3" s="1"/>
  <c r="L896" i="3" s="1"/>
  <c r="H897" i="3"/>
  <c r="J897" i="3" s="1"/>
  <c r="L897" i="3" s="1"/>
  <c r="H898" i="3"/>
  <c r="J898" i="3" s="1"/>
  <c r="L898" i="3" s="1"/>
  <c r="H899" i="3"/>
  <c r="J899" i="3" s="1"/>
  <c r="L899" i="3" s="1"/>
  <c r="H900" i="3"/>
  <c r="J900" i="3" s="1"/>
  <c r="L900" i="3" s="1"/>
  <c r="H901" i="3"/>
  <c r="J901" i="3" s="1"/>
  <c r="L901" i="3" s="1"/>
  <c r="H902" i="3"/>
  <c r="J902" i="3" s="1"/>
  <c r="L902" i="3" s="1"/>
  <c r="H903" i="3"/>
  <c r="J903" i="3" s="1"/>
  <c r="L903" i="3" s="1"/>
  <c r="H904" i="3"/>
  <c r="J904" i="3" s="1"/>
  <c r="L904" i="3" s="1"/>
  <c r="H905" i="3"/>
  <c r="J905" i="3" s="1"/>
  <c r="L905" i="3" s="1"/>
  <c r="H906" i="3"/>
  <c r="J906" i="3" s="1"/>
  <c r="L906" i="3" s="1"/>
  <c r="H907" i="3"/>
  <c r="J907" i="3" s="1"/>
  <c r="L907" i="3" s="1"/>
  <c r="H908" i="3"/>
  <c r="J908" i="3" s="1"/>
  <c r="L908" i="3" s="1"/>
  <c r="H909" i="3"/>
  <c r="J909" i="3" s="1"/>
  <c r="L909" i="3" s="1"/>
  <c r="H910" i="3"/>
  <c r="J910" i="3" s="1"/>
  <c r="L910" i="3" s="1"/>
  <c r="H911" i="3"/>
  <c r="J911" i="3" s="1"/>
  <c r="L911" i="3" s="1"/>
  <c r="H912" i="3"/>
  <c r="J912" i="3" s="1"/>
  <c r="L912" i="3" s="1"/>
  <c r="H913" i="3"/>
  <c r="J913" i="3" s="1"/>
  <c r="L913" i="3" s="1"/>
  <c r="H914" i="3"/>
  <c r="J914" i="3" s="1"/>
  <c r="L914" i="3" s="1"/>
  <c r="H915" i="3"/>
  <c r="J915" i="3" s="1"/>
  <c r="L915" i="3" s="1"/>
  <c r="H916" i="3"/>
  <c r="J916" i="3" s="1"/>
  <c r="L916" i="3" s="1"/>
  <c r="H917" i="3"/>
  <c r="J917" i="3" s="1"/>
  <c r="L917" i="3" s="1"/>
  <c r="H918" i="3"/>
  <c r="J918" i="3" s="1"/>
  <c r="L918" i="3" s="1"/>
  <c r="H919" i="3"/>
  <c r="J919" i="3" s="1"/>
  <c r="L919" i="3" s="1"/>
  <c r="H920" i="3"/>
  <c r="J920" i="3" s="1"/>
  <c r="L920" i="3" s="1"/>
  <c r="H921" i="3"/>
  <c r="J921" i="3" s="1"/>
  <c r="L921" i="3" s="1"/>
  <c r="H922" i="3"/>
  <c r="J922" i="3" s="1"/>
  <c r="L922" i="3" s="1"/>
  <c r="H923" i="3"/>
  <c r="J923" i="3" s="1"/>
  <c r="L923" i="3" s="1"/>
  <c r="H924" i="3"/>
  <c r="J924" i="3" s="1"/>
  <c r="L924" i="3" s="1"/>
  <c r="H925" i="3"/>
  <c r="J925" i="3" s="1"/>
  <c r="L925" i="3" s="1"/>
  <c r="H926" i="3"/>
  <c r="J926" i="3" s="1"/>
  <c r="L926" i="3" s="1"/>
  <c r="H927" i="3"/>
  <c r="J927" i="3" s="1"/>
  <c r="L927" i="3" s="1"/>
  <c r="H928" i="3"/>
  <c r="J928" i="3" s="1"/>
  <c r="L928" i="3" s="1"/>
  <c r="H929" i="3"/>
  <c r="J929" i="3" s="1"/>
  <c r="L929" i="3" s="1"/>
  <c r="H930" i="3"/>
  <c r="J930" i="3" s="1"/>
  <c r="L930" i="3" s="1"/>
  <c r="H931" i="3"/>
  <c r="J931" i="3" s="1"/>
  <c r="L931" i="3" s="1"/>
  <c r="H932" i="3"/>
  <c r="J932" i="3" s="1"/>
  <c r="L932" i="3" s="1"/>
  <c r="H933" i="3"/>
  <c r="J933" i="3" s="1"/>
  <c r="L933" i="3" s="1"/>
  <c r="H934" i="3"/>
  <c r="J934" i="3" s="1"/>
  <c r="L934" i="3" s="1"/>
  <c r="H935" i="3"/>
  <c r="J935" i="3" s="1"/>
  <c r="L935" i="3" s="1"/>
  <c r="H936" i="3"/>
  <c r="J936" i="3" s="1"/>
  <c r="L936" i="3" s="1"/>
  <c r="H937" i="3"/>
  <c r="J937" i="3" s="1"/>
  <c r="L937" i="3" s="1"/>
  <c r="H938" i="3"/>
  <c r="J938" i="3" s="1"/>
  <c r="L938" i="3" s="1"/>
  <c r="H939" i="3"/>
  <c r="J939" i="3" s="1"/>
  <c r="L939" i="3" s="1"/>
  <c r="H940" i="3"/>
  <c r="J940" i="3" s="1"/>
  <c r="L940" i="3" s="1"/>
  <c r="H941" i="3"/>
  <c r="J941" i="3" s="1"/>
  <c r="L941" i="3" s="1"/>
  <c r="H942" i="3"/>
  <c r="J942" i="3" s="1"/>
  <c r="L942" i="3" s="1"/>
  <c r="H943" i="3"/>
  <c r="J943" i="3" s="1"/>
  <c r="L943" i="3" s="1"/>
  <c r="H944" i="3"/>
  <c r="J944" i="3" s="1"/>
  <c r="L944" i="3" s="1"/>
  <c r="H945" i="3"/>
  <c r="J945" i="3" s="1"/>
  <c r="L945" i="3" s="1"/>
  <c r="H946" i="3"/>
  <c r="J946" i="3" s="1"/>
  <c r="L946" i="3" s="1"/>
  <c r="H947" i="3"/>
  <c r="J947" i="3" s="1"/>
  <c r="L947" i="3" s="1"/>
  <c r="H948" i="3"/>
  <c r="J948" i="3" s="1"/>
  <c r="L948" i="3" s="1"/>
  <c r="H949" i="3"/>
  <c r="J949" i="3" s="1"/>
  <c r="L949" i="3" s="1"/>
  <c r="H950" i="3"/>
  <c r="J950" i="3" s="1"/>
  <c r="L950" i="3" s="1"/>
  <c r="H951" i="3"/>
  <c r="J951" i="3" s="1"/>
  <c r="L951" i="3" s="1"/>
  <c r="H952" i="3"/>
  <c r="J952" i="3" s="1"/>
  <c r="L952" i="3" s="1"/>
  <c r="H953" i="3"/>
  <c r="J953" i="3" s="1"/>
  <c r="L953" i="3" s="1"/>
  <c r="H954" i="3"/>
  <c r="J954" i="3" s="1"/>
  <c r="L954" i="3" s="1"/>
  <c r="H955" i="3"/>
  <c r="J955" i="3" s="1"/>
  <c r="L955" i="3" s="1"/>
  <c r="H956" i="3"/>
  <c r="J956" i="3" s="1"/>
  <c r="H957" i="3"/>
  <c r="J957" i="3" s="1"/>
  <c r="L957" i="3" s="1"/>
  <c r="H958" i="3"/>
  <c r="J958" i="3" s="1"/>
  <c r="L958" i="3" s="1"/>
  <c r="H959" i="3"/>
  <c r="J959" i="3" s="1"/>
  <c r="L959" i="3" s="1"/>
  <c r="H960" i="3"/>
  <c r="J960" i="3" s="1"/>
  <c r="L960" i="3" s="1"/>
  <c r="H961" i="3"/>
  <c r="J961" i="3" s="1"/>
  <c r="L961" i="3" s="1"/>
  <c r="H962" i="3"/>
  <c r="J962" i="3" s="1"/>
  <c r="L962" i="3" s="1"/>
  <c r="H963" i="3"/>
  <c r="J963" i="3" s="1"/>
  <c r="L963" i="3" s="1"/>
  <c r="H964" i="3"/>
  <c r="J964" i="3" s="1"/>
  <c r="L964" i="3" s="1"/>
  <c r="H965" i="3"/>
  <c r="J965" i="3" s="1"/>
  <c r="L965" i="3" s="1"/>
  <c r="H966" i="3"/>
  <c r="J966" i="3" s="1"/>
  <c r="L966" i="3" s="1"/>
  <c r="H967" i="3"/>
  <c r="J967" i="3" s="1"/>
  <c r="L967" i="3" s="1"/>
  <c r="H968" i="3"/>
  <c r="J968" i="3" s="1"/>
  <c r="L968" i="3" s="1"/>
  <c r="H969" i="3"/>
  <c r="J969" i="3" s="1"/>
  <c r="L969" i="3" s="1"/>
  <c r="H970" i="3"/>
  <c r="J970" i="3" s="1"/>
  <c r="L970" i="3" s="1"/>
  <c r="H971" i="3"/>
  <c r="J971" i="3" s="1"/>
  <c r="L971" i="3" s="1"/>
  <c r="H972" i="3"/>
  <c r="J972" i="3" s="1"/>
  <c r="L972" i="3" s="1"/>
  <c r="H973" i="3"/>
  <c r="J973" i="3" s="1"/>
  <c r="L973" i="3" s="1"/>
  <c r="H974" i="3"/>
  <c r="J974" i="3" s="1"/>
  <c r="L974" i="3" s="1"/>
  <c r="H975" i="3"/>
  <c r="J975" i="3" s="1"/>
  <c r="L975" i="3" s="1"/>
  <c r="H976" i="3"/>
  <c r="J976" i="3" s="1"/>
  <c r="L976" i="3" s="1"/>
  <c r="H977" i="3"/>
  <c r="J977" i="3" s="1"/>
  <c r="L977" i="3" s="1"/>
  <c r="H978" i="3"/>
  <c r="J978" i="3" s="1"/>
  <c r="L978" i="3" s="1"/>
  <c r="H979" i="3"/>
  <c r="J979" i="3" s="1"/>
  <c r="L979" i="3" s="1"/>
  <c r="H980" i="3"/>
  <c r="J980" i="3" s="1"/>
  <c r="L980" i="3" s="1"/>
  <c r="H981" i="3"/>
  <c r="J981" i="3" s="1"/>
  <c r="L981" i="3" s="1"/>
  <c r="H982" i="3"/>
  <c r="J982" i="3" s="1"/>
  <c r="L982" i="3" s="1"/>
  <c r="H983" i="3"/>
  <c r="J983" i="3" s="1"/>
  <c r="L983" i="3" s="1"/>
  <c r="H984" i="3"/>
  <c r="J984" i="3" s="1"/>
  <c r="L984" i="3" s="1"/>
  <c r="H985" i="3"/>
  <c r="J985" i="3" s="1"/>
  <c r="L985" i="3" s="1"/>
  <c r="H986" i="3"/>
  <c r="J986" i="3" s="1"/>
  <c r="L986" i="3" s="1"/>
  <c r="H987" i="3"/>
  <c r="J987" i="3" s="1"/>
  <c r="L987" i="3" s="1"/>
  <c r="H988" i="3"/>
  <c r="J988" i="3" s="1"/>
  <c r="L988" i="3" s="1"/>
  <c r="H989" i="3"/>
  <c r="J989" i="3" s="1"/>
  <c r="L989" i="3" s="1"/>
  <c r="H990" i="3"/>
  <c r="J990" i="3" s="1"/>
  <c r="L990" i="3" s="1"/>
  <c r="H991" i="3"/>
  <c r="J991" i="3" s="1"/>
  <c r="L991" i="3" s="1"/>
  <c r="H992" i="3"/>
  <c r="J992" i="3" s="1"/>
  <c r="L992" i="3" s="1"/>
  <c r="H993" i="3"/>
  <c r="J993" i="3" s="1"/>
  <c r="L993" i="3" s="1"/>
  <c r="H994" i="3"/>
  <c r="J994" i="3" s="1"/>
  <c r="L994" i="3" s="1"/>
  <c r="H995" i="3"/>
  <c r="J995" i="3" s="1"/>
  <c r="L995" i="3" s="1"/>
  <c r="H996" i="3"/>
  <c r="J996" i="3" s="1"/>
  <c r="L996" i="3" s="1"/>
  <c r="H997" i="3"/>
  <c r="J997" i="3" s="1"/>
  <c r="L997" i="3" s="1"/>
  <c r="H998" i="3"/>
  <c r="J998" i="3" s="1"/>
  <c r="L998" i="3" s="1"/>
  <c r="H999" i="3"/>
  <c r="J999" i="3" s="1"/>
  <c r="L999" i="3" s="1"/>
  <c r="H1000" i="3"/>
  <c r="J1000" i="3" s="1"/>
  <c r="L1000" i="3" s="1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L37" i="3"/>
  <c r="M37" i="3" s="1"/>
  <c r="L60" i="3"/>
  <c r="M60" i="3" s="1"/>
  <c r="L73" i="3"/>
  <c r="L76" i="3"/>
  <c r="M76" i="3" s="1"/>
  <c r="L79" i="3"/>
  <c r="M79" i="3" s="1"/>
  <c r="L92" i="3"/>
  <c r="M92" i="3" s="1"/>
  <c r="L105" i="3"/>
  <c r="L108" i="3"/>
  <c r="M108" i="3" s="1"/>
  <c r="L111" i="3"/>
  <c r="M111" i="3" s="1"/>
  <c r="L124" i="3"/>
  <c r="M124" i="3" s="1"/>
  <c r="L137" i="3"/>
  <c r="L140" i="3"/>
  <c r="M140" i="3" s="1"/>
  <c r="L143" i="3"/>
  <c r="M143" i="3" s="1"/>
  <c r="L156" i="3"/>
  <c r="M156" i="3" s="1"/>
  <c r="L169" i="3"/>
  <c r="L172" i="3"/>
  <c r="M172" i="3" s="1"/>
  <c r="L175" i="3"/>
  <c r="M175" i="3" s="1"/>
  <c r="L188" i="3"/>
  <c r="M188" i="3" s="1"/>
  <c r="L201" i="3"/>
  <c r="L204" i="3"/>
  <c r="M204" i="3" s="1"/>
  <c r="L207" i="3"/>
  <c r="M207" i="3" s="1"/>
  <c r="L220" i="3"/>
  <c r="M220" i="3" s="1"/>
  <c r="L233" i="3"/>
  <c r="L236" i="3"/>
  <c r="M236" i="3" s="1"/>
  <c r="L239" i="3"/>
  <c r="M239" i="3" s="1"/>
  <c r="L252" i="3"/>
  <c r="M252" i="3" s="1"/>
  <c r="L265" i="3"/>
  <c r="L268" i="3"/>
  <c r="M268" i="3" s="1"/>
  <c r="L271" i="3"/>
  <c r="M271" i="3" s="1"/>
  <c r="L284" i="3"/>
  <c r="M284" i="3" s="1"/>
  <c r="L297" i="3"/>
  <c r="L300" i="3"/>
  <c r="M300" i="3" s="1"/>
  <c r="L303" i="3"/>
  <c r="M303" i="3" s="1"/>
  <c r="L316" i="3"/>
  <c r="M316" i="3" s="1"/>
  <c r="L329" i="3"/>
  <c r="L332" i="3"/>
  <c r="M332" i="3" s="1"/>
  <c r="L335" i="3"/>
  <c r="M335" i="3" s="1"/>
  <c r="L348" i="3"/>
  <c r="M348" i="3" s="1"/>
  <c r="L361" i="3"/>
  <c r="L364" i="3"/>
  <c r="M364" i="3" s="1"/>
  <c r="L367" i="3"/>
  <c r="M367" i="3" s="1"/>
  <c r="L380" i="3"/>
  <c r="M380" i="3" s="1"/>
  <c r="L393" i="3"/>
  <c r="L396" i="3"/>
  <c r="M396" i="3" s="1"/>
  <c r="L399" i="3"/>
  <c r="M399" i="3" s="1"/>
  <c r="L412" i="3"/>
  <c r="M412" i="3" s="1"/>
  <c r="L425" i="3"/>
  <c r="L428" i="3"/>
  <c r="M428" i="3" s="1"/>
  <c r="L431" i="3"/>
  <c r="M431" i="3" s="1"/>
  <c r="L444" i="3"/>
  <c r="M444" i="3" s="1"/>
  <c r="L457" i="3"/>
  <c r="L460" i="3"/>
  <c r="M460" i="3" s="1"/>
  <c r="L463" i="3"/>
  <c r="M463" i="3" s="1"/>
  <c r="L476" i="3"/>
  <c r="L489" i="3"/>
  <c r="L492" i="3"/>
  <c r="L495" i="3"/>
  <c r="M495" i="3" s="1"/>
  <c r="L508" i="3"/>
  <c r="L521" i="3"/>
  <c r="L524" i="3"/>
  <c r="L527" i="3"/>
  <c r="M527" i="3" s="1"/>
  <c r="L540" i="3"/>
  <c r="L553" i="3"/>
  <c r="L556" i="3"/>
  <c r="L559" i="3"/>
  <c r="M559" i="3" s="1"/>
  <c r="L572" i="3"/>
  <c r="L736" i="3"/>
  <c r="L956" i="3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85" i="4"/>
  <c r="H185" i="4" s="1"/>
  <c r="G186" i="4"/>
  <c r="H186" i="4" s="1"/>
  <c r="G187" i="4"/>
  <c r="H187" i="4" s="1"/>
  <c r="G188" i="4"/>
  <c r="H188" i="4" s="1"/>
  <c r="G189" i="4"/>
  <c r="H189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200" i="4"/>
  <c r="H200" i="4" s="1"/>
  <c r="G201" i="4"/>
  <c r="H201" i="4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213" i="4"/>
  <c r="H213" i="4" s="1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H223" i="4" s="1"/>
  <c r="G224" i="4"/>
  <c r="H224" i="4" s="1"/>
  <c r="G225" i="4"/>
  <c r="H225" i="4" s="1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H241" i="4" s="1"/>
  <c r="G242" i="4"/>
  <c r="H242" i="4" s="1"/>
  <c r="G243" i="4"/>
  <c r="H243" i="4" s="1"/>
  <c r="G244" i="4"/>
  <c r="H244" i="4" s="1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H251" i="4" s="1"/>
  <c r="G252" i="4"/>
  <c r="H252" i="4" s="1"/>
  <c r="G253" i="4"/>
  <c r="H253" i="4" s="1"/>
  <c r="G254" i="4"/>
  <c r="H254" i="4" s="1"/>
  <c r="G255" i="4"/>
  <c r="H255" i="4" s="1"/>
  <c r="G256" i="4"/>
  <c r="H256" i="4" s="1"/>
  <c r="G257" i="4"/>
  <c r="H257" i="4" s="1"/>
  <c r="G258" i="4"/>
  <c r="H258" i="4" s="1"/>
  <c r="G259" i="4"/>
  <c r="H259" i="4" s="1"/>
  <c r="G260" i="4"/>
  <c r="H260" i="4" s="1"/>
  <c r="G261" i="4"/>
  <c r="H261" i="4" s="1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H267" i="4" s="1"/>
  <c r="G268" i="4"/>
  <c r="H268" i="4" s="1"/>
  <c r="G269" i="4"/>
  <c r="H269" i="4" s="1"/>
  <c r="G270" i="4"/>
  <c r="H270" i="4" s="1"/>
  <c r="G271" i="4"/>
  <c r="H271" i="4" s="1"/>
  <c r="G272" i="4"/>
  <c r="H272" i="4" s="1"/>
  <c r="G273" i="4"/>
  <c r="H273" i="4" s="1"/>
  <c r="G274" i="4"/>
  <c r="H274" i="4" s="1"/>
  <c r="G275" i="4"/>
  <c r="H275" i="4" s="1"/>
  <c r="G276" i="4"/>
  <c r="H276" i="4" s="1"/>
  <c r="G277" i="4"/>
  <c r="H277" i="4" s="1"/>
  <c r="G278" i="4"/>
  <c r="H278" i="4" s="1"/>
  <c r="G279" i="4"/>
  <c r="H279" i="4" s="1"/>
  <c r="G280" i="4"/>
  <c r="H280" i="4" s="1"/>
  <c r="G281" i="4"/>
  <c r="H281" i="4" s="1"/>
  <c r="G282" i="4"/>
  <c r="H282" i="4" s="1"/>
  <c r="G283" i="4"/>
  <c r="H283" i="4" s="1"/>
  <c r="G284" i="4"/>
  <c r="H284" i="4" s="1"/>
  <c r="G285" i="4"/>
  <c r="H285" i="4" s="1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H291" i="4" s="1"/>
  <c r="G292" i="4"/>
  <c r="H292" i="4" s="1"/>
  <c r="G293" i="4"/>
  <c r="H293" i="4" s="1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H301" i="4" s="1"/>
  <c r="G302" i="4"/>
  <c r="H302" i="4" s="1"/>
  <c r="G303" i="4"/>
  <c r="H303" i="4" s="1"/>
  <c r="G304" i="4"/>
  <c r="H304" i="4" s="1"/>
  <c r="G305" i="4"/>
  <c r="H305" i="4" s="1"/>
  <c r="G306" i="4"/>
  <c r="H306" i="4" s="1"/>
  <c r="G307" i="4"/>
  <c r="H307" i="4" s="1"/>
  <c r="G308" i="4"/>
  <c r="H308" i="4" s="1"/>
  <c r="G309" i="4"/>
  <c r="H309" i="4" s="1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H315" i="4" s="1"/>
  <c r="G316" i="4"/>
  <c r="H316" i="4" s="1"/>
  <c r="G317" i="4"/>
  <c r="H317" i="4" s="1"/>
  <c r="G318" i="4"/>
  <c r="H318" i="4" s="1"/>
  <c r="G319" i="4"/>
  <c r="H319" i="4" s="1"/>
  <c r="G320" i="4"/>
  <c r="H320" i="4" s="1"/>
  <c r="G321" i="4"/>
  <c r="H321" i="4" s="1"/>
  <c r="G322" i="4"/>
  <c r="H322" i="4" s="1"/>
  <c r="G323" i="4"/>
  <c r="H323" i="4" s="1"/>
  <c r="G324" i="4"/>
  <c r="H324" i="4" s="1"/>
  <c r="G325" i="4"/>
  <c r="H325" i="4" s="1"/>
  <c r="G326" i="4"/>
  <c r="H326" i="4" s="1"/>
  <c r="G327" i="4"/>
  <c r="H327" i="4" s="1"/>
  <c r="G328" i="4"/>
  <c r="H328" i="4" s="1"/>
  <c r="G329" i="4"/>
  <c r="H329" i="4" s="1"/>
  <c r="G330" i="4"/>
  <c r="H330" i="4" s="1"/>
  <c r="G331" i="4"/>
  <c r="H331" i="4" s="1"/>
  <c r="G332" i="4"/>
  <c r="H332" i="4" s="1"/>
  <c r="G333" i="4"/>
  <c r="H333" i="4" s="1"/>
  <c r="G334" i="4"/>
  <c r="H334" i="4" s="1"/>
  <c r="G335" i="4"/>
  <c r="H335" i="4" s="1"/>
  <c r="G336" i="4"/>
  <c r="H336" i="4" s="1"/>
  <c r="G337" i="4"/>
  <c r="H337" i="4" s="1"/>
  <c r="G338" i="4"/>
  <c r="H338" i="4" s="1"/>
  <c r="G339" i="4"/>
  <c r="H339" i="4" s="1"/>
  <c r="G340" i="4"/>
  <c r="H340" i="4" s="1"/>
  <c r="G341" i="4"/>
  <c r="H341" i="4" s="1"/>
  <c r="G342" i="4"/>
  <c r="H342" i="4" s="1"/>
  <c r="G343" i="4"/>
  <c r="H343" i="4" s="1"/>
  <c r="G344" i="4"/>
  <c r="H344" i="4" s="1"/>
  <c r="G345" i="4"/>
  <c r="H345" i="4" s="1"/>
  <c r="G346" i="4"/>
  <c r="H346" i="4" s="1"/>
  <c r="G347" i="4"/>
  <c r="H347" i="4" s="1"/>
  <c r="G348" i="4"/>
  <c r="H348" i="4" s="1"/>
  <c r="G349" i="4"/>
  <c r="H349" i="4" s="1"/>
  <c r="G350" i="4"/>
  <c r="H350" i="4" s="1"/>
  <c r="G351" i="4"/>
  <c r="H351" i="4" s="1"/>
  <c r="G352" i="4"/>
  <c r="H352" i="4" s="1"/>
  <c r="G353" i="4"/>
  <c r="H353" i="4" s="1"/>
  <c r="G354" i="4"/>
  <c r="H354" i="4" s="1"/>
  <c r="G355" i="4"/>
  <c r="H355" i="4" s="1"/>
  <c r="G356" i="4"/>
  <c r="H356" i="4" s="1"/>
  <c r="G357" i="4"/>
  <c r="H357" i="4" s="1"/>
  <c r="G358" i="4"/>
  <c r="H358" i="4" s="1"/>
  <c r="G359" i="4"/>
  <c r="H359" i="4" s="1"/>
  <c r="G360" i="4"/>
  <c r="H360" i="4" s="1"/>
  <c r="G361" i="4"/>
  <c r="H361" i="4" s="1"/>
  <c r="G362" i="4"/>
  <c r="H362" i="4" s="1"/>
  <c r="G363" i="4"/>
  <c r="H363" i="4" s="1"/>
  <c r="G364" i="4"/>
  <c r="H364" i="4" s="1"/>
  <c r="G365" i="4"/>
  <c r="H365" i="4" s="1"/>
  <c r="G366" i="4"/>
  <c r="H366" i="4" s="1"/>
  <c r="G367" i="4"/>
  <c r="H367" i="4" s="1"/>
  <c r="G368" i="4"/>
  <c r="H368" i="4" s="1"/>
  <c r="G369" i="4"/>
  <c r="H369" i="4" s="1"/>
  <c r="G370" i="4"/>
  <c r="H370" i="4" s="1"/>
  <c r="G371" i="4"/>
  <c r="H371" i="4" s="1"/>
  <c r="G372" i="4"/>
  <c r="H372" i="4" s="1"/>
  <c r="G373" i="4"/>
  <c r="H373" i="4" s="1"/>
  <c r="G374" i="4"/>
  <c r="H374" i="4" s="1"/>
  <c r="G375" i="4"/>
  <c r="H375" i="4" s="1"/>
  <c r="G376" i="4"/>
  <c r="H376" i="4" s="1"/>
  <c r="G377" i="4"/>
  <c r="H377" i="4" s="1"/>
  <c r="G378" i="4"/>
  <c r="H378" i="4" s="1"/>
  <c r="G379" i="4"/>
  <c r="H379" i="4" s="1"/>
  <c r="G380" i="4"/>
  <c r="H380" i="4" s="1"/>
  <c r="G381" i="4"/>
  <c r="H381" i="4" s="1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H387" i="4" s="1"/>
  <c r="G388" i="4"/>
  <c r="H388" i="4" s="1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H397" i="4" s="1"/>
  <c r="G398" i="4"/>
  <c r="H398" i="4" s="1"/>
  <c r="G399" i="4"/>
  <c r="H399" i="4" s="1"/>
  <c r="G400" i="4"/>
  <c r="H400" i="4" s="1"/>
  <c r="G401" i="4"/>
  <c r="H401" i="4" s="1"/>
  <c r="G402" i="4"/>
  <c r="H402" i="4" s="1"/>
  <c r="G403" i="4"/>
  <c r="H403" i="4" s="1"/>
  <c r="G404" i="4"/>
  <c r="H404" i="4" s="1"/>
  <c r="G405" i="4"/>
  <c r="H405" i="4" s="1"/>
  <c r="G406" i="4"/>
  <c r="H406" i="4" s="1"/>
  <c r="G407" i="4"/>
  <c r="H407" i="4" s="1"/>
  <c r="G408" i="4"/>
  <c r="H408" i="4" s="1"/>
  <c r="G409" i="4"/>
  <c r="H409" i="4" s="1"/>
  <c r="G410" i="4"/>
  <c r="H410" i="4" s="1"/>
  <c r="G411" i="4"/>
  <c r="H411" i="4" s="1"/>
  <c r="G412" i="4"/>
  <c r="H412" i="4" s="1"/>
  <c r="G413" i="4"/>
  <c r="H413" i="4" s="1"/>
  <c r="G414" i="4"/>
  <c r="H414" i="4" s="1"/>
  <c r="G415" i="4"/>
  <c r="H415" i="4" s="1"/>
  <c r="G416" i="4"/>
  <c r="H416" i="4" s="1"/>
  <c r="G417" i="4"/>
  <c r="H417" i="4" s="1"/>
  <c r="G418" i="4"/>
  <c r="H418" i="4" s="1"/>
  <c r="G419" i="4"/>
  <c r="H419" i="4" s="1"/>
  <c r="G420" i="4"/>
  <c r="H420" i="4" s="1"/>
  <c r="G421" i="4"/>
  <c r="H421" i="4" s="1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H429" i="4" s="1"/>
  <c r="G430" i="4"/>
  <c r="H430" i="4" s="1"/>
  <c r="G431" i="4"/>
  <c r="H431" i="4" s="1"/>
  <c r="G432" i="4"/>
  <c r="H432" i="4" s="1"/>
  <c r="G433" i="4"/>
  <c r="H433" i="4" s="1"/>
  <c r="G434" i="4"/>
  <c r="H434" i="4" s="1"/>
  <c r="G435" i="4"/>
  <c r="H435" i="4" s="1"/>
  <c r="G436" i="4"/>
  <c r="H436" i="4" s="1"/>
  <c r="G437" i="4"/>
  <c r="H437" i="4" s="1"/>
  <c r="G438" i="4"/>
  <c r="H438" i="4" s="1"/>
  <c r="G439" i="4"/>
  <c r="H439" i="4" s="1"/>
  <c r="G440" i="4"/>
  <c r="H440" i="4" s="1"/>
  <c r="G441" i="4"/>
  <c r="H441" i="4" s="1"/>
  <c r="G442" i="4"/>
  <c r="H442" i="4" s="1"/>
  <c r="G443" i="4"/>
  <c r="H443" i="4" s="1"/>
  <c r="G444" i="4"/>
  <c r="H444" i="4" s="1"/>
  <c r="G445" i="4"/>
  <c r="H445" i="4" s="1"/>
  <c r="G446" i="4"/>
  <c r="H446" i="4" s="1"/>
  <c r="G447" i="4"/>
  <c r="H447" i="4" s="1"/>
  <c r="G448" i="4"/>
  <c r="H448" i="4" s="1"/>
  <c r="G449" i="4"/>
  <c r="H449" i="4" s="1"/>
  <c r="G450" i="4"/>
  <c r="H450" i="4" s="1"/>
  <c r="G451" i="4"/>
  <c r="H451" i="4" s="1"/>
  <c r="G452" i="4"/>
  <c r="H452" i="4" s="1"/>
  <c r="G453" i="4"/>
  <c r="H453" i="4" s="1"/>
  <c r="G454" i="4"/>
  <c r="H454" i="4" s="1"/>
  <c r="G455" i="4"/>
  <c r="H455" i="4" s="1"/>
  <c r="G456" i="4"/>
  <c r="H456" i="4" s="1"/>
  <c r="G457" i="4"/>
  <c r="H457" i="4" s="1"/>
  <c r="G458" i="4"/>
  <c r="H458" i="4" s="1"/>
  <c r="G459" i="4"/>
  <c r="H459" i="4" s="1"/>
  <c r="G460" i="4"/>
  <c r="H460" i="4" s="1"/>
  <c r="G461" i="4"/>
  <c r="H461" i="4" s="1"/>
  <c r="G462" i="4"/>
  <c r="H462" i="4" s="1"/>
  <c r="G463" i="4"/>
  <c r="H463" i="4" s="1"/>
  <c r="G464" i="4"/>
  <c r="H464" i="4" s="1"/>
  <c r="G465" i="4"/>
  <c r="H465" i="4" s="1"/>
  <c r="G466" i="4"/>
  <c r="H466" i="4" s="1"/>
  <c r="G467" i="4"/>
  <c r="H467" i="4" s="1"/>
  <c r="G468" i="4"/>
  <c r="H468" i="4" s="1"/>
  <c r="G469" i="4"/>
  <c r="H469" i="4" s="1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H475" i="4" s="1"/>
  <c r="G476" i="4"/>
  <c r="H476" i="4" s="1"/>
  <c r="G477" i="4"/>
  <c r="H477" i="4" s="1"/>
  <c r="G478" i="4"/>
  <c r="H478" i="4" s="1"/>
  <c r="G479" i="4"/>
  <c r="H479" i="4" s="1"/>
  <c r="G480" i="4"/>
  <c r="H480" i="4" s="1"/>
  <c r="G481" i="4"/>
  <c r="H481" i="4" s="1"/>
  <c r="G482" i="4"/>
  <c r="H482" i="4" s="1"/>
  <c r="G483" i="4"/>
  <c r="H483" i="4" s="1"/>
  <c r="G484" i="4"/>
  <c r="H484" i="4" s="1"/>
  <c r="G485" i="4"/>
  <c r="H485" i="4" s="1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 s="1"/>
  <c r="G493" i="4"/>
  <c r="H493" i="4" s="1"/>
  <c r="G494" i="4"/>
  <c r="H494" i="4" s="1"/>
  <c r="G495" i="4"/>
  <c r="H495" i="4" s="1"/>
  <c r="G496" i="4"/>
  <c r="H496" i="4" s="1"/>
  <c r="G497" i="4"/>
  <c r="H497" i="4" s="1"/>
  <c r="G498" i="4"/>
  <c r="H498" i="4" s="1"/>
  <c r="G499" i="4"/>
  <c r="H499" i="4" s="1"/>
  <c r="G500" i="4"/>
  <c r="H500" i="4" s="1"/>
  <c r="G501" i="4"/>
  <c r="H501" i="4" s="1"/>
  <c r="G502" i="4"/>
  <c r="H502" i="4" s="1"/>
  <c r="K5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C56" i="1"/>
  <c r="Q63" i="1"/>
  <c r="C57" i="1"/>
  <c r="Q64" i="1"/>
  <c r="C58" i="1"/>
  <c r="Q65" i="1"/>
  <c r="C59" i="1"/>
  <c r="Q66" i="1"/>
  <c r="C60" i="1"/>
  <c r="Q67" i="1"/>
  <c r="C61" i="1"/>
  <c r="C62" i="1"/>
  <c r="Q69" i="1"/>
  <c r="C63" i="1"/>
  <c r="Q70" i="1"/>
  <c r="C64" i="1"/>
  <c r="Q71" i="1"/>
  <c r="C65" i="1"/>
  <c r="C66" i="1"/>
  <c r="Q72" i="1"/>
  <c r="C67" i="1"/>
  <c r="Q73" i="1"/>
  <c r="C68" i="1"/>
  <c r="Q74" i="1"/>
  <c r="C69" i="1"/>
  <c r="C70" i="1"/>
  <c r="Q75" i="1"/>
  <c r="C71" i="1"/>
  <c r="Q76" i="1"/>
  <c r="C72" i="1"/>
  <c r="Q77" i="1"/>
  <c r="C73" i="1"/>
  <c r="Q78" i="1"/>
  <c r="C74" i="1"/>
  <c r="Q79" i="1"/>
  <c r="C75" i="1"/>
  <c r="C76" i="1"/>
  <c r="Q81" i="1"/>
  <c r="C77" i="1"/>
  <c r="Q82" i="1"/>
  <c r="C78" i="1"/>
  <c r="Q83" i="1"/>
  <c r="C79" i="1"/>
  <c r="Q84" i="1"/>
  <c r="C80" i="1"/>
  <c r="Q85" i="1"/>
  <c r="C81" i="1"/>
  <c r="Q86" i="1"/>
  <c r="C82" i="1"/>
  <c r="Q87" i="1"/>
  <c r="C83" i="1"/>
  <c r="Q88" i="1"/>
  <c r="C84" i="1"/>
  <c r="Q89" i="1"/>
  <c r="C85" i="1"/>
  <c r="Q90" i="1"/>
  <c r="C86" i="1"/>
  <c r="Q91" i="1"/>
  <c r="C87" i="1"/>
  <c r="Q92" i="1"/>
  <c r="C19" i="1"/>
  <c r="Q93" i="1"/>
  <c r="Q94" i="1"/>
  <c r="Q95" i="1"/>
  <c r="Q96" i="1"/>
  <c r="Q97" i="1"/>
  <c r="Q98" i="1"/>
  <c r="J35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60" i="1"/>
  <c r="Q61" i="1"/>
  <c r="Q62" i="1"/>
  <c r="C11" i="1"/>
  <c r="C14" i="1"/>
  <c r="C15" i="1"/>
  <c r="C20" i="1"/>
  <c r="C12" i="1"/>
  <c r="C21" i="1"/>
  <c r="C16" i="1"/>
  <c r="C18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2" i="1"/>
  <c r="C50" i="1"/>
  <c r="C51" i="1"/>
  <c r="C52" i="1"/>
  <c r="C53" i="1"/>
  <c r="C54" i="1"/>
  <c r="C55" i="1"/>
  <c r="C17" i="1"/>
  <c r="H7" i="3"/>
  <c r="J7" i="3" s="1"/>
  <c r="H8" i="3"/>
  <c r="J8" i="3" s="1"/>
  <c r="H9" i="3"/>
  <c r="J9" i="3" s="1"/>
  <c r="H10" i="3"/>
  <c r="J10" i="3" s="1"/>
  <c r="H11" i="3"/>
  <c r="J11" i="3" s="1"/>
  <c r="H12" i="3"/>
  <c r="J12" i="3" s="1"/>
  <c r="H13" i="3"/>
  <c r="J13" i="3" s="1"/>
  <c r="H14" i="3"/>
  <c r="J14" i="3" s="1"/>
  <c r="H15" i="3"/>
  <c r="J15" i="3" s="1"/>
  <c r="H16" i="3"/>
  <c r="J16" i="3" s="1"/>
  <c r="H17" i="3"/>
  <c r="J17" i="3" s="1"/>
  <c r="H18" i="3"/>
  <c r="J18" i="3" s="1"/>
  <c r="H19" i="3"/>
  <c r="J19" i="3" s="1"/>
  <c r="H20" i="3"/>
  <c r="J20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27" i="3"/>
  <c r="J27" i="3" s="1"/>
  <c r="H28" i="3"/>
  <c r="J28" i="3" s="1"/>
  <c r="H29" i="3"/>
  <c r="J29" i="3" s="1"/>
  <c r="H30" i="3"/>
  <c r="J30" i="3" s="1"/>
  <c r="H31" i="3"/>
  <c r="J31" i="3" s="1"/>
  <c r="H32" i="3"/>
  <c r="J32" i="3" s="1"/>
  <c r="H3" i="3"/>
  <c r="J3" i="3" s="1"/>
  <c r="H4" i="3"/>
  <c r="J4" i="3" s="1"/>
  <c r="H5" i="3"/>
  <c r="J5" i="3" s="1"/>
  <c r="H6" i="3"/>
  <c r="J6" i="3" s="1"/>
  <c r="H2" i="3"/>
  <c r="J2" i="3" s="1"/>
  <c r="N5" i="1"/>
  <c r="D2" i="12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D2" i="7"/>
  <c r="E2" i="7" s="1"/>
  <c r="F2" i="7" s="1"/>
  <c r="K30" i="1"/>
  <c r="K31" i="1"/>
  <c r="K26" i="1"/>
  <c r="K33" i="1"/>
  <c r="K27" i="1"/>
  <c r="K32" i="1"/>
  <c r="K28" i="1"/>
  <c r="K24" i="1"/>
  <c r="K25" i="1"/>
  <c r="K34" i="1"/>
  <c r="K29" i="1"/>
  <c r="J30" i="1"/>
  <c r="J31" i="1"/>
  <c r="J26" i="1"/>
  <c r="J33" i="1"/>
  <c r="J27" i="1"/>
  <c r="J32" i="1"/>
  <c r="J28" i="1"/>
  <c r="J24" i="1"/>
  <c r="J25" i="1"/>
  <c r="J34" i="1"/>
  <c r="J29" i="1"/>
  <c r="C13" i="1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O4" i="5"/>
  <c r="O5" i="5"/>
  <c r="O6" i="5"/>
  <c r="O7" i="5"/>
  <c r="O8" i="5"/>
  <c r="O9" i="5"/>
  <c r="O10" i="5"/>
  <c r="C10" i="13" s="1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N4" i="5"/>
  <c r="N5" i="5"/>
  <c r="N6" i="5"/>
  <c r="N7" i="5"/>
  <c r="N8" i="5"/>
  <c r="N9" i="5"/>
  <c r="N10" i="5"/>
  <c r="C9" i="13" s="1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P2" i="5"/>
  <c r="P25" i="1" s="1"/>
  <c r="P3" i="5"/>
  <c r="P24" i="1" s="1"/>
  <c r="P4" i="5"/>
  <c r="P27" i="1" s="1"/>
  <c r="P5" i="5"/>
  <c r="P26" i="1" s="1"/>
  <c r="P6" i="5"/>
  <c r="P28" i="1" s="1"/>
  <c r="P7" i="5"/>
  <c r="P29" i="1" s="1"/>
  <c r="P8" i="5"/>
  <c r="P39" i="1" s="1"/>
  <c r="P9" i="5"/>
  <c r="P40" i="1" s="1"/>
  <c r="P10" i="5"/>
  <c r="P41" i="1" s="1"/>
  <c r="P11" i="5"/>
  <c r="P36" i="1" s="1"/>
  <c r="P12" i="5"/>
  <c r="P37" i="1" s="1"/>
  <c r="P13" i="5"/>
  <c r="P35" i="1" s="1"/>
  <c r="P14" i="5"/>
  <c r="P34" i="1" s="1"/>
  <c r="P15" i="5"/>
  <c r="P100" i="1" s="1"/>
  <c r="P16" i="5"/>
  <c r="P99" i="1" s="1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F2" i="5"/>
  <c r="F3" i="5"/>
  <c r="M3" i="5" s="1"/>
  <c r="F4" i="5"/>
  <c r="F5" i="5"/>
  <c r="M5" i="5" s="1"/>
  <c r="F6" i="5"/>
  <c r="M6" i="5" s="1"/>
  <c r="F7" i="5"/>
  <c r="M7" i="5" s="1"/>
  <c r="F8" i="5"/>
  <c r="M8" i="5" s="1"/>
  <c r="F9" i="5"/>
  <c r="F10" i="5"/>
  <c r="M10" i="5" s="1"/>
  <c r="F11" i="5"/>
  <c r="M11" i="5" s="1"/>
  <c r="F12" i="5"/>
  <c r="F13" i="5"/>
  <c r="F14" i="5"/>
  <c r="M14" i="5" s="1"/>
  <c r="F15" i="5"/>
  <c r="M15" i="5" s="1"/>
  <c r="F16" i="5"/>
  <c r="M16" i="5" s="1"/>
  <c r="F17" i="5"/>
  <c r="M17" i="5" s="1"/>
  <c r="F18" i="5"/>
  <c r="M18" i="5" s="1"/>
  <c r="F19" i="5"/>
  <c r="M19" i="5" s="1"/>
  <c r="F20" i="5"/>
  <c r="M20" i="5" s="1"/>
  <c r="F21" i="5"/>
  <c r="M21" i="5" s="1"/>
  <c r="F22" i="5"/>
  <c r="M22" i="5" s="1"/>
  <c r="F23" i="5"/>
  <c r="M23" i="5" s="1"/>
  <c r="F24" i="5"/>
  <c r="M24" i="5" s="1"/>
  <c r="F25" i="5"/>
  <c r="M25" i="5" s="1"/>
  <c r="F26" i="5"/>
  <c r="M26" i="5" s="1"/>
  <c r="F27" i="5"/>
  <c r="M27" i="5" s="1"/>
  <c r="F28" i="5"/>
  <c r="M28" i="5" s="1"/>
  <c r="F29" i="5"/>
  <c r="M29" i="5" s="1"/>
  <c r="F30" i="5"/>
  <c r="M30" i="5" s="1"/>
  <c r="F31" i="5"/>
  <c r="M31" i="5" s="1"/>
  <c r="F32" i="5"/>
  <c r="M32" i="5" s="1"/>
  <c r="F33" i="5"/>
  <c r="M33" i="5" s="1"/>
  <c r="F34" i="5"/>
  <c r="M34" i="5" s="1"/>
  <c r="F35" i="5"/>
  <c r="M35" i="5" s="1"/>
  <c r="F36" i="5"/>
  <c r="M36" i="5" s="1"/>
  <c r="F37" i="5"/>
  <c r="M37" i="5" s="1"/>
  <c r="F38" i="5"/>
  <c r="M38" i="5" s="1"/>
  <c r="F39" i="5"/>
  <c r="M39" i="5" s="1"/>
  <c r="F40" i="5"/>
  <c r="M40" i="5" s="1"/>
  <c r="F41" i="5"/>
  <c r="M41" i="5" s="1"/>
  <c r="F42" i="5"/>
  <c r="M42" i="5" s="1"/>
  <c r="F43" i="5"/>
  <c r="M43" i="5" s="1"/>
  <c r="F44" i="5"/>
  <c r="M44" i="5" s="1"/>
  <c r="F45" i="5"/>
  <c r="M45" i="5" s="1"/>
  <c r="F46" i="5"/>
  <c r="M46" i="5" s="1"/>
  <c r="F47" i="5"/>
  <c r="M47" i="5" s="1"/>
  <c r="F48" i="5"/>
  <c r="M48" i="5" s="1"/>
  <c r="F49" i="5"/>
  <c r="M49" i="5" s="1"/>
  <c r="F50" i="5"/>
  <c r="M50" i="5" s="1"/>
  <c r="F51" i="5"/>
  <c r="M51" i="5" s="1"/>
  <c r="F52" i="5"/>
  <c r="M52" i="5" s="1"/>
  <c r="F53" i="5"/>
  <c r="M53" i="5" s="1"/>
  <c r="F54" i="5"/>
  <c r="M54" i="5" s="1"/>
  <c r="F55" i="5"/>
  <c r="M55" i="5" s="1"/>
  <c r="F56" i="5"/>
  <c r="M56" i="5" s="1"/>
  <c r="F57" i="5"/>
  <c r="M57" i="5" s="1"/>
  <c r="F58" i="5"/>
  <c r="M58" i="5" s="1"/>
  <c r="F59" i="5"/>
  <c r="M59" i="5" s="1"/>
  <c r="F60" i="5"/>
  <c r="M60" i="5" s="1"/>
  <c r="F61" i="5"/>
  <c r="M61" i="5" s="1"/>
  <c r="F62" i="5"/>
  <c r="M62" i="5" s="1"/>
  <c r="F63" i="5"/>
  <c r="M63" i="5" s="1"/>
  <c r="F64" i="5"/>
  <c r="M64" i="5" s="1"/>
  <c r="F65" i="5"/>
  <c r="M65" i="5" s="1"/>
  <c r="F66" i="5"/>
  <c r="M66" i="5" s="1"/>
  <c r="F67" i="5"/>
  <c r="M67" i="5" s="1"/>
  <c r="F68" i="5"/>
  <c r="M68" i="5" s="1"/>
  <c r="F69" i="5"/>
  <c r="M69" i="5" s="1"/>
  <c r="F70" i="5"/>
  <c r="M70" i="5" s="1"/>
  <c r="F71" i="5"/>
  <c r="M71" i="5" s="1"/>
  <c r="F72" i="5"/>
  <c r="M72" i="5" s="1"/>
  <c r="F73" i="5"/>
  <c r="M73" i="5" s="1"/>
  <c r="F74" i="5"/>
  <c r="M74" i="5" s="1"/>
  <c r="F75" i="5"/>
  <c r="M75" i="5" s="1"/>
  <c r="F76" i="5"/>
  <c r="M76" i="5" s="1"/>
  <c r="F77" i="5"/>
  <c r="M77" i="5" s="1"/>
  <c r="F78" i="5"/>
  <c r="M78" i="5" s="1"/>
  <c r="F79" i="5"/>
  <c r="M79" i="5" s="1"/>
  <c r="F80" i="5"/>
  <c r="M80" i="5" s="1"/>
  <c r="F81" i="5"/>
  <c r="M81" i="5" s="1"/>
  <c r="F82" i="5"/>
  <c r="M82" i="5" s="1"/>
  <c r="F83" i="5"/>
  <c r="M83" i="5" s="1"/>
  <c r="F84" i="5"/>
  <c r="M84" i="5" s="1"/>
  <c r="F85" i="5"/>
  <c r="M85" i="5" s="1"/>
  <c r="F86" i="5"/>
  <c r="M86" i="5" s="1"/>
  <c r="F87" i="5"/>
  <c r="M87" i="5" s="1"/>
  <c r="F88" i="5"/>
  <c r="M88" i="5" s="1"/>
  <c r="F89" i="5"/>
  <c r="M89" i="5" s="1"/>
  <c r="F90" i="5"/>
  <c r="M90" i="5" s="1"/>
  <c r="F91" i="5"/>
  <c r="M91" i="5" s="1"/>
  <c r="F92" i="5"/>
  <c r="M92" i="5" s="1"/>
  <c r="F93" i="5"/>
  <c r="M93" i="5" s="1"/>
  <c r="F94" i="5"/>
  <c r="M94" i="5" s="1"/>
  <c r="F95" i="5"/>
  <c r="M95" i="5" s="1"/>
  <c r="F96" i="5"/>
  <c r="M96" i="5" s="1"/>
  <c r="F97" i="5"/>
  <c r="M97" i="5" s="1"/>
  <c r="F98" i="5"/>
  <c r="M98" i="5" s="1"/>
  <c r="F99" i="5"/>
  <c r="M99" i="5" s="1"/>
  <c r="F100" i="5"/>
  <c r="M100" i="5" s="1"/>
  <c r="F101" i="5"/>
  <c r="M101" i="5" s="1"/>
  <c r="F102" i="5"/>
  <c r="M102" i="5" s="1"/>
  <c r="F103" i="5"/>
  <c r="M103" i="5" s="1"/>
  <c r="F104" i="5"/>
  <c r="M104" i="5" s="1"/>
  <c r="F105" i="5"/>
  <c r="M105" i="5" s="1"/>
  <c r="F106" i="5"/>
  <c r="M106" i="5" s="1"/>
  <c r="F107" i="5"/>
  <c r="M107" i="5" s="1"/>
  <c r="F108" i="5"/>
  <c r="M108" i="5" s="1"/>
  <c r="F109" i="5"/>
  <c r="M109" i="5" s="1"/>
  <c r="F110" i="5"/>
  <c r="M110" i="5" s="1"/>
  <c r="F111" i="5"/>
  <c r="M111" i="5" s="1"/>
  <c r="F112" i="5"/>
  <c r="M112" i="5" s="1"/>
  <c r="F113" i="5"/>
  <c r="M113" i="5" s="1"/>
  <c r="F114" i="5"/>
  <c r="M114" i="5" s="1"/>
  <c r="F115" i="5"/>
  <c r="M115" i="5" s="1"/>
  <c r="F116" i="5"/>
  <c r="M116" i="5" s="1"/>
  <c r="F117" i="5"/>
  <c r="M117" i="5" s="1"/>
  <c r="F118" i="5"/>
  <c r="M118" i="5" s="1"/>
  <c r="F119" i="5"/>
  <c r="M119" i="5" s="1"/>
  <c r="F120" i="5"/>
  <c r="M120" i="5" s="1"/>
  <c r="F121" i="5"/>
  <c r="M121" i="5" s="1"/>
  <c r="F122" i="5"/>
  <c r="M122" i="5" s="1"/>
  <c r="F123" i="5"/>
  <c r="M123" i="5" s="1"/>
  <c r="F124" i="5"/>
  <c r="M124" i="5" s="1"/>
  <c r="F125" i="5"/>
  <c r="M125" i="5" s="1"/>
  <c r="F126" i="5"/>
  <c r="M126" i="5" s="1"/>
  <c r="F127" i="5"/>
  <c r="M127" i="5" s="1"/>
  <c r="F128" i="5"/>
  <c r="M128" i="5" s="1"/>
  <c r="F129" i="5"/>
  <c r="M129" i="5" s="1"/>
  <c r="F130" i="5"/>
  <c r="M130" i="5" s="1"/>
  <c r="F131" i="5"/>
  <c r="M131" i="5" s="1"/>
  <c r="F132" i="5"/>
  <c r="M132" i="5" s="1"/>
  <c r="F133" i="5"/>
  <c r="M133" i="5" s="1"/>
  <c r="F134" i="5"/>
  <c r="M134" i="5" s="1"/>
  <c r="F135" i="5"/>
  <c r="M135" i="5" s="1"/>
  <c r="F136" i="5"/>
  <c r="M136" i="5" s="1"/>
  <c r="F137" i="5"/>
  <c r="M137" i="5" s="1"/>
  <c r="F138" i="5"/>
  <c r="M138" i="5" s="1"/>
  <c r="F139" i="5"/>
  <c r="M139" i="5" s="1"/>
  <c r="F140" i="5"/>
  <c r="M140" i="5" s="1"/>
  <c r="F141" i="5"/>
  <c r="M141" i="5" s="1"/>
  <c r="F142" i="5"/>
  <c r="M142" i="5" s="1"/>
  <c r="F143" i="5"/>
  <c r="M143" i="5" s="1"/>
  <c r="F144" i="5"/>
  <c r="M144" i="5" s="1"/>
  <c r="F145" i="5"/>
  <c r="M145" i="5" s="1"/>
  <c r="F146" i="5"/>
  <c r="M146" i="5" s="1"/>
  <c r="F147" i="5"/>
  <c r="M147" i="5" s="1"/>
  <c r="F148" i="5"/>
  <c r="M148" i="5" s="1"/>
  <c r="F149" i="5"/>
  <c r="M149" i="5" s="1"/>
  <c r="F150" i="5"/>
  <c r="M150" i="5" s="1"/>
  <c r="F151" i="5"/>
  <c r="M151" i="5" s="1"/>
  <c r="F152" i="5"/>
  <c r="M152" i="5" s="1"/>
  <c r="F153" i="5"/>
  <c r="M153" i="5" s="1"/>
  <c r="F154" i="5"/>
  <c r="M154" i="5" s="1"/>
  <c r="F155" i="5"/>
  <c r="M155" i="5" s="1"/>
  <c r="F156" i="5"/>
  <c r="M156" i="5" s="1"/>
  <c r="F157" i="5"/>
  <c r="M157" i="5" s="1"/>
  <c r="F158" i="5"/>
  <c r="M158" i="5" s="1"/>
  <c r="F159" i="5"/>
  <c r="M159" i="5" s="1"/>
  <c r="F160" i="5"/>
  <c r="M160" i="5" s="1"/>
  <c r="F161" i="5"/>
  <c r="M161" i="5" s="1"/>
  <c r="F162" i="5"/>
  <c r="M162" i="5" s="1"/>
  <c r="F163" i="5"/>
  <c r="M163" i="5" s="1"/>
  <c r="F164" i="5"/>
  <c r="M164" i="5" s="1"/>
  <c r="F165" i="5"/>
  <c r="M165" i="5" s="1"/>
  <c r="F166" i="5"/>
  <c r="M166" i="5" s="1"/>
  <c r="F167" i="5"/>
  <c r="M167" i="5" s="1"/>
  <c r="F168" i="5"/>
  <c r="M168" i="5" s="1"/>
  <c r="F169" i="5"/>
  <c r="M169" i="5" s="1"/>
  <c r="F170" i="5"/>
  <c r="M170" i="5" s="1"/>
  <c r="F171" i="5"/>
  <c r="M171" i="5" s="1"/>
  <c r="F172" i="5"/>
  <c r="M172" i="5" s="1"/>
  <c r="F173" i="5"/>
  <c r="M173" i="5" s="1"/>
  <c r="F174" i="5"/>
  <c r="M174" i="5" s="1"/>
  <c r="F175" i="5"/>
  <c r="M175" i="5" s="1"/>
  <c r="F176" i="5"/>
  <c r="M176" i="5" s="1"/>
  <c r="F177" i="5"/>
  <c r="M177" i="5" s="1"/>
  <c r="F178" i="5"/>
  <c r="M178" i="5" s="1"/>
  <c r="F179" i="5"/>
  <c r="M179" i="5" s="1"/>
  <c r="F180" i="5"/>
  <c r="M180" i="5" s="1"/>
  <c r="F181" i="5"/>
  <c r="M181" i="5" s="1"/>
  <c r="F182" i="5"/>
  <c r="M182" i="5" s="1"/>
  <c r="F183" i="5"/>
  <c r="M183" i="5" s="1"/>
  <c r="F184" i="5"/>
  <c r="M184" i="5" s="1"/>
  <c r="F185" i="5"/>
  <c r="M185" i="5" s="1"/>
  <c r="F186" i="5"/>
  <c r="M186" i="5" s="1"/>
  <c r="F187" i="5"/>
  <c r="M187" i="5" s="1"/>
  <c r="F188" i="5"/>
  <c r="M188" i="5" s="1"/>
  <c r="F189" i="5"/>
  <c r="M189" i="5" s="1"/>
  <c r="F190" i="5"/>
  <c r="M190" i="5" s="1"/>
  <c r="F191" i="5"/>
  <c r="M191" i="5" s="1"/>
  <c r="F192" i="5"/>
  <c r="M192" i="5" s="1"/>
  <c r="F193" i="5"/>
  <c r="M193" i="5" s="1"/>
  <c r="F194" i="5"/>
  <c r="M194" i="5" s="1"/>
  <c r="F195" i="5"/>
  <c r="M195" i="5" s="1"/>
  <c r="F196" i="5"/>
  <c r="M196" i="5" s="1"/>
  <c r="F197" i="5"/>
  <c r="M197" i="5" s="1"/>
  <c r="F198" i="5"/>
  <c r="M198" i="5" s="1"/>
  <c r="F199" i="5"/>
  <c r="M199" i="5" s="1"/>
  <c r="F200" i="5"/>
  <c r="M200" i="5" s="1"/>
  <c r="F201" i="5"/>
  <c r="M201" i="5" s="1"/>
  <c r="F202" i="5"/>
  <c r="M202" i="5" s="1"/>
  <c r="F203" i="5"/>
  <c r="M203" i="5" s="1"/>
  <c r="F204" i="5"/>
  <c r="M204" i="5" s="1"/>
  <c r="F205" i="5"/>
  <c r="M205" i="5" s="1"/>
  <c r="F206" i="5"/>
  <c r="M206" i="5" s="1"/>
  <c r="F207" i="5"/>
  <c r="M207" i="5" s="1"/>
  <c r="F208" i="5"/>
  <c r="M208" i="5" s="1"/>
  <c r="F209" i="5"/>
  <c r="M209" i="5" s="1"/>
  <c r="F210" i="5"/>
  <c r="M210" i="5" s="1"/>
  <c r="F211" i="5"/>
  <c r="M211" i="5" s="1"/>
  <c r="F212" i="5"/>
  <c r="M212" i="5" s="1"/>
  <c r="F213" i="5"/>
  <c r="M213" i="5" s="1"/>
  <c r="F214" i="5"/>
  <c r="M214" i="5" s="1"/>
  <c r="F215" i="5"/>
  <c r="M215" i="5" s="1"/>
  <c r="F216" i="5"/>
  <c r="M216" i="5" s="1"/>
  <c r="F217" i="5"/>
  <c r="M217" i="5" s="1"/>
  <c r="F218" i="5"/>
  <c r="M218" i="5" s="1"/>
  <c r="F219" i="5"/>
  <c r="M219" i="5" s="1"/>
  <c r="F220" i="5"/>
  <c r="M220" i="5" s="1"/>
  <c r="F221" i="5"/>
  <c r="M221" i="5" s="1"/>
  <c r="F222" i="5"/>
  <c r="M222" i="5" s="1"/>
  <c r="F223" i="5"/>
  <c r="M223" i="5" s="1"/>
  <c r="F224" i="5"/>
  <c r="M224" i="5" s="1"/>
  <c r="F225" i="5"/>
  <c r="M225" i="5" s="1"/>
  <c r="F226" i="5"/>
  <c r="M226" i="5" s="1"/>
  <c r="F227" i="5"/>
  <c r="M227" i="5" s="1"/>
  <c r="F228" i="5"/>
  <c r="M228" i="5" s="1"/>
  <c r="F229" i="5"/>
  <c r="M229" i="5" s="1"/>
  <c r="F230" i="5"/>
  <c r="M230" i="5" s="1"/>
  <c r="F231" i="5"/>
  <c r="M231" i="5" s="1"/>
  <c r="F232" i="5"/>
  <c r="M232" i="5" s="1"/>
  <c r="F233" i="5"/>
  <c r="M233" i="5" s="1"/>
  <c r="F234" i="5"/>
  <c r="M234" i="5" s="1"/>
  <c r="F235" i="5"/>
  <c r="M235" i="5" s="1"/>
  <c r="F236" i="5"/>
  <c r="M236" i="5" s="1"/>
  <c r="F237" i="5"/>
  <c r="M237" i="5" s="1"/>
  <c r="F238" i="5"/>
  <c r="M238" i="5" s="1"/>
  <c r="F239" i="5"/>
  <c r="M239" i="5" s="1"/>
  <c r="F240" i="5"/>
  <c r="M240" i="5" s="1"/>
  <c r="F241" i="5"/>
  <c r="M241" i="5" s="1"/>
  <c r="F242" i="5"/>
  <c r="M242" i="5" s="1"/>
  <c r="F243" i="5"/>
  <c r="M243" i="5" s="1"/>
  <c r="F244" i="5"/>
  <c r="M244" i="5" s="1"/>
  <c r="F245" i="5"/>
  <c r="M245" i="5" s="1"/>
  <c r="F246" i="5"/>
  <c r="M246" i="5" s="1"/>
  <c r="F247" i="5"/>
  <c r="M247" i="5" s="1"/>
  <c r="F248" i="5"/>
  <c r="M248" i="5" s="1"/>
  <c r="F249" i="5"/>
  <c r="M249" i="5" s="1"/>
  <c r="F250" i="5"/>
  <c r="M250" i="5" s="1"/>
  <c r="F251" i="5"/>
  <c r="M251" i="5" s="1"/>
  <c r="F252" i="5"/>
  <c r="M252" i="5" s="1"/>
  <c r="F253" i="5"/>
  <c r="M253" i="5" s="1"/>
  <c r="F254" i="5"/>
  <c r="M254" i="5" s="1"/>
  <c r="F255" i="5"/>
  <c r="M255" i="5" s="1"/>
  <c r="F256" i="5"/>
  <c r="M256" i="5" s="1"/>
  <c r="F257" i="5"/>
  <c r="M257" i="5" s="1"/>
  <c r="F258" i="5"/>
  <c r="M258" i="5" s="1"/>
  <c r="F259" i="5"/>
  <c r="M259" i="5" s="1"/>
  <c r="F260" i="5"/>
  <c r="M260" i="5" s="1"/>
  <c r="F261" i="5"/>
  <c r="M261" i="5" s="1"/>
  <c r="F262" i="5"/>
  <c r="M262" i="5" s="1"/>
  <c r="F263" i="5"/>
  <c r="M263" i="5" s="1"/>
  <c r="F264" i="5"/>
  <c r="M264" i="5" s="1"/>
  <c r="F265" i="5"/>
  <c r="M265" i="5" s="1"/>
  <c r="F266" i="5"/>
  <c r="M266" i="5" s="1"/>
  <c r="F267" i="5"/>
  <c r="M267" i="5" s="1"/>
  <c r="F268" i="5"/>
  <c r="M268" i="5" s="1"/>
  <c r="F269" i="5"/>
  <c r="M269" i="5" s="1"/>
  <c r="F270" i="5"/>
  <c r="M270" i="5" s="1"/>
  <c r="F271" i="5"/>
  <c r="M271" i="5" s="1"/>
  <c r="F272" i="5"/>
  <c r="M272" i="5" s="1"/>
  <c r="F273" i="5"/>
  <c r="M273" i="5" s="1"/>
  <c r="F274" i="5"/>
  <c r="M274" i="5" s="1"/>
  <c r="F275" i="5"/>
  <c r="M275" i="5" s="1"/>
  <c r="F276" i="5"/>
  <c r="M276" i="5" s="1"/>
  <c r="F277" i="5"/>
  <c r="M277" i="5" s="1"/>
  <c r="F278" i="5"/>
  <c r="M278" i="5" s="1"/>
  <c r="F279" i="5"/>
  <c r="M279" i="5" s="1"/>
  <c r="F280" i="5"/>
  <c r="M280" i="5" s="1"/>
  <c r="F281" i="5"/>
  <c r="M281" i="5" s="1"/>
  <c r="F282" i="5"/>
  <c r="M282" i="5" s="1"/>
  <c r="F283" i="5"/>
  <c r="M283" i="5" s="1"/>
  <c r="F284" i="5"/>
  <c r="M284" i="5" s="1"/>
  <c r="F285" i="5"/>
  <c r="M285" i="5" s="1"/>
  <c r="F286" i="5"/>
  <c r="M286" i="5" s="1"/>
  <c r="F287" i="5"/>
  <c r="M287" i="5" s="1"/>
  <c r="F288" i="5"/>
  <c r="M288" i="5" s="1"/>
  <c r="F289" i="5"/>
  <c r="M289" i="5" s="1"/>
  <c r="F290" i="5"/>
  <c r="M290" i="5" s="1"/>
  <c r="F291" i="5"/>
  <c r="M291" i="5" s="1"/>
  <c r="F292" i="5"/>
  <c r="M292" i="5" s="1"/>
  <c r="F293" i="5"/>
  <c r="M293" i="5" s="1"/>
  <c r="F294" i="5"/>
  <c r="M294" i="5" s="1"/>
  <c r="F295" i="5"/>
  <c r="M295" i="5" s="1"/>
  <c r="F296" i="5"/>
  <c r="M296" i="5" s="1"/>
  <c r="F297" i="5"/>
  <c r="M297" i="5" s="1"/>
  <c r="F298" i="5"/>
  <c r="M298" i="5" s="1"/>
  <c r="F299" i="5"/>
  <c r="M299" i="5" s="1"/>
  <c r="F300" i="5"/>
  <c r="M300" i="5" s="1"/>
  <c r="F301" i="5"/>
  <c r="M301" i="5" s="1"/>
  <c r="F302" i="5"/>
  <c r="M302" i="5" s="1"/>
  <c r="F303" i="5"/>
  <c r="M303" i="5" s="1"/>
  <c r="F304" i="5"/>
  <c r="M304" i="5" s="1"/>
  <c r="F305" i="5"/>
  <c r="M305" i="5" s="1"/>
  <c r="F306" i="5"/>
  <c r="M306" i="5" s="1"/>
  <c r="F307" i="5"/>
  <c r="M307" i="5" s="1"/>
  <c r="F308" i="5"/>
  <c r="M308" i="5" s="1"/>
  <c r="F309" i="5"/>
  <c r="M309" i="5" s="1"/>
  <c r="F310" i="5"/>
  <c r="M310" i="5" s="1"/>
  <c r="F311" i="5"/>
  <c r="M311" i="5" s="1"/>
  <c r="F312" i="5"/>
  <c r="M312" i="5" s="1"/>
  <c r="F313" i="5"/>
  <c r="M313" i="5" s="1"/>
  <c r="F314" i="5"/>
  <c r="M314" i="5" s="1"/>
  <c r="F315" i="5"/>
  <c r="M315" i="5" s="1"/>
  <c r="F316" i="5"/>
  <c r="M316" i="5" s="1"/>
  <c r="F317" i="5"/>
  <c r="M317" i="5" s="1"/>
  <c r="F318" i="5"/>
  <c r="M318" i="5" s="1"/>
  <c r="F319" i="5"/>
  <c r="M319" i="5" s="1"/>
  <c r="F320" i="5"/>
  <c r="M320" i="5" s="1"/>
  <c r="F321" i="5"/>
  <c r="M321" i="5" s="1"/>
  <c r="F322" i="5"/>
  <c r="M322" i="5" s="1"/>
  <c r="F323" i="5"/>
  <c r="M323" i="5" s="1"/>
  <c r="F324" i="5"/>
  <c r="M324" i="5" s="1"/>
  <c r="F325" i="5"/>
  <c r="M325" i="5" s="1"/>
  <c r="F326" i="5"/>
  <c r="M326" i="5" s="1"/>
  <c r="F327" i="5"/>
  <c r="M327" i="5" s="1"/>
  <c r="F328" i="5"/>
  <c r="M328" i="5" s="1"/>
  <c r="F329" i="5"/>
  <c r="M329" i="5" s="1"/>
  <c r="F330" i="5"/>
  <c r="M330" i="5" s="1"/>
  <c r="F331" i="5"/>
  <c r="M331" i="5" s="1"/>
  <c r="F332" i="5"/>
  <c r="M332" i="5" s="1"/>
  <c r="F333" i="5"/>
  <c r="M333" i="5" s="1"/>
  <c r="F334" i="5"/>
  <c r="M334" i="5" s="1"/>
  <c r="F335" i="5"/>
  <c r="M335" i="5" s="1"/>
  <c r="F336" i="5"/>
  <c r="M336" i="5" s="1"/>
  <c r="F337" i="5"/>
  <c r="M337" i="5" s="1"/>
  <c r="F338" i="5"/>
  <c r="M338" i="5" s="1"/>
  <c r="F339" i="5"/>
  <c r="M339" i="5" s="1"/>
  <c r="F340" i="5"/>
  <c r="M340" i="5" s="1"/>
  <c r="F341" i="5"/>
  <c r="M341" i="5" s="1"/>
  <c r="F342" i="5"/>
  <c r="M342" i="5" s="1"/>
  <c r="F343" i="5"/>
  <c r="M343" i="5" s="1"/>
  <c r="F344" i="5"/>
  <c r="M344" i="5" s="1"/>
  <c r="F345" i="5"/>
  <c r="M345" i="5" s="1"/>
  <c r="F346" i="5"/>
  <c r="M346" i="5" s="1"/>
  <c r="F347" i="5"/>
  <c r="M347" i="5" s="1"/>
  <c r="F348" i="5"/>
  <c r="M348" i="5" s="1"/>
  <c r="F349" i="5"/>
  <c r="M349" i="5" s="1"/>
  <c r="F350" i="5"/>
  <c r="M350" i="5" s="1"/>
  <c r="F351" i="5"/>
  <c r="M351" i="5" s="1"/>
  <c r="F352" i="5"/>
  <c r="M352" i="5" s="1"/>
  <c r="F353" i="5"/>
  <c r="M353" i="5" s="1"/>
  <c r="F354" i="5"/>
  <c r="M354" i="5" s="1"/>
  <c r="F355" i="5"/>
  <c r="M355" i="5" s="1"/>
  <c r="F356" i="5"/>
  <c r="M356" i="5" s="1"/>
  <c r="F357" i="5"/>
  <c r="M357" i="5" s="1"/>
  <c r="F358" i="5"/>
  <c r="M358" i="5" s="1"/>
  <c r="F359" i="5"/>
  <c r="M359" i="5" s="1"/>
  <c r="F360" i="5"/>
  <c r="M360" i="5" s="1"/>
  <c r="F361" i="5"/>
  <c r="M361" i="5" s="1"/>
  <c r="F362" i="5"/>
  <c r="M362" i="5" s="1"/>
  <c r="F363" i="5"/>
  <c r="M363" i="5" s="1"/>
  <c r="F364" i="5"/>
  <c r="M364" i="5" s="1"/>
  <c r="F365" i="5"/>
  <c r="M365" i="5" s="1"/>
  <c r="F366" i="5"/>
  <c r="M366" i="5" s="1"/>
  <c r="F367" i="5"/>
  <c r="M367" i="5" s="1"/>
  <c r="F368" i="5"/>
  <c r="M368" i="5" s="1"/>
  <c r="F369" i="5"/>
  <c r="M369" i="5" s="1"/>
  <c r="F370" i="5"/>
  <c r="M370" i="5" s="1"/>
  <c r="F371" i="5"/>
  <c r="M371" i="5" s="1"/>
  <c r="F372" i="5"/>
  <c r="M372" i="5" s="1"/>
  <c r="F373" i="5"/>
  <c r="M373" i="5" s="1"/>
  <c r="F374" i="5"/>
  <c r="M374" i="5" s="1"/>
  <c r="F375" i="5"/>
  <c r="M375" i="5" s="1"/>
  <c r="F376" i="5"/>
  <c r="M376" i="5" s="1"/>
  <c r="F377" i="5"/>
  <c r="M377" i="5" s="1"/>
  <c r="F378" i="5"/>
  <c r="M378" i="5" s="1"/>
  <c r="F379" i="5"/>
  <c r="M379" i="5" s="1"/>
  <c r="F380" i="5"/>
  <c r="M380" i="5" s="1"/>
  <c r="F381" i="5"/>
  <c r="M381" i="5" s="1"/>
  <c r="F382" i="5"/>
  <c r="M382" i="5" s="1"/>
  <c r="F383" i="5"/>
  <c r="M383" i="5" s="1"/>
  <c r="F384" i="5"/>
  <c r="M384" i="5" s="1"/>
  <c r="F385" i="5"/>
  <c r="M385" i="5" s="1"/>
  <c r="F386" i="5"/>
  <c r="M386" i="5" s="1"/>
  <c r="F387" i="5"/>
  <c r="M387" i="5" s="1"/>
  <c r="F388" i="5"/>
  <c r="M388" i="5" s="1"/>
  <c r="F389" i="5"/>
  <c r="M389" i="5" s="1"/>
  <c r="F390" i="5"/>
  <c r="M390" i="5" s="1"/>
  <c r="F391" i="5"/>
  <c r="M391" i="5" s="1"/>
  <c r="F392" i="5"/>
  <c r="M392" i="5" s="1"/>
  <c r="F393" i="5"/>
  <c r="M393" i="5" s="1"/>
  <c r="F394" i="5"/>
  <c r="M394" i="5" s="1"/>
  <c r="F395" i="5"/>
  <c r="M395" i="5" s="1"/>
  <c r="F396" i="5"/>
  <c r="M396" i="5" s="1"/>
  <c r="F397" i="5"/>
  <c r="M397" i="5" s="1"/>
  <c r="F398" i="5"/>
  <c r="M398" i="5" s="1"/>
  <c r="F399" i="5"/>
  <c r="M399" i="5" s="1"/>
  <c r="F400" i="5"/>
  <c r="M400" i="5" s="1"/>
  <c r="F401" i="5"/>
  <c r="M401" i="5" s="1"/>
  <c r="F402" i="5"/>
  <c r="M402" i="5" s="1"/>
  <c r="F403" i="5"/>
  <c r="M403" i="5" s="1"/>
  <c r="F404" i="5"/>
  <c r="M404" i="5" s="1"/>
  <c r="F405" i="5"/>
  <c r="M405" i="5" s="1"/>
  <c r="F406" i="5"/>
  <c r="M406" i="5" s="1"/>
  <c r="F407" i="5"/>
  <c r="M407" i="5" s="1"/>
  <c r="F408" i="5"/>
  <c r="M408" i="5" s="1"/>
  <c r="F409" i="5"/>
  <c r="M409" i="5" s="1"/>
  <c r="F410" i="5"/>
  <c r="M410" i="5" s="1"/>
  <c r="F411" i="5"/>
  <c r="M411" i="5" s="1"/>
  <c r="F412" i="5"/>
  <c r="M412" i="5" s="1"/>
  <c r="F413" i="5"/>
  <c r="M413" i="5" s="1"/>
  <c r="F414" i="5"/>
  <c r="M414" i="5" s="1"/>
  <c r="F415" i="5"/>
  <c r="M415" i="5" s="1"/>
  <c r="F416" i="5"/>
  <c r="M416" i="5" s="1"/>
  <c r="F417" i="5"/>
  <c r="M417" i="5" s="1"/>
  <c r="F418" i="5"/>
  <c r="M418" i="5" s="1"/>
  <c r="F419" i="5"/>
  <c r="M419" i="5" s="1"/>
  <c r="F420" i="5"/>
  <c r="M420" i="5" s="1"/>
  <c r="F421" i="5"/>
  <c r="M421" i="5" s="1"/>
  <c r="F422" i="5"/>
  <c r="M422" i="5" s="1"/>
  <c r="F423" i="5"/>
  <c r="M423" i="5" s="1"/>
  <c r="F424" i="5"/>
  <c r="M424" i="5" s="1"/>
  <c r="F425" i="5"/>
  <c r="M425" i="5" s="1"/>
  <c r="F426" i="5"/>
  <c r="M426" i="5" s="1"/>
  <c r="F427" i="5"/>
  <c r="M427" i="5" s="1"/>
  <c r="F428" i="5"/>
  <c r="M428" i="5" s="1"/>
  <c r="F429" i="5"/>
  <c r="M429" i="5" s="1"/>
  <c r="F430" i="5"/>
  <c r="M430" i="5" s="1"/>
  <c r="F431" i="5"/>
  <c r="M431" i="5" s="1"/>
  <c r="F432" i="5"/>
  <c r="M432" i="5" s="1"/>
  <c r="F433" i="5"/>
  <c r="M433" i="5" s="1"/>
  <c r="F434" i="5"/>
  <c r="M434" i="5" s="1"/>
  <c r="F435" i="5"/>
  <c r="M435" i="5" s="1"/>
  <c r="F436" i="5"/>
  <c r="M436" i="5" s="1"/>
  <c r="F437" i="5"/>
  <c r="M437" i="5" s="1"/>
  <c r="F438" i="5"/>
  <c r="M438" i="5" s="1"/>
  <c r="F439" i="5"/>
  <c r="M439" i="5" s="1"/>
  <c r="F440" i="5"/>
  <c r="M440" i="5" s="1"/>
  <c r="F441" i="5"/>
  <c r="M441" i="5" s="1"/>
  <c r="F442" i="5"/>
  <c r="M442" i="5" s="1"/>
  <c r="F443" i="5"/>
  <c r="M443" i="5" s="1"/>
  <c r="F444" i="5"/>
  <c r="M444" i="5" s="1"/>
  <c r="F445" i="5"/>
  <c r="M445" i="5" s="1"/>
  <c r="F446" i="5"/>
  <c r="M446" i="5" s="1"/>
  <c r="F447" i="5"/>
  <c r="M447" i="5" s="1"/>
  <c r="F448" i="5"/>
  <c r="M448" i="5" s="1"/>
  <c r="F449" i="5"/>
  <c r="M449" i="5" s="1"/>
  <c r="F450" i="5"/>
  <c r="M450" i="5" s="1"/>
  <c r="F451" i="5"/>
  <c r="M451" i="5" s="1"/>
  <c r="F452" i="5"/>
  <c r="M452" i="5" s="1"/>
  <c r="F453" i="5"/>
  <c r="M453" i="5" s="1"/>
  <c r="F454" i="5"/>
  <c r="M454" i="5" s="1"/>
  <c r="F455" i="5"/>
  <c r="M455" i="5" s="1"/>
  <c r="F456" i="5"/>
  <c r="M456" i="5" s="1"/>
  <c r="F457" i="5"/>
  <c r="M457" i="5" s="1"/>
  <c r="F458" i="5"/>
  <c r="M458" i="5" s="1"/>
  <c r="F459" i="5"/>
  <c r="M459" i="5" s="1"/>
  <c r="F460" i="5"/>
  <c r="M460" i="5" s="1"/>
  <c r="F461" i="5"/>
  <c r="M461" i="5" s="1"/>
  <c r="F462" i="5"/>
  <c r="M462" i="5" s="1"/>
  <c r="F463" i="5"/>
  <c r="M463" i="5" s="1"/>
  <c r="F464" i="5"/>
  <c r="M464" i="5" s="1"/>
  <c r="F465" i="5"/>
  <c r="M465" i="5" s="1"/>
  <c r="F466" i="5"/>
  <c r="M466" i="5" s="1"/>
  <c r="F467" i="5"/>
  <c r="M467" i="5" s="1"/>
  <c r="F468" i="5"/>
  <c r="M468" i="5" s="1"/>
  <c r="F469" i="5"/>
  <c r="M469" i="5" s="1"/>
  <c r="F470" i="5"/>
  <c r="M470" i="5" s="1"/>
  <c r="F471" i="5"/>
  <c r="M471" i="5" s="1"/>
  <c r="F472" i="5"/>
  <c r="M472" i="5" s="1"/>
  <c r="F473" i="5"/>
  <c r="M473" i="5" s="1"/>
  <c r="F474" i="5"/>
  <c r="M474" i="5" s="1"/>
  <c r="F475" i="5"/>
  <c r="M475" i="5" s="1"/>
  <c r="F476" i="5"/>
  <c r="M476" i="5" s="1"/>
  <c r="F477" i="5"/>
  <c r="M477" i="5" s="1"/>
  <c r="F478" i="5"/>
  <c r="M478" i="5" s="1"/>
  <c r="F479" i="5"/>
  <c r="M479" i="5" s="1"/>
  <c r="F480" i="5"/>
  <c r="M480" i="5" s="1"/>
  <c r="F481" i="5"/>
  <c r="M481" i="5" s="1"/>
  <c r="F482" i="5"/>
  <c r="M482" i="5" s="1"/>
  <c r="F483" i="5"/>
  <c r="M483" i="5" s="1"/>
  <c r="F484" i="5"/>
  <c r="M484" i="5" s="1"/>
  <c r="F485" i="5"/>
  <c r="M485" i="5" s="1"/>
  <c r="F486" i="5"/>
  <c r="M486" i="5" s="1"/>
  <c r="F487" i="5"/>
  <c r="M487" i="5" s="1"/>
  <c r="F488" i="5"/>
  <c r="M488" i="5" s="1"/>
  <c r="F489" i="5"/>
  <c r="M489" i="5" s="1"/>
  <c r="F490" i="5"/>
  <c r="M490" i="5" s="1"/>
  <c r="F491" i="5"/>
  <c r="M491" i="5" s="1"/>
  <c r="F492" i="5"/>
  <c r="M492" i="5" s="1"/>
  <c r="F493" i="5"/>
  <c r="M493" i="5" s="1"/>
  <c r="F494" i="5"/>
  <c r="M494" i="5" s="1"/>
  <c r="F495" i="5"/>
  <c r="M495" i="5" s="1"/>
  <c r="F496" i="5"/>
  <c r="M496" i="5" s="1"/>
  <c r="F497" i="5"/>
  <c r="M497" i="5" s="1"/>
  <c r="F498" i="5"/>
  <c r="M498" i="5" s="1"/>
  <c r="F499" i="5"/>
  <c r="M499" i="5" s="1"/>
  <c r="F500" i="5"/>
  <c r="M500" i="5" s="1"/>
  <c r="F501" i="5"/>
  <c r="M501" i="5" s="1"/>
  <c r="F502" i="5"/>
  <c r="M502" i="5" s="1"/>
  <c r="F503" i="5"/>
  <c r="M503" i="5" s="1"/>
  <c r="F504" i="5"/>
  <c r="M504" i="5" s="1"/>
  <c r="F505" i="5"/>
  <c r="M505" i="5" s="1"/>
  <c r="F506" i="5"/>
  <c r="M506" i="5" s="1"/>
  <c r="F507" i="5"/>
  <c r="M507" i="5" s="1"/>
  <c r="F508" i="5"/>
  <c r="M508" i="5" s="1"/>
  <c r="F509" i="5"/>
  <c r="M509" i="5" s="1"/>
  <c r="F510" i="5"/>
  <c r="M510" i="5" s="1"/>
  <c r="F511" i="5"/>
  <c r="M511" i="5" s="1"/>
  <c r="F512" i="5"/>
  <c r="M512" i="5" s="1"/>
  <c r="F513" i="5"/>
  <c r="M513" i="5" s="1"/>
  <c r="F514" i="5"/>
  <c r="M514" i="5" s="1"/>
  <c r="F515" i="5"/>
  <c r="M515" i="5" s="1"/>
  <c r="F516" i="5"/>
  <c r="M516" i="5" s="1"/>
  <c r="F517" i="5"/>
  <c r="M517" i="5" s="1"/>
  <c r="F518" i="5"/>
  <c r="M518" i="5" s="1"/>
  <c r="F519" i="5"/>
  <c r="M519" i="5" s="1"/>
  <c r="F520" i="5"/>
  <c r="M520" i="5" s="1"/>
  <c r="F521" i="5"/>
  <c r="M521" i="5" s="1"/>
  <c r="F522" i="5"/>
  <c r="M522" i="5" s="1"/>
  <c r="F523" i="5"/>
  <c r="M523" i="5" s="1"/>
  <c r="F524" i="5"/>
  <c r="M524" i="5" s="1"/>
  <c r="F525" i="5"/>
  <c r="M525" i="5" s="1"/>
  <c r="F526" i="5"/>
  <c r="M526" i="5" s="1"/>
  <c r="F527" i="5"/>
  <c r="M527" i="5" s="1"/>
  <c r="F528" i="5"/>
  <c r="M528" i="5" s="1"/>
  <c r="F529" i="5"/>
  <c r="M529" i="5" s="1"/>
  <c r="F530" i="5"/>
  <c r="M530" i="5" s="1"/>
  <c r="F531" i="5"/>
  <c r="M531" i="5" s="1"/>
  <c r="F532" i="5"/>
  <c r="M532" i="5" s="1"/>
  <c r="F533" i="5"/>
  <c r="M533" i="5" s="1"/>
  <c r="F534" i="5"/>
  <c r="M534" i="5" s="1"/>
  <c r="F535" i="5"/>
  <c r="M535" i="5" s="1"/>
  <c r="F536" i="5"/>
  <c r="M536" i="5" s="1"/>
  <c r="F537" i="5"/>
  <c r="M537" i="5" s="1"/>
  <c r="F538" i="5"/>
  <c r="M538" i="5" s="1"/>
  <c r="F539" i="5"/>
  <c r="M539" i="5" s="1"/>
  <c r="F540" i="5"/>
  <c r="M540" i="5" s="1"/>
  <c r="F541" i="5"/>
  <c r="M541" i="5" s="1"/>
  <c r="F542" i="5"/>
  <c r="M542" i="5" s="1"/>
  <c r="F543" i="5"/>
  <c r="M543" i="5" s="1"/>
  <c r="F544" i="5"/>
  <c r="M544" i="5" s="1"/>
  <c r="F545" i="5"/>
  <c r="M545" i="5" s="1"/>
  <c r="F546" i="5"/>
  <c r="M546" i="5" s="1"/>
  <c r="F547" i="5"/>
  <c r="M547" i="5" s="1"/>
  <c r="F548" i="5"/>
  <c r="M548" i="5" s="1"/>
  <c r="F549" i="5"/>
  <c r="M549" i="5" s="1"/>
  <c r="F550" i="5"/>
  <c r="M550" i="5" s="1"/>
  <c r="F551" i="5"/>
  <c r="M551" i="5" s="1"/>
  <c r="F552" i="5"/>
  <c r="M552" i="5" s="1"/>
  <c r="F553" i="5"/>
  <c r="M553" i="5" s="1"/>
  <c r="F554" i="5"/>
  <c r="M554" i="5" s="1"/>
  <c r="F555" i="5"/>
  <c r="M555" i="5" s="1"/>
  <c r="F556" i="5"/>
  <c r="M556" i="5" s="1"/>
  <c r="F557" i="5"/>
  <c r="M557" i="5" s="1"/>
  <c r="F558" i="5"/>
  <c r="M558" i="5" s="1"/>
  <c r="F559" i="5"/>
  <c r="M559" i="5" s="1"/>
  <c r="F560" i="5"/>
  <c r="M560" i="5" s="1"/>
  <c r="F561" i="5"/>
  <c r="M561" i="5" s="1"/>
  <c r="F562" i="5"/>
  <c r="M562" i="5" s="1"/>
  <c r="F563" i="5"/>
  <c r="M563" i="5" s="1"/>
  <c r="F564" i="5"/>
  <c r="M564" i="5" s="1"/>
  <c r="F565" i="5"/>
  <c r="M565" i="5" s="1"/>
  <c r="F566" i="5"/>
  <c r="M566" i="5" s="1"/>
  <c r="F567" i="5"/>
  <c r="M567" i="5" s="1"/>
  <c r="F568" i="5"/>
  <c r="M568" i="5" s="1"/>
  <c r="F569" i="5"/>
  <c r="M569" i="5" s="1"/>
  <c r="F570" i="5"/>
  <c r="M570" i="5" s="1"/>
  <c r="F571" i="5"/>
  <c r="M571" i="5" s="1"/>
  <c r="F572" i="5"/>
  <c r="M572" i="5" s="1"/>
  <c r="F573" i="5"/>
  <c r="M573" i="5" s="1"/>
  <c r="F574" i="5"/>
  <c r="M574" i="5" s="1"/>
  <c r="F575" i="5"/>
  <c r="M575" i="5" s="1"/>
  <c r="F576" i="5"/>
  <c r="M576" i="5" s="1"/>
  <c r="F577" i="5"/>
  <c r="M577" i="5" s="1"/>
  <c r="F578" i="5"/>
  <c r="M578" i="5" s="1"/>
  <c r="F579" i="5"/>
  <c r="M579" i="5" s="1"/>
  <c r="F580" i="5"/>
  <c r="M580" i="5" s="1"/>
  <c r="F581" i="5"/>
  <c r="M581" i="5" s="1"/>
  <c r="F582" i="5"/>
  <c r="M582" i="5" s="1"/>
  <c r="F583" i="5"/>
  <c r="M583" i="5" s="1"/>
  <c r="F584" i="5"/>
  <c r="M584" i="5" s="1"/>
  <c r="F585" i="5"/>
  <c r="M585" i="5" s="1"/>
  <c r="F586" i="5"/>
  <c r="M586" i="5" s="1"/>
  <c r="F587" i="5"/>
  <c r="M587" i="5" s="1"/>
  <c r="F588" i="5"/>
  <c r="M588" i="5" s="1"/>
  <c r="F589" i="5"/>
  <c r="M589" i="5" s="1"/>
  <c r="F590" i="5"/>
  <c r="M590" i="5" s="1"/>
  <c r="F591" i="5"/>
  <c r="F592" i="5"/>
  <c r="M592" i="5" s="1"/>
  <c r="F593" i="5"/>
  <c r="M593" i="5" s="1"/>
  <c r="F594" i="5"/>
  <c r="M594" i="5" s="1"/>
  <c r="F595" i="5"/>
  <c r="F596" i="5"/>
  <c r="M596" i="5" s="1"/>
  <c r="F597" i="5"/>
  <c r="M597" i="5" s="1"/>
  <c r="F598" i="5"/>
  <c r="M598" i="5" s="1"/>
  <c r="F599" i="5"/>
  <c r="F600" i="5"/>
  <c r="M600" i="5" s="1"/>
  <c r="F601" i="5"/>
  <c r="M601" i="5" s="1"/>
  <c r="F602" i="5"/>
  <c r="M602" i="5" s="1"/>
  <c r="F603" i="5"/>
  <c r="F604" i="5"/>
  <c r="M604" i="5" s="1"/>
  <c r="F605" i="5"/>
  <c r="M605" i="5" s="1"/>
  <c r="F606" i="5"/>
  <c r="M606" i="5" s="1"/>
  <c r="F607" i="5"/>
  <c r="F608" i="5"/>
  <c r="M608" i="5" s="1"/>
  <c r="F609" i="5"/>
  <c r="M609" i="5" s="1"/>
  <c r="F610" i="5"/>
  <c r="M610" i="5" s="1"/>
  <c r="F611" i="5"/>
  <c r="F612" i="5"/>
  <c r="M612" i="5" s="1"/>
  <c r="F613" i="5"/>
  <c r="M613" i="5" s="1"/>
  <c r="F614" i="5"/>
  <c r="M614" i="5" s="1"/>
  <c r="F615" i="5"/>
  <c r="F616" i="5"/>
  <c r="M616" i="5" s="1"/>
  <c r="F617" i="5"/>
  <c r="M617" i="5" s="1"/>
  <c r="F618" i="5"/>
  <c r="M618" i="5" s="1"/>
  <c r="F619" i="5"/>
  <c r="F620" i="5"/>
  <c r="M620" i="5" s="1"/>
  <c r="F621" i="5"/>
  <c r="M621" i="5" s="1"/>
  <c r="F622" i="5"/>
  <c r="M622" i="5" s="1"/>
  <c r="F623" i="5"/>
  <c r="F624" i="5"/>
  <c r="M624" i="5" s="1"/>
  <c r="F625" i="5"/>
  <c r="M625" i="5" s="1"/>
  <c r="F626" i="5"/>
  <c r="M626" i="5" s="1"/>
  <c r="F627" i="5"/>
  <c r="F628" i="5"/>
  <c r="M628" i="5" s="1"/>
  <c r="F629" i="5"/>
  <c r="M629" i="5" s="1"/>
  <c r="F630" i="5"/>
  <c r="M630" i="5" s="1"/>
  <c r="F631" i="5"/>
  <c r="F632" i="5"/>
  <c r="M632" i="5" s="1"/>
  <c r="F633" i="5"/>
  <c r="M633" i="5" s="1"/>
  <c r="F634" i="5"/>
  <c r="M634" i="5" s="1"/>
  <c r="F635" i="5"/>
  <c r="F636" i="5"/>
  <c r="M636" i="5" s="1"/>
  <c r="F637" i="5"/>
  <c r="M637" i="5" s="1"/>
  <c r="F638" i="5"/>
  <c r="M638" i="5" s="1"/>
  <c r="F639" i="5"/>
  <c r="F640" i="5"/>
  <c r="M640" i="5" s="1"/>
  <c r="F641" i="5"/>
  <c r="M641" i="5" s="1"/>
  <c r="F642" i="5"/>
  <c r="M642" i="5" s="1"/>
  <c r="F643" i="5"/>
  <c r="F644" i="5"/>
  <c r="M644" i="5" s="1"/>
  <c r="F645" i="5"/>
  <c r="M645" i="5" s="1"/>
  <c r="F646" i="5"/>
  <c r="M646" i="5" s="1"/>
  <c r="F647" i="5"/>
  <c r="F648" i="5"/>
  <c r="M648" i="5" s="1"/>
  <c r="F649" i="5"/>
  <c r="M649" i="5" s="1"/>
  <c r="F650" i="5"/>
  <c r="M650" i="5" s="1"/>
  <c r="F651" i="5"/>
  <c r="F652" i="5"/>
  <c r="M652" i="5" s="1"/>
  <c r="F653" i="5"/>
  <c r="M653" i="5" s="1"/>
  <c r="F654" i="5"/>
  <c r="M654" i="5" s="1"/>
  <c r="F655" i="5"/>
  <c r="F656" i="5"/>
  <c r="M656" i="5" s="1"/>
  <c r="F657" i="5"/>
  <c r="M657" i="5" s="1"/>
  <c r="F658" i="5"/>
  <c r="M658" i="5" s="1"/>
  <c r="F659" i="5"/>
  <c r="F660" i="5"/>
  <c r="M660" i="5" s="1"/>
  <c r="F661" i="5"/>
  <c r="M661" i="5" s="1"/>
  <c r="F662" i="5"/>
  <c r="M662" i="5" s="1"/>
  <c r="F663" i="5"/>
  <c r="F664" i="5"/>
  <c r="M664" i="5" s="1"/>
  <c r="F665" i="5"/>
  <c r="M665" i="5" s="1"/>
  <c r="F666" i="5"/>
  <c r="M666" i="5" s="1"/>
  <c r="F667" i="5"/>
  <c r="F668" i="5"/>
  <c r="M668" i="5" s="1"/>
  <c r="F669" i="5"/>
  <c r="M669" i="5" s="1"/>
  <c r="F670" i="5"/>
  <c r="M670" i="5" s="1"/>
  <c r="F671" i="5"/>
  <c r="F672" i="5"/>
  <c r="M672" i="5" s="1"/>
  <c r="F673" i="5"/>
  <c r="M673" i="5" s="1"/>
  <c r="F674" i="5"/>
  <c r="M674" i="5" s="1"/>
  <c r="F675" i="5"/>
  <c r="F676" i="5"/>
  <c r="M676" i="5" s="1"/>
  <c r="F677" i="5"/>
  <c r="M677" i="5" s="1"/>
  <c r="F678" i="5"/>
  <c r="M678" i="5" s="1"/>
  <c r="F679" i="5"/>
  <c r="F680" i="5"/>
  <c r="M680" i="5" s="1"/>
  <c r="F681" i="5"/>
  <c r="M681" i="5" s="1"/>
  <c r="F682" i="5"/>
  <c r="M682" i="5" s="1"/>
  <c r="F683" i="5"/>
  <c r="F684" i="5"/>
  <c r="M684" i="5" s="1"/>
  <c r="F685" i="5"/>
  <c r="M685" i="5" s="1"/>
  <c r="F686" i="5"/>
  <c r="M686" i="5" s="1"/>
  <c r="F687" i="5"/>
  <c r="F688" i="5"/>
  <c r="M688" i="5" s="1"/>
  <c r="F689" i="5"/>
  <c r="M689" i="5" s="1"/>
  <c r="F690" i="5"/>
  <c r="M690" i="5" s="1"/>
  <c r="F691" i="5"/>
  <c r="F692" i="5"/>
  <c r="M692" i="5" s="1"/>
  <c r="F693" i="5"/>
  <c r="M693" i="5" s="1"/>
  <c r="F694" i="5"/>
  <c r="M694" i="5" s="1"/>
  <c r="F695" i="5"/>
  <c r="F696" i="5"/>
  <c r="M696" i="5" s="1"/>
  <c r="F697" i="5"/>
  <c r="M697" i="5" s="1"/>
  <c r="F698" i="5"/>
  <c r="M698" i="5" s="1"/>
  <c r="F699" i="5"/>
  <c r="F700" i="5"/>
  <c r="M700" i="5" s="1"/>
  <c r="F701" i="5"/>
  <c r="M701" i="5" s="1"/>
  <c r="F702" i="5"/>
  <c r="M702" i="5" s="1"/>
  <c r="F703" i="5"/>
  <c r="F704" i="5"/>
  <c r="M704" i="5" s="1"/>
  <c r="F705" i="5"/>
  <c r="M705" i="5" s="1"/>
  <c r="F706" i="5"/>
  <c r="M706" i="5" s="1"/>
  <c r="F707" i="5"/>
  <c r="F708" i="5"/>
  <c r="M708" i="5" s="1"/>
  <c r="F709" i="5"/>
  <c r="M709" i="5" s="1"/>
  <c r="F710" i="5"/>
  <c r="M710" i="5" s="1"/>
  <c r="F711" i="5"/>
  <c r="F712" i="5"/>
  <c r="M712" i="5" s="1"/>
  <c r="F713" i="5"/>
  <c r="M713" i="5" s="1"/>
  <c r="F714" i="5"/>
  <c r="M714" i="5" s="1"/>
  <c r="F715" i="5"/>
  <c r="F716" i="5"/>
  <c r="M716" i="5" s="1"/>
  <c r="F717" i="5"/>
  <c r="M717" i="5" s="1"/>
  <c r="F718" i="5"/>
  <c r="M718" i="5" s="1"/>
  <c r="F719" i="5"/>
  <c r="F720" i="5"/>
  <c r="M720" i="5" s="1"/>
  <c r="F721" i="5"/>
  <c r="M721" i="5" s="1"/>
  <c r="F722" i="5"/>
  <c r="M722" i="5" s="1"/>
  <c r="F723" i="5"/>
  <c r="F724" i="5"/>
  <c r="M724" i="5" s="1"/>
  <c r="F725" i="5"/>
  <c r="M725" i="5" s="1"/>
  <c r="F726" i="5"/>
  <c r="M726" i="5" s="1"/>
  <c r="F727" i="5"/>
  <c r="F728" i="5"/>
  <c r="M728" i="5" s="1"/>
  <c r="F729" i="5"/>
  <c r="M729" i="5" s="1"/>
  <c r="F730" i="5"/>
  <c r="M730" i="5" s="1"/>
  <c r="F731" i="5"/>
  <c r="F732" i="5"/>
  <c r="M732" i="5" s="1"/>
  <c r="F733" i="5"/>
  <c r="M733" i="5" s="1"/>
  <c r="F734" i="5"/>
  <c r="M734" i="5" s="1"/>
  <c r="F735" i="5"/>
  <c r="F736" i="5"/>
  <c r="M736" i="5" s="1"/>
  <c r="F737" i="5"/>
  <c r="M737" i="5" s="1"/>
  <c r="F738" i="5"/>
  <c r="M738" i="5" s="1"/>
  <c r="F739" i="5"/>
  <c r="F740" i="5"/>
  <c r="M740" i="5" s="1"/>
  <c r="F741" i="5"/>
  <c r="M741" i="5" s="1"/>
  <c r="F742" i="5"/>
  <c r="M742" i="5" s="1"/>
  <c r="F743" i="5"/>
  <c r="F744" i="5"/>
  <c r="M744" i="5" s="1"/>
  <c r="F745" i="5"/>
  <c r="M745" i="5" s="1"/>
  <c r="F746" i="5"/>
  <c r="M746" i="5" s="1"/>
  <c r="F747" i="5"/>
  <c r="F748" i="5"/>
  <c r="M748" i="5" s="1"/>
  <c r="F749" i="5"/>
  <c r="M749" i="5" s="1"/>
  <c r="F750" i="5"/>
  <c r="M750" i="5" s="1"/>
  <c r="F751" i="5"/>
  <c r="F752" i="5"/>
  <c r="M752" i="5" s="1"/>
  <c r="F753" i="5"/>
  <c r="M753" i="5" s="1"/>
  <c r="F754" i="5"/>
  <c r="M754" i="5" s="1"/>
  <c r="F755" i="5"/>
  <c r="F756" i="5"/>
  <c r="M756" i="5" s="1"/>
  <c r="F757" i="5"/>
  <c r="M757" i="5" s="1"/>
  <c r="F758" i="5"/>
  <c r="M758" i="5" s="1"/>
  <c r="F759" i="5"/>
  <c r="F760" i="5"/>
  <c r="M760" i="5" s="1"/>
  <c r="F761" i="5"/>
  <c r="M761" i="5" s="1"/>
  <c r="F762" i="5"/>
  <c r="M762" i="5" s="1"/>
  <c r="F763" i="5"/>
  <c r="F764" i="5"/>
  <c r="M764" i="5" s="1"/>
  <c r="F765" i="5"/>
  <c r="M765" i="5" s="1"/>
  <c r="F766" i="5"/>
  <c r="M766" i="5" s="1"/>
  <c r="F767" i="5"/>
  <c r="F768" i="5"/>
  <c r="M768" i="5" s="1"/>
  <c r="F769" i="5"/>
  <c r="M769" i="5" s="1"/>
  <c r="F770" i="5"/>
  <c r="M770" i="5" s="1"/>
  <c r="F771" i="5"/>
  <c r="F772" i="5"/>
  <c r="M772" i="5" s="1"/>
  <c r="F773" i="5"/>
  <c r="M773" i="5" s="1"/>
  <c r="F774" i="5"/>
  <c r="M774" i="5" s="1"/>
  <c r="F775" i="5"/>
  <c r="F776" i="5"/>
  <c r="M776" i="5" s="1"/>
  <c r="F777" i="5"/>
  <c r="M777" i="5" s="1"/>
  <c r="F778" i="5"/>
  <c r="M778" i="5" s="1"/>
  <c r="F779" i="5"/>
  <c r="F780" i="5"/>
  <c r="M780" i="5" s="1"/>
  <c r="F781" i="5"/>
  <c r="M781" i="5" s="1"/>
  <c r="F782" i="5"/>
  <c r="M782" i="5" s="1"/>
  <c r="F783" i="5"/>
  <c r="F784" i="5"/>
  <c r="M784" i="5" s="1"/>
  <c r="F785" i="5"/>
  <c r="M785" i="5" s="1"/>
  <c r="F786" i="5"/>
  <c r="M786" i="5" s="1"/>
  <c r="F787" i="5"/>
  <c r="F788" i="5"/>
  <c r="M788" i="5" s="1"/>
  <c r="F789" i="5"/>
  <c r="M789" i="5" s="1"/>
  <c r="F790" i="5"/>
  <c r="M790" i="5" s="1"/>
  <c r="F791" i="5"/>
  <c r="F792" i="5"/>
  <c r="M792" i="5" s="1"/>
  <c r="F793" i="5"/>
  <c r="M793" i="5" s="1"/>
  <c r="F794" i="5"/>
  <c r="M794" i="5" s="1"/>
  <c r="F795" i="5"/>
  <c r="F796" i="5"/>
  <c r="M796" i="5" s="1"/>
  <c r="F797" i="5"/>
  <c r="M797" i="5" s="1"/>
  <c r="F798" i="5"/>
  <c r="M798" i="5" s="1"/>
  <c r="F799" i="5"/>
  <c r="F800" i="5"/>
  <c r="M800" i="5" s="1"/>
  <c r="F801" i="5"/>
  <c r="M801" i="5" s="1"/>
  <c r="F802" i="5"/>
  <c r="M802" i="5" s="1"/>
  <c r="F803" i="5"/>
  <c r="F804" i="5"/>
  <c r="M804" i="5" s="1"/>
  <c r="F805" i="5"/>
  <c r="M805" i="5" s="1"/>
  <c r="F806" i="5"/>
  <c r="M806" i="5" s="1"/>
  <c r="F807" i="5"/>
  <c r="F808" i="5"/>
  <c r="M808" i="5" s="1"/>
  <c r="F809" i="5"/>
  <c r="M809" i="5" s="1"/>
  <c r="F810" i="5"/>
  <c r="M810" i="5" s="1"/>
  <c r="F811" i="5"/>
  <c r="F812" i="5"/>
  <c r="M812" i="5" s="1"/>
  <c r="F813" i="5"/>
  <c r="M813" i="5" s="1"/>
  <c r="F814" i="5"/>
  <c r="M814" i="5" s="1"/>
  <c r="F815" i="5"/>
  <c r="F816" i="5"/>
  <c r="M816" i="5" s="1"/>
  <c r="F817" i="5"/>
  <c r="M817" i="5" s="1"/>
  <c r="F818" i="5"/>
  <c r="M818" i="5" s="1"/>
  <c r="F819" i="5"/>
  <c r="F820" i="5"/>
  <c r="M820" i="5" s="1"/>
  <c r="F821" i="5"/>
  <c r="M821" i="5" s="1"/>
  <c r="F822" i="5"/>
  <c r="M822" i="5" s="1"/>
  <c r="F823" i="5"/>
  <c r="F824" i="5"/>
  <c r="M824" i="5" s="1"/>
  <c r="F825" i="5"/>
  <c r="M825" i="5" s="1"/>
  <c r="F826" i="5"/>
  <c r="M826" i="5" s="1"/>
  <c r="F827" i="5"/>
  <c r="F828" i="5"/>
  <c r="M828" i="5" s="1"/>
  <c r="F829" i="5"/>
  <c r="M829" i="5" s="1"/>
  <c r="F830" i="5"/>
  <c r="M830" i="5" s="1"/>
  <c r="F831" i="5"/>
  <c r="F832" i="5"/>
  <c r="M832" i="5" s="1"/>
  <c r="F833" i="5"/>
  <c r="M833" i="5" s="1"/>
  <c r="F834" i="5"/>
  <c r="M834" i="5" s="1"/>
  <c r="F835" i="5"/>
  <c r="F836" i="5"/>
  <c r="M836" i="5" s="1"/>
  <c r="F837" i="5"/>
  <c r="M837" i="5" s="1"/>
  <c r="F838" i="5"/>
  <c r="M838" i="5" s="1"/>
  <c r="F839" i="5"/>
  <c r="F840" i="5"/>
  <c r="M840" i="5" s="1"/>
  <c r="F841" i="5"/>
  <c r="M841" i="5" s="1"/>
  <c r="F842" i="5"/>
  <c r="M842" i="5" s="1"/>
  <c r="F843" i="5"/>
  <c r="F844" i="5"/>
  <c r="M844" i="5" s="1"/>
  <c r="F845" i="5"/>
  <c r="M845" i="5" s="1"/>
  <c r="F846" i="5"/>
  <c r="M846" i="5" s="1"/>
  <c r="F847" i="5"/>
  <c r="F848" i="5"/>
  <c r="M848" i="5" s="1"/>
  <c r="F849" i="5"/>
  <c r="M849" i="5" s="1"/>
  <c r="F850" i="5"/>
  <c r="M850" i="5" s="1"/>
  <c r="F851" i="5"/>
  <c r="F852" i="5"/>
  <c r="M852" i="5" s="1"/>
  <c r="F853" i="5"/>
  <c r="M853" i="5" s="1"/>
  <c r="F854" i="5"/>
  <c r="M854" i="5" s="1"/>
  <c r="F855" i="5"/>
  <c r="F856" i="5"/>
  <c r="M856" i="5" s="1"/>
  <c r="F857" i="5"/>
  <c r="M857" i="5" s="1"/>
  <c r="F858" i="5"/>
  <c r="M858" i="5" s="1"/>
  <c r="F859" i="5"/>
  <c r="F860" i="5"/>
  <c r="M860" i="5" s="1"/>
  <c r="F861" i="5"/>
  <c r="M861" i="5" s="1"/>
  <c r="F862" i="5"/>
  <c r="M862" i="5" s="1"/>
  <c r="F863" i="5"/>
  <c r="F864" i="5"/>
  <c r="M864" i="5" s="1"/>
  <c r="F865" i="5"/>
  <c r="M865" i="5" s="1"/>
  <c r="F866" i="5"/>
  <c r="M866" i="5" s="1"/>
  <c r="F867" i="5"/>
  <c r="F868" i="5"/>
  <c r="M868" i="5" s="1"/>
  <c r="F869" i="5"/>
  <c r="M869" i="5" s="1"/>
  <c r="F870" i="5"/>
  <c r="M870" i="5" s="1"/>
  <c r="F871" i="5"/>
  <c r="F872" i="5"/>
  <c r="M872" i="5" s="1"/>
  <c r="F873" i="5"/>
  <c r="M873" i="5" s="1"/>
  <c r="F874" i="5"/>
  <c r="M874" i="5" s="1"/>
  <c r="F875" i="5"/>
  <c r="F876" i="5"/>
  <c r="M876" i="5" s="1"/>
  <c r="F877" i="5"/>
  <c r="M877" i="5" s="1"/>
  <c r="F878" i="5"/>
  <c r="M878" i="5" s="1"/>
  <c r="F879" i="5"/>
  <c r="F880" i="5"/>
  <c r="M880" i="5" s="1"/>
  <c r="F881" i="5"/>
  <c r="M881" i="5" s="1"/>
  <c r="F882" i="5"/>
  <c r="M882" i="5" s="1"/>
  <c r="F883" i="5"/>
  <c r="F884" i="5"/>
  <c r="M884" i="5" s="1"/>
  <c r="F885" i="5"/>
  <c r="M885" i="5" s="1"/>
  <c r="F886" i="5"/>
  <c r="M886" i="5" s="1"/>
  <c r="F887" i="5"/>
  <c r="F888" i="5"/>
  <c r="M888" i="5" s="1"/>
  <c r="F889" i="5"/>
  <c r="M889" i="5" s="1"/>
  <c r="F890" i="5"/>
  <c r="M890" i="5" s="1"/>
  <c r="F891" i="5"/>
  <c r="F892" i="5"/>
  <c r="M892" i="5" s="1"/>
  <c r="F893" i="5"/>
  <c r="M893" i="5" s="1"/>
  <c r="F894" i="5"/>
  <c r="M894" i="5" s="1"/>
  <c r="F895" i="5"/>
  <c r="F896" i="5"/>
  <c r="M896" i="5" s="1"/>
  <c r="F897" i="5"/>
  <c r="M897" i="5" s="1"/>
  <c r="F898" i="5"/>
  <c r="M898" i="5" s="1"/>
  <c r="F899" i="5"/>
  <c r="F900" i="5"/>
  <c r="M900" i="5" s="1"/>
  <c r="F901" i="5"/>
  <c r="M901" i="5" s="1"/>
  <c r="F902" i="5"/>
  <c r="M902" i="5" s="1"/>
  <c r="F903" i="5"/>
  <c r="F904" i="5"/>
  <c r="M904" i="5" s="1"/>
  <c r="F905" i="5"/>
  <c r="M905" i="5" s="1"/>
  <c r="F906" i="5"/>
  <c r="M906" i="5" s="1"/>
  <c r="F907" i="5"/>
  <c r="F908" i="5"/>
  <c r="M908" i="5" s="1"/>
  <c r="F909" i="5"/>
  <c r="M909" i="5" s="1"/>
  <c r="F910" i="5"/>
  <c r="M910" i="5" s="1"/>
  <c r="F911" i="5"/>
  <c r="F912" i="5"/>
  <c r="M912" i="5" s="1"/>
  <c r="F913" i="5"/>
  <c r="M913" i="5" s="1"/>
  <c r="F914" i="5"/>
  <c r="M914" i="5" s="1"/>
  <c r="F915" i="5"/>
  <c r="F916" i="5"/>
  <c r="M916" i="5" s="1"/>
  <c r="F917" i="5"/>
  <c r="M917" i="5" s="1"/>
  <c r="F918" i="5"/>
  <c r="M918" i="5" s="1"/>
  <c r="F919" i="5"/>
  <c r="F920" i="5"/>
  <c r="M920" i="5" s="1"/>
  <c r="F921" i="5"/>
  <c r="M921" i="5" s="1"/>
  <c r="F922" i="5"/>
  <c r="M922" i="5" s="1"/>
  <c r="F923" i="5"/>
  <c r="F924" i="5"/>
  <c r="M924" i="5" s="1"/>
  <c r="F925" i="5"/>
  <c r="M925" i="5" s="1"/>
  <c r="F926" i="5"/>
  <c r="M926" i="5" s="1"/>
  <c r="F927" i="5"/>
  <c r="F928" i="5"/>
  <c r="M928" i="5" s="1"/>
  <c r="F929" i="5"/>
  <c r="M929" i="5" s="1"/>
  <c r="F930" i="5"/>
  <c r="M930" i="5" s="1"/>
  <c r="F931" i="5"/>
  <c r="F932" i="5"/>
  <c r="M932" i="5" s="1"/>
  <c r="F933" i="5"/>
  <c r="M933" i="5" s="1"/>
  <c r="F934" i="5"/>
  <c r="M934" i="5" s="1"/>
  <c r="F935" i="5"/>
  <c r="F936" i="5"/>
  <c r="M936" i="5" s="1"/>
  <c r="F937" i="5"/>
  <c r="M937" i="5" s="1"/>
  <c r="F938" i="5"/>
  <c r="M938" i="5" s="1"/>
  <c r="F939" i="5"/>
  <c r="F940" i="5"/>
  <c r="M940" i="5" s="1"/>
  <c r="F941" i="5"/>
  <c r="M941" i="5" s="1"/>
  <c r="F942" i="5"/>
  <c r="M942" i="5" s="1"/>
  <c r="F943" i="5"/>
  <c r="F944" i="5"/>
  <c r="M944" i="5" s="1"/>
  <c r="F945" i="5"/>
  <c r="M945" i="5" s="1"/>
  <c r="F946" i="5"/>
  <c r="M946" i="5" s="1"/>
  <c r="F947" i="5"/>
  <c r="F948" i="5"/>
  <c r="M948" i="5" s="1"/>
  <c r="F949" i="5"/>
  <c r="M949" i="5" s="1"/>
  <c r="F950" i="5"/>
  <c r="M950" i="5" s="1"/>
  <c r="F951" i="5"/>
  <c r="F952" i="5"/>
  <c r="M952" i="5" s="1"/>
  <c r="F953" i="5"/>
  <c r="M953" i="5" s="1"/>
  <c r="F954" i="5"/>
  <c r="M954" i="5" s="1"/>
  <c r="F955" i="5"/>
  <c r="F956" i="5"/>
  <c r="M956" i="5" s="1"/>
  <c r="F957" i="5"/>
  <c r="M957" i="5" s="1"/>
  <c r="F958" i="5"/>
  <c r="M958" i="5" s="1"/>
  <c r="F959" i="5"/>
  <c r="F960" i="5"/>
  <c r="M960" i="5" s="1"/>
  <c r="F961" i="5"/>
  <c r="M961" i="5" s="1"/>
  <c r="F962" i="5"/>
  <c r="M962" i="5" s="1"/>
  <c r="F963" i="5"/>
  <c r="F964" i="5"/>
  <c r="M964" i="5" s="1"/>
  <c r="F965" i="5"/>
  <c r="M965" i="5" s="1"/>
  <c r="F966" i="5"/>
  <c r="M966" i="5" s="1"/>
  <c r="F967" i="5"/>
  <c r="F968" i="5"/>
  <c r="M968" i="5" s="1"/>
  <c r="F969" i="5"/>
  <c r="M969" i="5" s="1"/>
  <c r="F970" i="5"/>
  <c r="M970" i="5" s="1"/>
  <c r="F971" i="5"/>
  <c r="F972" i="5"/>
  <c r="M972" i="5" s="1"/>
  <c r="F973" i="5"/>
  <c r="M973" i="5" s="1"/>
  <c r="F974" i="5"/>
  <c r="F975" i="5"/>
  <c r="F976" i="5"/>
  <c r="M976" i="5" s="1"/>
  <c r="F977" i="5"/>
  <c r="M977" i="5" s="1"/>
  <c r="F978" i="5"/>
  <c r="F979" i="5"/>
  <c r="F980" i="5"/>
  <c r="M980" i="5" s="1"/>
  <c r="F981" i="5"/>
  <c r="M981" i="5" s="1"/>
  <c r="F982" i="5"/>
  <c r="F983" i="5"/>
  <c r="F984" i="5"/>
  <c r="M984" i="5" s="1"/>
  <c r="F985" i="5"/>
  <c r="M985" i="5" s="1"/>
  <c r="F986" i="5"/>
  <c r="F987" i="5"/>
  <c r="F988" i="5"/>
  <c r="M988" i="5" s="1"/>
  <c r="F989" i="5"/>
  <c r="M989" i="5" s="1"/>
  <c r="F990" i="5"/>
  <c r="F991" i="5"/>
  <c r="F992" i="5"/>
  <c r="M992" i="5" s="1"/>
  <c r="F993" i="5"/>
  <c r="M993" i="5" s="1"/>
  <c r="F994" i="5"/>
  <c r="F995" i="5"/>
  <c r="F996" i="5"/>
  <c r="M996" i="5" s="1"/>
  <c r="F997" i="5"/>
  <c r="M997" i="5" s="1"/>
  <c r="F998" i="5"/>
  <c r="F999" i="5"/>
  <c r="F1000" i="5"/>
  <c r="M1000" i="5" s="1"/>
  <c r="F1001" i="5"/>
  <c r="M1001" i="5" s="1"/>
  <c r="F1002" i="5"/>
  <c r="F1003" i="5"/>
  <c r="F1004" i="5"/>
  <c r="M1004" i="5" s="1"/>
  <c r="F1005" i="5"/>
  <c r="M1005" i="5" s="1"/>
  <c r="F1006" i="5"/>
  <c r="F1007" i="5"/>
  <c r="F1008" i="5"/>
  <c r="M1008" i="5" s="1"/>
  <c r="F1009" i="5"/>
  <c r="M1009" i="5" s="1"/>
  <c r="F1010" i="5"/>
  <c r="F1011" i="5"/>
  <c r="F1012" i="5"/>
  <c r="M1012" i="5" s="1"/>
  <c r="F1013" i="5"/>
  <c r="M1013" i="5" s="1"/>
  <c r="F1014" i="5"/>
  <c r="F1015" i="5"/>
  <c r="F1016" i="5"/>
  <c r="M1016" i="5" s="1"/>
  <c r="F1017" i="5"/>
  <c r="M1017" i="5" s="1"/>
  <c r="F1018" i="5"/>
  <c r="F1019" i="5"/>
  <c r="F1020" i="5"/>
  <c r="M1020" i="5" s="1"/>
  <c r="F1021" i="5"/>
  <c r="M1021" i="5" s="1"/>
  <c r="F1022" i="5"/>
  <c r="F1023" i="5"/>
  <c r="F1024" i="5"/>
  <c r="M1024" i="5" s="1"/>
  <c r="F1025" i="5"/>
  <c r="M1025" i="5" s="1"/>
  <c r="F1026" i="5"/>
  <c r="F1027" i="5"/>
  <c r="F1028" i="5"/>
  <c r="M1028" i="5" s="1"/>
  <c r="F1029" i="5"/>
  <c r="M1029" i="5" s="1"/>
  <c r="F1030" i="5"/>
  <c r="F1031" i="5"/>
  <c r="F1032" i="5"/>
  <c r="M1032" i="5" s="1"/>
  <c r="F1033" i="5"/>
  <c r="M1033" i="5" s="1"/>
  <c r="F1034" i="5"/>
  <c r="F1035" i="5"/>
  <c r="F1036" i="5"/>
  <c r="M1036" i="5" s="1"/>
  <c r="F1037" i="5"/>
  <c r="M1037" i="5" s="1"/>
  <c r="F1038" i="5"/>
  <c r="F1039" i="5"/>
  <c r="O2" i="5"/>
  <c r="O3" i="5"/>
  <c r="N2" i="5"/>
  <c r="N3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C2" i="5"/>
  <c r="C3" i="5"/>
  <c r="C4" i="5"/>
  <c r="C5" i="5"/>
  <c r="C6" i="5"/>
  <c r="C7" i="5"/>
  <c r="C8" i="5"/>
  <c r="C9" i="5"/>
  <c r="C10" i="5"/>
  <c r="C7" i="13" s="1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M1039" i="5" l="1"/>
  <c r="M1035" i="5"/>
  <c r="M1031" i="5"/>
  <c r="M1027" i="5"/>
  <c r="M1023" i="5"/>
  <c r="M1019" i="5"/>
  <c r="M1015" i="5"/>
  <c r="M1011" i="5"/>
  <c r="M1007" i="5"/>
  <c r="M1003" i="5"/>
  <c r="M999" i="5"/>
  <c r="M995" i="5"/>
  <c r="M991" i="5"/>
  <c r="M987" i="5"/>
  <c r="M983" i="5"/>
  <c r="M979" i="5"/>
  <c r="M975" i="5"/>
  <c r="M971" i="5"/>
  <c r="M967" i="5"/>
  <c r="M963" i="5"/>
  <c r="M959" i="5"/>
  <c r="M955" i="5"/>
  <c r="M951" i="5"/>
  <c r="M947" i="5"/>
  <c r="M943" i="5"/>
  <c r="M939" i="5"/>
  <c r="M935" i="5"/>
  <c r="M931" i="5"/>
  <c r="M927" i="5"/>
  <c r="M923" i="5"/>
  <c r="M919" i="5"/>
  <c r="M915" i="5"/>
  <c r="M911" i="5"/>
  <c r="M907" i="5"/>
  <c r="M903" i="5"/>
  <c r="M899" i="5"/>
  <c r="M895" i="5"/>
  <c r="M891" i="5"/>
  <c r="M887" i="5"/>
  <c r="M883" i="5"/>
  <c r="M879" i="5"/>
  <c r="M875" i="5"/>
  <c r="M871" i="5"/>
  <c r="M867" i="5"/>
  <c r="M863" i="5"/>
  <c r="M1034" i="5"/>
  <c r="M1026" i="5"/>
  <c r="M1018" i="5"/>
  <c r="M1010" i="5"/>
  <c r="M1002" i="5"/>
  <c r="M998" i="5"/>
  <c r="M986" i="5"/>
  <c r="M978" i="5"/>
  <c r="M1038" i="5"/>
  <c r="M1030" i="5"/>
  <c r="M1022" i="5"/>
  <c r="M1014" i="5"/>
  <c r="M1006" i="5"/>
  <c r="M994" i="5"/>
  <c r="M990" i="5"/>
  <c r="M982" i="5"/>
  <c r="M974" i="5"/>
  <c r="M859" i="5"/>
  <c r="M855" i="5"/>
  <c r="M851" i="5"/>
  <c r="M847" i="5"/>
  <c r="M843" i="5"/>
  <c r="M839" i="5"/>
  <c r="M835" i="5"/>
  <c r="M831" i="5"/>
  <c r="M827" i="5"/>
  <c r="M823" i="5"/>
  <c r="M819" i="5"/>
  <c r="M815" i="5"/>
  <c r="M811" i="5"/>
  <c r="M807" i="5"/>
  <c r="M803" i="5"/>
  <c r="M799" i="5"/>
  <c r="M795" i="5"/>
  <c r="M791" i="5"/>
  <c r="M787" i="5"/>
  <c r="M783" i="5"/>
  <c r="M779" i="5"/>
  <c r="M775" i="5"/>
  <c r="M771" i="5"/>
  <c r="M767" i="5"/>
  <c r="M763" i="5"/>
  <c r="M759" i="5"/>
  <c r="M755" i="5"/>
  <c r="M751" i="5"/>
  <c r="M747" i="5"/>
  <c r="M743" i="5"/>
  <c r="M739" i="5"/>
  <c r="M735" i="5"/>
  <c r="M731" i="5"/>
  <c r="M727" i="5"/>
  <c r="M723" i="5"/>
  <c r="M719" i="5"/>
  <c r="M715" i="5"/>
  <c r="M711" i="5"/>
  <c r="M707" i="5"/>
  <c r="M703" i="5"/>
  <c r="M699" i="5"/>
  <c r="M695" i="5"/>
  <c r="M691" i="5"/>
  <c r="M687" i="5"/>
  <c r="M683" i="5"/>
  <c r="M679" i="5"/>
  <c r="M675" i="5"/>
  <c r="M671" i="5"/>
  <c r="M667" i="5"/>
  <c r="M663" i="5"/>
  <c r="M659" i="5"/>
  <c r="M655" i="5"/>
  <c r="M651" i="5"/>
  <c r="M647" i="5"/>
  <c r="M643" i="5"/>
  <c r="M639" i="5"/>
  <c r="M635" i="5"/>
  <c r="M631" i="5"/>
  <c r="M627" i="5"/>
  <c r="M623" i="5"/>
  <c r="M619" i="5"/>
  <c r="M615" i="5"/>
  <c r="M611" i="5"/>
  <c r="M607" i="5"/>
  <c r="M603" i="5"/>
  <c r="M599" i="5"/>
  <c r="M595" i="5"/>
  <c r="M591" i="5"/>
  <c r="M553" i="3"/>
  <c r="M521" i="3"/>
  <c r="M489" i="3"/>
  <c r="M457" i="3"/>
  <c r="M425" i="3"/>
  <c r="M393" i="3"/>
  <c r="M361" i="3"/>
  <c r="M329" i="3"/>
  <c r="M297" i="3"/>
  <c r="M265" i="3"/>
  <c r="M233" i="3"/>
  <c r="M201" i="3"/>
  <c r="M169" i="3"/>
  <c r="M137" i="3"/>
  <c r="M105" i="3"/>
  <c r="M73" i="3"/>
  <c r="R16" i="5"/>
  <c r="O99" i="1"/>
  <c r="Q99" i="1" s="1"/>
  <c r="O100" i="1"/>
  <c r="Q100" i="1" s="1"/>
  <c r="R15" i="5"/>
  <c r="R14" i="5"/>
  <c r="O34" i="1"/>
  <c r="M736" i="3"/>
  <c r="W16" i="1"/>
  <c r="R11" i="5"/>
  <c r="O36" i="1"/>
  <c r="O29" i="1"/>
  <c r="R7" i="5"/>
  <c r="R5" i="5"/>
  <c r="O26" i="1"/>
  <c r="O24" i="1"/>
  <c r="R3" i="5"/>
  <c r="O41" i="1"/>
  <c r="R10" i="5"/>
  <c r="O39" i="1"/>
  <c r="R8" i="5"/>
  <c r="O28" i="1"/>
  <c r="R6" i="5"/>
  <c r="M12" i="5"/>
  <c r="Q12" i="5" s="1"/>
  <c r="M4" i="5"/>
  <c r="M2" i="5"/>
  <c r="Q2" i="5" s="1"/>
  <c r="M13" i="5"/>
  <c r="Q13" i="5" s="1"/>
  <c r="M9" i="5"/>
  <c r="M864" i="3"/>
  <c r="M792" i="3"/>
  <c r="M920" i="3"/>
  <c r="M856" i="3"/>
  <c r="M800" i="3"/>
  <c r="M728" i="3"/>
  <c r="M672" i="3"/>
  <c r="M928" i="3"/>
  <c r="M832" i="3"/>
  <c r="M824" i="3"/>
  <c r="M768" i="3"/>
  <c r="M760" i="3"/>
  <c r="M704" i="3"/>
  <c r="M696" i="3"/>
  <c r="M896" i="3"/>
  <c r="M888" i="3"/>
  <c r="M883" i="3"/>
  <c r="M837" i="3"/>
  <c r="M819" i="3"/>
  <c r="M773" i="3"/>
  <c r="M755" i="3"/>
  <c r="M709" i="3"/>
  <c r="M691" i="3"/>
  <c r="M645" i="3"/>
  <c r="M627" i="3"/>
  <c r="M581" i="3"/>
  <c r="M47" i="3"/>
  <c r="A8" i="3"/>
  <c r="M961" i="3"/>
  <c r="M953" i="3"/>
  <c r="M951" i="3"/>
  <c r="M897" i="3"/>
  <c r="M893" i="3"/>
  <c r="M889" i="3"/>
  <c r="M887" i="3"/>
  <c r="M877" i="3"/>
  <c r="M871" i="3"/>
  <c r="M867" i="3"/>
  <c r="M849" i="3"/>
  <c r="M841" i="3"/>
  <c r="M833" i="3"/>
  <c r="M829" i="3"/>
  <c r="M825" i="3"/>
  <c r="M823" i="3"/>
  <c r="M813" i="3"/>
  <c r="M807" i="3"/>
  <c r="M803" i="3"/>
  <c r="M789" i="3"/>
  <c r="M785" i="3"/>
  <c r="M777" i="3"/>
  <c r="M769" i="3"/>
  <c r="M765" i="3"/>
  <c r="M761" i="3"/>
  <c r="M759" i="3"/>
  <c r="M749" i="3"/>
  <c r="M743" i="3"/>
  <c r="M739" i="3"/>
  <c r="M725" i="3"/>
  <c r="M721" i="3"/>
  <c r="M713" i="3"/>
  <c r="M705" i="3"/>
  <c r="M701" i="3"/>
  <c r="M697" i="3"/>
  <c r="M695" i="3"/>
  <c r="M685" i="3"/>
  <c r="M679" i="3"/>
  <c r="M675" i="3"/>
  <c r="M661" i="3"/>
  <c r="M657" i="3"/>
  <c r="M649" i="3"/>
  <c r="M641" i="3"/>
  <c r="M637" i="3"/>
  <c r="M633" i="3"/>
  <c r="M631" i="3"/>
  <c r="M621" i="3"/>
  <c r="M615" i="3"/>
  <c r="M611" i="3"/>
  <c r="M597" i="3"/>
  <c r="M593" i="3"/>
  <c r="M585" i="3"/>
  <c r="M577" i="3"/>
  <c r="M573" i="3"/>
  <c r="M571" i="3"/>
  <c r="M567" i="3"/>
  <c r="M563" i="3"/>
  <c r="M549" i="3"/>
  <c r="M545" i="3"/>
  <c r="M541" i="3"/>
  <c r="M539" i="3"/>
  <c r="M535" i="3"/>
  <c r="M531" i="3"/>
  <c r="M517" i="3"/>
  <c r="M513" i="3"/>
  <c r="M509" i="3"/>
  <c r="M507" i="3"/>
  <c r="M503" i="3"/>
  <c r="M499" i="3"/>
  <c r="M485" i="3"/>
  <c r="M481" i="3"/>
  <c r="M477" i="3"/>
  <c r="M475" i="3"/>
  <c r="M471" i="3"/>
  <c r="M467" i="3"/>
  <c r="M453" i="3"/>
  <c r="M449" i="3"/>
  <c r="M445" i="3"/>
  <c r="M443" i="3"/>
  <c r="M439" i="3"/>
  <c r="M435" i="3"/>
  <c r="M421" i="3"/>
  <c r="M417" i="3"/>
  <c r="M413" i="3"/>
  <c r="M411" i="3"/>
  <c r="M407" i="3"/>
  <c r="M403" i="3"/>
  <c r="M389" i="3"/>
  <c r="M385" i="3"/>
  <c r="M381" i="3"/>
  <c r="M379" i="3"/>
  <c r="M375" i="3"/>
  <c r="M371" i="3"/>
  <c r="M357" i="3"/>
  <c r="M353" i="3"/>
  <c r="M349" i="3"/>
  <c r="M347" i="3"/>
  <c r="M343" i="3"/>
  <c r="M339" i="3"/>
  <c r="M325" i="3"/>
  <c r="M321" i="3"/>
  <c r="M317" i="3"/>
  <c r="M315" i="3"/>
  <c r="M311" i="3"/>
  <c r="M307" i="3"/>
  <c r="M293" i="3"/>
  <c r="M289" i="3"/>
  <c r="M285" i="3"/>
  <c r="M283" i="3"/>
  <c r="M279" i="3"/>
  <c r="M275" i="3"/>
  <c r="M261" i="3"/>
  <c r="M257" i="3"/>
  <c r="M253" i="3"/>
  <c r="M251" i="3"/>
  <c r="M247" i="3"/>
  <c r="M243" i="3"/>
  <c r="M229" i="3"/>
  <c r="M225" i="3"/>
  <c r="M221" i="3"/>
  <c r="M219" i="3"/>
  <c r="M215" i="3"/>
  <c r="M211" i="3"/>
  <c r="M197" i="3"/>
  <c r="M193" i="3"/>
  <c r="M189" i="3"/>
  <c r="M187" i="3"/>
  <c r="M183" i="3"/>
  <c r="M179" i="3"/>
  <c r="M165" i="3"/>
  <c r="M161" i="3"/>
  <c r="M157" i="3"/>
  <c r="M155" i="3"/>
  <c r="M151" i="3"/>
  <c r="M147" i="3"/>
  <c r="M133" i="3"/>
  <c r="M131" i="3"/>
  <c r="M129" i="3"/>
  <c r="M127" i="3"/>
  <c r="M125" i="3"/>
  <c r="M123" i="3"/>
  <c r="M121" i="3"/>
  <c r="M119" i="3"/>
  <c r="M117" i="3"/>
  <c r="M115" i="3"/>
  <c r="M113" i="3"/>
  <c r="M109" i="3"/>
  <c r="M107" i="3"/>
  <c r="M103" i="3"/>
  <c r="M101" i="3"/>
  <c r="M99" i="3"/>
  <c r="M97" i="3"/>
  <c r="M95" i="3"/>
  <c r="M93" i="3"/>
  <c r="M91" i="3"/>
  <c r="M89" i="3"/>
  <c r="M87" i="3"/>
  <c r="M85" i="3"/>
  <c r="M83" i="3"/>
  <c r="M81" i="3"/>
  <c r="M77" i="3"/>
  <c r="M75" i="3"/>
  <c r="M71" i="3"/>
  <c r="M69" i="3"/>
  <c r="M67" i="3"/>
  <c r="M65" i="3"/>
  <c r="M63" i="3"/>
  <c r="M61" i="3"/>
  <c r="M59" i="3"/>
  <c r="M57" i="3"/>
  <c r="M55" i="3"/>
  <c r="M53" i="3"/>
  <c r="M51" i="3"/>
  <c r="M49" i="3"/>
  <c r="M45" i="3"/>
  <c r="M43" i="3"/>
  <c r="M41" i="3"/>
  <c r="M39" i="3"/>
  <c r="M35" i="3"/>
  <c r="M267" i="3"/>
  <c r="M263" i="3"/>
  <c r="M259" i="3"/>
  <c r="M255" i="3"/>
  <c r="M249" i="3"/>
  <c r="M245" i="3"/>
  <c r="M241" i="3"/>
  <c r="M237" i="3"/>
  <c r="M235" i="3"/>
  <c r="M231" i="3"/>
  <c r="M227" i="3"/>
  <c r="M223" i="3"/>
  <c r="M217" i="3"/>
  <c r="M213" i="3"/>
  <c r="M209" i="3"/>
  <c r="M205" i="3"/>
  <c r="M203" i="3"/>
  <c r="M199" i="3"/>
  <c r="M195" i="3"/>
  <c r="M191" i="3"/>
  <c r="M185" i="3"/>
  <c r="M181" i="3"/>
  <c r="M177" i="3"/>
  <c r="M173" i="3"/>
  <c r="M171" i="3"/>
  <c r="M167" i="3"/>
  <c r="M163" i="3"/>
  <c r="M159" i="3"/>
  <c r="M153" i="3"/>
  <c r="M149" i="3"/>
  <c r="M145" i="3"/>
  <c r="M141" i="3"/>
  <c r="M139" i="3"/>
  <c r="M135" i="3"/>
  <c r="M323" i="3"/>
  <c r="M319" i="3"/>
  <c r="M313" i="3"/>
  <c r="M309" i="3"/>
  <c r="M305" i="3"/>
  <c r="M301" i="3"/>
  <c r="M299" i="3"/>
  <c r="M295" i="3"/>
  <c r="M291" i="3"/>
  <c r="M287" i="3"/>
  <c r="M281" i="3"/>
  <c r="M277" i="3"/>
  <c r="M273" i="3"/>
  <c r="M269" i="3"/>
  <c r="M369" i="3"/>
  <c r="M365" i="3"/>
  <c r="M363" i="3"/>
  <c r="M359" i="3"/>
  <c r="M355" i="3"/>
  <c r="M351" i="3"/>
  <c r="M345" i="3"/>
  <c r="M341" i="3"/>
  <c r="M337" i="3"/>
  <c r="M333" i="3"/>
  <c r="M331" i="3"/>
  <c r="M327" i="3"/>
  <c r="M983" i="3"/>
  <c r="M929" i="3"/>
  <c r="M921" i="3"/>
  <c r="M919" i="3"/>
  <c r="M915" i="3"/>
  <c r="M881" i="3"/>
  <c r="M873" i="3"/>
  <c r="M865" i="3"/>
  <c r="M861" i="3"/>
  <c r="M857" i="3"/>
  <c r="M855" i="3"/>
  <c r="M851" i="3"/>
  <c r="M845" i="3"/>
  <c r="M839" i="3"/>
  <c r="M835" i="3"/>
  <c r="M821" i="3"/>
  <c r="M817" i="3"/>
  <c r="M809" i="3"/>
  <c r="M805" i="3"/>
  <c r="M801" i="3"/>
  <c r="M797" i="3"/>
  <c r="M793" i="3"/>
  <c r="M791" i="3"/>
  <c r="M787" i="3"/>
  <c r="M781" i="3"/>
  <c r="M775" i="3"/>
  <c r="M771" i="3"/>
  <c r="M757" i="3"/>
  <c r="M753" i="3"/>
  <c r="M745" i="3"/>
  <c r="M741" i="3"/>
  <c r="M737" i="3"/>
  <c r="M733" i="3"/>
  <c r="M729" i="3"/>
  <c r="M727" i="3"/>
  <c r="M723" i="3"/>
  <c r="M717" i="3"/>
  <c r="M711" i="3"/>
  <c r="M707" i="3"/>
  <c r="M693" i="3"/>
  <c r="M689" i="3"/>
  <c r="M681" i="3"/>
  <c r="M677" i="3"/>
  <c r="M673" i="3"/>
  <c r="M669" i="3"/>
  <c r="M665" i="3"/>
  <c r="M663" i="3"/>
  <c r="M659" i="3"/>
  <c r="M653" i="3"/>
  <c r="M647" i="3"/>
  <c r="M643" i="3"/>
  <c r="M629" i="3"/>
  <c r="M625" i="3"/>
  <c r="M617" i="3"/>
  <c r="M613" i="3"/>
  <c r="M609" i="3"/>
  <c r="M605" i="3"/>
  <c r="M601" i="3"/>
  <c r="M599" i="3"/>
  <c r="M595" i="3"/>
  <c r="M589" i="3"/>
  <c r="M583" i="3"/>
  <c r="M579" i="3"/>
  <c r="M569" i="3"/>
  <c r="M565" i="3"/>
  <c r="M561" i="3"/>
  <c r="M557" i="3"/>
  <c r="M555" i="3"/>
  <c r="M551" i="3"/>
  <c r="M547" i="3"/>
  <c r="M543" i="3"/>
  <c r="M537" i="3"/>
  <c r="M533" i="3"/>
  <c r="M529" i="3"/>
  <c r="M525" i="3"/>
  <c r="M523" i="3"/>
  <c r="M519" i="3"/>
  <c r="M515" i="3"/>
  <c r="M511" i="3"/>
  <c r="M505" i="3"/>
  <c r="M501" i="3"/>
  <c r="M497" i="3"/>
  <c r="M493" i="3"/>
  <c r="M491" i="3"/>
  <c r="M487" i="3"/>
  <c r="M483" i="3"/>
  <c r="M479" i="3"/>
  <c r="M473" i="3"/>
  <c r="M469" i="3"/>
  <c r="M465" i="3"/>
  <c r="M461" i="3"/>
  <c r="M459" i="3"/>
  <c r="M455" i="3"/>
  <c r="M451" i="3"/>
  <c r="M447" i="3"/>
  <c r="M441" i="3"/>
  <c r="M437" i="3"/>
  <c r="M433" i="3"/>
  <c r="M429" i="3"/>
  <c r="M427" i="3"/>
  <c r="M423" i="3"/>
  <c r="M419" i="3"/>
  <c r="M415" i="3"/>
  <c r="M409" i="3"/>
  <c r="M405" i="3"/>
  <c r="M401" i="3"/>
  <c r="M397" i="3"/>
  <c r="M395" i="3"/>
  <c r="M391" i="3"/>
  <c r="M387" i="3"/>
  <c r="M383" i="3"/>
  <c r="M377" i="3"/>
  <c r="M373" i="3"/>
  <c r="M452" i="3"/>
  <c r="M436" i="3"/>
  <c r="M420" i="3"/>
  <c r="M404" i="3"/>
  <c r="M388" i="3"/>
  <c r="M372" i="3"/>
  <c r="M356" i="3"/>
  <c r="M340" i="3"/>
  <c r="M324" i="3"/>
  <c r="M308" i="3"/>
  <c r="M292" i="3"/>
  <c r="M276" i="3"/>
  <c r="M260" i="3"/>
  <c r="M244" i="3"/>
  <c r="M228" i="3"/>
  <c r="M212" i="3"/>
  <c r="M196" i="3"/>
  <c r="M180" i="3"/>
  <c r="M164" i="3"/>
  <c r="M148" i="3"/>
  <c r="M132" i="3"/>
  <c r="M116" i="3"/>
  <c r="M100" i="3"/>
  <c r="M84" i="3"/>
  <c r="M68" i="3"/>
  <c r="M936" i="3"/>
  <c r="M912" i="3"/>
  <c r="M904" i="3"/>
  <c r="M880" i="3"/>
  <c r="M872" i="3"/>
  <c r="M848" i="3"/>
  <c r="M840" i="3"/>
  <c r="M816" i="3"/>
  <c r="M808" i="3"/>
  <c r="M784" i="3"/>
  <c r="M776" i="3"/>
  <c r="M752" i="3"/>
  <c r="M744" i="3"/>
  <c r="M720" i="3"/>
  <c r="M712" i="3"/>
  <c r="M688" i="3"/>
  <c r="M680" i="3"/>
  <c r="M967" i="3"/>
  <c r="M963" i="3"/>
  <c r="M941" i="3"/>
  <c r="M935" i="3"/>
  <c r="M931" i="3"/>
  <c r="M909" i="3"/>
  <c r="M903" i="3"/>
  <c r="M899" i="3"/>
  <c r="M995" i="3"/>
  <c r="M973" i="3"/>
  <c r="M886" i="3"/>
  <c r="M456" i="3"/>
  <c r="M448" i="3"/>
  <c r="M440" i="3"/>
  <c r="M432" i="3"/>
  <c r="M424" i="3"/>
  <c r="M416" i="3"/>
  <c r="M408" i="3"/>
  <c r="M400" i="3"/>
  <c r="M392" i="3"/>
  <c r="M384" i="3"/>
  <c r="M376" i="3"/>
  <c r="M368" i="3"/>
  <c r="M360" i="3"/>
  <c r="M352" i="3"/>
  <c r="M344" i="3"/>
  <c r="M336" i="3"/>
  <c r="M328" i="3"/>
  <c r="M320" i="3"/>
  <c r="M312" i="3"/>
  <c r="M304" i="3"/>
  <c r="M296" i="3"/>
  <c r="M288" i="3"/>
  <c r="M280" i="3"/>
  <c r="M272" i="3"/>
  <c r="M264" i="3"/>
  <c r="M256" i="3"/>
  <c r="M248" i="3"/>
  <c r="M240" i="3"/>
  <c r="M232" i="3"/>
  <c r="M224" i="3"/>
  <c r="M216" i="3"/>
  <c r="M208" i="3"/>
  <c r="M200" i="3"/>
  <c r="M192" i="3"/>
  <c r="M184" i="3"/>
  <c r="M176" i="3"/>
  <c r="M168" i="3"/>
  <c r="M160" i="3"/>
  <c r="M152" i="3"/>
  <c r="M144" i="3"/>
  <c r="M136" i="3"/>
  <c r="M128" i="3"/>
  <c r="M120" i="3"/>
  <c r="M112" i="3"/>
  <c r="M104" i="3"/>
  <c r="M96" i="3"/>
  <c r="M88" i="3"/>
  <c r="M80" i="3"/>
  <c r="M72" i="3"/>
  <c r="M64" i="3"/>
  <c r="M56" i="3"/>
  <c r="M52" i="3"/>
  <c r="M48" i="3"/>
  <c r="M44" i="3"/>
  <c r="M40" i="3"/>
  <c r="M36" i="3"/>
  <c r="M979" i="3"/>
  <c r="M965" i="3"/>
  <c r="M933" i="3"/>
  <c r="M901" i="3"/>
  <c r="M869" i="3"/>
  <c r="M949" i="3"/>
  <c r="M917" i="3"/>
  <c r="M885" i="3"/>
  <c r="M853" i="3"/>
  <c r="M722" i="3"/>
  <c r="M630" i="3"/>
  <c r="M498" i="3"/>
  <c r="M466" i="3"/>
  <c r="M374" i="3"/>
  <c r="M242" i="3"/>
  <c r="M969" i="3"/>
  <c r="M957" i="3"/>
  <c r="M945" i="3"/>
  <c r="M937" i="3"/>
  <c r="M925" i="3"/>
  <c r="M913" i="3"/>
  <c r="M905" i="3"/>
  <c r="M991" i="3"/>
  <c r="M955" i="3"/>
  <c r="M943" i="3"/>
  <c r="M939" i="3"/>
  <c r="M927" i="3"/>
  <c r="M923" i="3"/>
  <c r="M911" i="3"/>
  <c r="M907" i="3"/>
  <c r="M895" i="3"/>
  <c r="M891" i="3"/>
  <c r="M879" i="3"/>
  <c r="M875" i="3"/>
  <c r="M863" i="3"/>
  <c r="M859" i="3"/>
  <c r="M847" i="3"/>
  <c r="M843" i="3"/>
  <c r="M831" i="3"/>
  <c r="M827" i="3"/>
  <c r="M815" i="3"/>
  <c r="M811" i="3"/>
  <c r="M799" i="3"/>
  <c r="M795" i="3"/>
  <c r="M783" i="3"/>
  <c r="M779" i="3"/>
  <c r="M767" i="3"/>
  <c r="M763" i="3"/>
  <c r="M751" i="3"/>
  <c r="M747" i="3"/>
  <c r="M735" i="3"/>
  <c r="M731" i="3"/>
  <c r="M719" i="3"/>
  <c r="M715" i="3"/>
  <c r="M703" i="3"/>
  <c r="M699" i="3"/>
  <c r="M687" i="3"/>
  <c r="M683" i="3"/>
  <c r="M671" i="3"/>
  <c r="M667" i="3"/>
  <c r="M655" i="3"/>
  <c r="M651" i="3"/>
  <c r="M639" i="3"/>
  <c r="M635" i="3"/>
  <c r="M623" i="3"/>
  <c r="M619" i="3"/>
  <c r="M607" i="3"/>
  <c r="M603" i="3"/>
  <c r="M591" i="3"/>
  <c r="M587" i="3"/>
  <c r="M575" i="3"/>
  <c r="M86" i="3"/>
  <c r="M54" i="3"/>
  <c r="M46" i="3"/>
  <c r="M38" i="3"/>
  <c r="M986" i="3"/>
  <c r="M922" i="3"/>
  <c r="M882" i="3"/>
  <c r="M866" i="3"/>
  <c r="M854" i="3"/>
  <c r="M834" i="3"/>
  <c r="M822" i="3"/>
  <c r="M806" i="3"/>
  <c r="M786" i="3"/>
  <c r="M770" i="3"/>
  <c r="M754" i="3"/>
  <c r="M738" i="3"/>
  <c r="M706" i="3"/>
  <c r="M694" i="3"/>
  <c r="M678" i="3"/>
  <c r="M662" i="3"/>
  <c r="M646" i="3"/>
  <c r="M626" i="3"/>
  <c r="M610" i="3"/>
  <c r="M598" i="3"/>
  <c r="M582" i="3"/>
  <c r="M562" i="3"/>
  <c r="M558" i="3"/>
  <c r="M542" i="3"/>
  <c r="M534" i="3"/>
  <c r="M526" i="3"/>
  <c r="M518" i="3"/>
  <c r="M510" i="3"/>
  <c r="M502" i="3"/>
  <c r="M494" i="3"/>
  <c r="M486" i="3"/>
  <c r="M478" i="3"/>
  <c r="M470" i="3"/>
  <c r="M458" i="3"/>
  <c r="M454" i="3"/>
  <c r="M446" i="3"/>
  <c r="M434" i="3"/>
  <c r="M426" i="3"/>
  <c r="M418" i="3"/>
  <c r="M414" i="3"/>
  <c r="M406" i="3"/>
  <c r="M398" i="3"/>
  <c r="M390" i="3"/>
  <c r="M382" i="3"/>
  <c r="M378" i="3"/>
  <c r="M370" i="3"/>
  <c r="M366" i="3"/>
  <c r="M362" i="3"/>
  <c r="M358" i="3"/>
  <c r="M354" i="3"/>
  <c r="M350" i="3"/>
  <c r="M342" i="3"/>
  <c r="M334" i="3"/>
  <c r="M326" i="3"/>
  <c r="M318" i="3"/>
  <c r="M310" i="3"/>
  <c r="M302" i="3"/>
  <c r="M294" i="3"/>
  <c r="M286" i="3"/>
  <c r="M278" i="3"/>
  <c r="M270" i="3"/>
  <c r="M262" i="3"/>
  <c r="M254" i="3"/>
  <c r="M246" i="3"/>
  <c r="M238" i="3"/>
  <c r="M230" i="3"/>
  <c r="M222" i="3"/>
  <c r="M214" i="3"/>
  <c r="M206" i="3"/>
  <c r="M198" i="3"/>
  <c r="M190" i="3"/>
  <c r="M182" i="3"/>
  <c r="M166" i="3"/>
  <c r="M158" i="3"/>
  <c r="M150" i="3"/>
  <c r="M142" i="3"/>
  <c r="M134" i="3"/>
  <c r="M126" i="3"/>
  <c r="M118" i="3"/>
  <c r="M110" i="3"/>
  <c r="M102" i="3"/>
  <c r="M94" i="3"/>
  <c r="M82" i="3"/>
  <c r="M74" i="3"/>
  <c r="M70" i="3"/>
  <c r="M62" i="3"/>
  <c r="M42" i="3"/>
  <c r="M926" i="3"/>
  <c r="M898" i="3"/>
  <c r="M870" i="3"/>
  <c r="M850" i="3"/>
  <c r="M838" i="3"/>
  <c r="M818" i="3"/>
  <c r="M802" i="3"/>
  <c r="M790" i="3"/>
  <c r="M774" i="3"/>
  <c r="M758" i="3"/>
  <c r="M742" i="3"/>
  <c r="M726" i="3"/>
  <c r="M710" i="3"/>
  <c r="M690" i="3"/>
  <c r="M674" i="3"/>
  <c r="M658" i="3"/>
  <c r="M642" i="3"/>
  <c r="M614" i="3"/>
  <c r="M594" i="3"/>
  <c r="M578" i="3"/>
  <c r="M566" i="3"/>
  <c r="M554" i="3"/>
  <c r="M538" i="3"/>
  <c r="M530" i="3"/>
  <c r="M522" i="3"/>
  <c r="M514" i="3"/>
  <c r="M506" i="3"/>
  <c r="M490" i="3"/>
  <c r="M482" i="3"/>
  <c r="M474" i="3"/>
  <c r="M462" i="3"/>
  <c r="M450" i="3"/>
  <c r="M442" i="3"/>
  <c r="M438" i="3"/>
  <c r="M430" i="3"/>
  <c r="M422" i="3"/>
  <c r="M410" i="3"/>
  <c r="M402" i="3"/>
  <c r="M394" i="3"/>
  <c r="M386" i="3"/>
  <c r="M346" i="3"/>
  <c r="M338" i="3"/>
  <c r="M330" i="3"/>
  <c r="M322" i="3"/>
  <c r="M314" i="3"/>
  <c r="M306" i="3"/>
  <c r="M298" i="3"/>
  <c r="M290" i="3"/>
  <c r="M282" i="3"/>
  <c r="M274" i="3"/>
  <c r="M266" i="3"/>
  <c r="M258" i="3"/>
  <c r="M250" i="3"/>
  <c r="M234" i="3"/>
  <c r="M226" i="3"/>
  <c r="M218" i="3"/>
  <c r="M210" i="3"/>
  <c r="M202" i="3"/>
  <c r="M194" i="3"/>
  <c r="M186" i="3"/>
  <c r="M178" i="3"/>
  <c r="M162" i="3"/>
  <c r="M154" i="3"/>
  <c r="M146" i="3"/>
  <c r="M138" i="3"/>
  <c r="M130" i="3"/>
  <c r="M122" i="3"/>
  <c r="M114" i="3"/>
  <c r="M106" i="3"/>
  <c r="M98" i="3"/>
  <c r="M90" i="3"/>
  <c r="M78" i="3"/>
  <c r="M66" i="3"/>
  <c r="M58" i="3"/>
  <c r="M50" i="3"/>
  <c r="M34" i="3"/>
  <c r="M932" i="3"/>
  <c r="M916" i="3"/>
  <c r="M900" i="3"/>
  <c r="M884" i="3"/>
  <c r="M868" i="3"/>
  <c r="M852" i="3"/>
  <c r="M836" i="3"/>
  <c r="M820" i="3"/>
  <c r="M804" i="3"/>
  <c r="M788" i="3"/>
  <c r="M772" i="3"/>
  <c r="M756" i="3"/>
  <c r="M740" i="3"/>
  <c r="M724" i="3"/>
  <c r="M708" i="3"/>
  <c r="M692" i="3"/>
  <c r="M676" i="3"/>
  <c r="M938" i="3"/>
  <c r="M906" i="3"/>
  <c r="M894" i="3"/>
  <c r="M874" i="3"/>
  <c r="M862" i="3"/>
  <c r="M842" i="3"/>
  <c r="M830" i="3"/>
  <c r="M814" i="3"/>
  <c r="M798" i="3"/>
  <c r="M782" i="3"/>
  <c r="M766" i="3"/>
  <c r="M746" i="3"/>
  <c r="M734" i="3"/>
  <c r="M714" i="3"/>
  <c r="M702" i="3"/>
  <c r="M682" i="3"/>
  <c r="M670" i="3"/>
  <c r="M650" i="3"/>
  <c r="M634" i="3"/>
  <c r="M618" i="3"/>
  <c r="M606" i="3"/>
  <c r="M590" i="3"/>
  <c r="M570" i="3"/>
  <c r="M550" i="3"/>
  <c r="M170" i="3"/>
  <c r="M954" i="3"/>
  <c r="M910" i="3"/>
  <c r="M890" i="3"/>
  <c r="M878" i="3"/>
  <c r="M858" i="3"/>
  <c r="M846" i="3"/>
  <c r="M826" i="3"/>
  <c r="M810" i="3"/>
  <c r="M794" i="3"/>
  <c r="M778" i="3"/>
  <c r="M762" i="3"/>
  <c r="M750" i="3"/>
  <c r="M730" i="3"/>
  <c r="M718" i="3"/>
  <c r="M698" i="3"/>
  <c r="M686" i="3"/>
  <c r="M666" i="3"/>
  <c r="M654" i="3"/>
  <c r="M638" i="3"/>
  <c r="M622" i="3"/>
  <c r="M602" i="3"/>
  <c r="M586" i="3"/>
  <c r="M574" i="3"/>
  <c r="M546" i="3"/>
  <c r="M174" i="3"/>
  <c r="M924" i="3"/>
  <c r="M908" i="3"/>
  <c r="M892" i="3"/>
  <c r="M876" i="3"/>
  <c r="M860" i="3"/>
  <c r="M844" i="3"/>
  <c r="M828" i="3"/>
  <c r="M812" i="3"/>
  <c r="M796" i="3"/>
  <c r="M780" i="3"/>
  <c r="M764" i="3"/>
  <c r="M748" i="3"/>
  <c r="M732" i="3"/>
  <c r="M716" i="3"/>
  <c r="M700" i="3"/>
  <c r="M684" i="3"/>
  <c r="M668" i="3"/>
  <c r="M664" i="3"/>
  <c r="M660" i="3"/>
  <c r="M656" i="3"/>
  <c r="M652" i="3"/>
  <c r="M648" i="3"/>
  <c r="M644" i="3"/>
  <c r="M640" i="3"/>
  <c r="M636" i="3"/>
  <c r="M632" i="3"/>
  <c r="M628" i="3"/>
  <c r="M624" i="3"/>
  <c r="M620" i="3"/>
  <c r="M616" i="3"/>
  <c r="M612" i="3"/>
  <c r="M608" i="3"/>
  <c r="M604" i="3"/>
  <c r="M600" i="3"/>
  <c r="M596" i="3"/>
  <c r="M592" i="3"/>
  <c r="M588" i="3"/>
  <c r="M584" i="3"/>
  <c r="M580" i="3"/>
  <c r="M576" i="3"/>
  <c r="M572" i="3"/>
  <c r="M568" i="3"/>
  <c r="M564" i="3"/>
  <c r="M560" i="3"/>
  <c r="M556" i="3"/>
  <c r="M552" i="3"/>
  <c r="M548" i="3"/>
  <c r="M544" i="3"/>
  <c r="M540" i="3"/>
  <c r="M536" i="3"/>
  <c r="M532" i="3"/>
  <c r="M528" i="3"/>
  <c r="M524" i="3"/>
  <c r="M520" i="3"/>
  <c r="M516" i="3"/>
  <c r="M512" i="3"/>
  <c r="M508" i="3"/>
  <c r="M504" i="3"/>
  <c r="M500" i="3"/>
  <c r="M496" i="3"/>
  <c r="M492" i="3"/>
  <c r="M488" i="3"/>
  <c r="M484" i="3"/>
  <c r="M480" i="3"/>
  <c r="M476" i="3"/>
  <c r="M472" i="3"/>
  <c r="M468" i="3"/>
  <c r="M464" i="3"/>
  <c r="M997" i="3"/>
  <c r="M993" i="3"/>
  <c r="M989" i="3"/>
  <c r="M985" i="3"/>
  <c r="M981" i="3"/>
  <c r="M977" i="3"/>
  <c r="M999" i="3"/>
  <c r="M1000" i="3"/>
  <c r="M996" i="3"/>
  <c r="M992" i="3"/>
  <c r="M988" i="3"/>
  <c r="M984" i="3"/>
  <c r="M980" i="3"/>
  <c r="M976" i="3"/>
  <c r="M972" i="3"/>
  <c r="M968" i="3"/>
  <c r="M964" i="3"/>
  <c r="M960" i="3"/>
  <c r="M956" i="3"/>
  <c r="M952" i="3"/>
  <c r="M948" i="3"/>
  <c r="M944" i="3"/>
  <c r="M940" i="3"/>
  <c r="M987" i="3"/>
  <c r="M975" i="3"/>
  <c r="M971" i="3"/>
  <c r="M959" i="3"/>
  <c r="M947" i="3"/>
  <c r="M998" i="3"/>
  <c r="M994" i="3"/>
  <c r="M990" i="3"/>
  <c r="M982" i="3"/>
  <c r="M978" i="3"/>
  <c r="M974" i="3"/>
  <c r="M970" i="3"/>
  <c r="M966" i="3"/>
  <c r="M962" i="3"/>
  <c r="M958" i="3"/>
  <c r="M950" i="3"/>
  <c r="M946" i="3"/>
  <c r="M942" i="3"/>
  <c r="M934" i="3"/>
  <c r="M930" i="3"/>
  <c r="M918" i="3"/>
  <c r="M914" i="3"/>
  <c r="M902" i="3"/>
  <c r="T29" i="1"/>
  <c r="J33" i="3"/>
  <c r="L33" i="3" s="1"/>
  <c r="M33" i="3" s="1"/>
  <c r="T39" i="1"/>
  <c r="T37" i="1"/>
  <c r="T33" i="1"/>
  <c r="T30" i="1"/>
  <c r="T27" i="1"/>
  <c r="T26" i="1"/>
  <c r="T34" i="1"/>
  <c r="T24" i="1"/>
  <c r="T38" i="1"/>
  <c r="T35" i="1"/>
  <c r="T31" i="1"/>
  <c r="T28" i="1"/>
  <c r="T25" i="1"/>
  <c r="T36" i="1"/>
  <c r="T32" i="1"/>
  <c r="Q38" i="1"/>
  <c r="Q100" i="5"/>
  <c r="Q96" i="5"/>
  <c r="Q92" i="5"/>
  <c r="Q88" i="5"/>
  <c r="Q84" i="5"/>
  <c r="Q80" i="5"/>
  <c r="Q76" i="5"/>
  <c r="Q72" i="5"/>
  <c r="Q68" i="5"/>
  <c r="Q64" i="5"/>
  <c r="Q60" i="5"/>
  <c r="Q56" i="5"/>
  <c r="Q52" i="5"/>
  <c r="Q48" i="5"/>
  <c r="Q44" i="5"/>
  <c r="Q40" i="5"/>
  <c r="Q36" i="5"/>
  <c r="Q32" i="5"/>
  <c r="Q28" i="5"/>
  <c r="Q24" i="5"/>
  <c r="Q20" i="5"/>
  <c r="Q101" i="5"/>
  <c r="Q97" i="5"/>
  <c r="Q93" i="5"/>
  <c r="Q89" i="5"/>
  <c r="Q85" i="5"/>
  <c r="Q81" i="5"/>
  <c r="Q77" i="5"/>
  <c r="Q73" i="5"/>
  <c r="Q69" i="5"/>
  <c r="Q65" i="5"/>
  <c r="Q61" i="5"/>
  <c r="Q57" i="5"/>
  <c r="Q53" i="5"/>
  <c r="Q49" i="5"/>
  <c r="Q45" i="5"/>
  <c r="Q41" i="5"/>
  <c r="Q37" i="5"/>
  <c r="Q33" i="5"/>
  <c r="Q29" i="5"/>
  <c r="Q25" i="5"/>
  <c r="Q21" i="5"/>
  <c r="D5" i="1" l="1"/>
  <c r="O35" i="1"/>
  <c r="Q35" i="1" s="1"/>
  <c r="R13" i="5"/>
  <c r="R9" i="5"/>
  <c r="O40" i="1"/>
  <c r="Q40" i="1" s="1"/>
  <c r="O25" i="1"/>
  <c r="Q25" i="1" s="1"/>
  <c r="R2" i="5"/>
  <c r="O37" i="1"/>
  <c r="Q37" i="1" s="1"/>
  <c r="R12" i="5"/>
  <c r="O27" i="1"/>
  <c r="Q27" i="1" s="1"/>
  <c r="R4" i="5"/>
  <c r="Q4" i="5"/>
  <c r="Q9" i="5"/>
  <c r="Q41" i="1"/>
  <c r="Q28" i="1"/>
  <c r="Q59" i="1"/>
  <c r="Q80" i="1"/>
  <c r="Q29" i="1"/>
  <c r="Q39" i="1"/>
  <c r="Q24" i="1"/>
  <c r="Q68" i="1"/>
  <c r="Q36" i="1"/>
  <c r="Q33" i="1"/>
  <c r="C8" i="13"/>
  <c r="Q32" i="1"/>
  <c r="Q7" i="5"/>
  <c r="Q31" i="1"/>
  <c r="Q14" i="5"/>
  <c r="Q26" i="1"/>
  <c r="Q8" i="5"/>
  <c r="Q30" i="1"/>
  <c r="Q10" i="5"/>
  <c r="C11" i="13" s="1"/>
  <c r="Q5" i="5"/>
  <c r="Q34" i="1"/>
  <c r="Q16" i="5"/>
  <c r="Q19" i="5"/>
  <c r="Q35" i="5"/>
  <c r="Q51" i="5"/>
  <c r="Q67" i="5"/>
  <c r="Q83" i="5"/>
  <c r="Q99" i="5"/>
  <c r="Q34" i="5"/>
  <c r="Q50" i="5"/>
  <c r="Q66" i="5"/>
  <c r="Q82" i="5"/>
  <c r="Q98" i="5"/>
  <c r="Q15" i="5"/>
  <c r="Q11" i="5"/>
  <c r="Q31" i="5"/>
  <c r="Q47" i="5"/>
  <c r="Q63" i="5"/>
  <c r="Q79" i="5"/>
  <c r="Q95" i="5"/>
  <c r="Q30" i="5"/>
  <c r="Q46" i="5"/>
  <c r="Q62" i="5"/>
  <c r="Q78" i="5"/>
  <c r="Q94" i="5"/>
  <c r="Q18" i="5"/>
  <c r="Q27" i="5"/>
  <c r="Q43" i="5"/>
  <c r="Q59" i="5"/>
  <c r="Q75" i="5"/>
  <c r="Q91" i="5"/>
  <c r="Q6" i="5"/>
  <c r="Q26" i="5"/>
  <c r="Q42" i="5"/>
  <c r="Q58" i="5"/>
  <c r="Q74" i="5"/>
  <c r="Q90" i="5"/>
  <c r="Q17" i="5"/>
  <c r="Q3" i="5"/>
  <c r="Q23" i="5"/>
  <c r="Q39" i="5"/>
  <c r="Q55" i="5"/>
  <c r="Q71" i="5"/>
  <c r="Q87" i="5"/>
  <c r="Q103" i="5"/>
  <c r="Q22" i="5"/>
  <c r="Q38" i="5"/>
  <c r="Q54" i="5"/>
  <c r="Q70" i="5"/>
  <c r="Q86" i="5"/>
  <c r="Q102" i="5"/>
  <c r="C12" i="13"/>
  <c r="G2" i="4"/>
  <c r="H2" i="4" s="1"/>
  <c r="F5" i="1" s="1"/>
  <c r="B2" i="12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9" i="1"/>
  <c r="I30" i="1"/>
  <c r="I31" i="1"/>
  <c r="I26" i="1"/>
  <c r="I33" i="1"/>
  <c r="I27" i="1"/>
  <c r="I32" i="1"/>
  <c r="I28" i="1"/>
  <c r="I24" i="1"/>
  <c r="I25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996" i="2"/>
  <c r="G997" i="2"/>
  <c r="G998" i="2"/>
  <c r="G990" i="2"/>
  <c r="G991" i="2"/>
  <c r="G992" i="2"/>
  <c r="G993" i="2"/>
  <c r="G994" i="2"/>
  <c r="G995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3" i="2"/>
  <c r="G4" i="2"/>
  <c r="G2" i="2"/>
  <c r="R1040" i="5" l="1"/>
  <c r="S13" i="1" s="1"/>
  <c r="L32" i="3"/>
  <c r="M32" i="3" s="1"/>
  <c r="L54" i="1"/>
  <c r="L28" i="3"/>
  <c r="M28" i="3" s="1"/>
  <c r="L50" i="1"/>
  <c r="L24" i="3"/>
  <c r="M24" i="3" s="1"/>
  <c r="L46" i="1"/>
  <c r="L20" i="3"/>
  <c r="M20" i="3" s="1"/>
  <c r="L42" i="1"/>
  <c r="L16" i="3"/>
  <c r="M16" i="3" s="1"/>
  <c r="L38" i="1"/>
  <c r="L29" i="3"/>
  <c r="M29" i="3" s="1"/>
  <c r="L51" i="1"/>
  <c r="L25" i="3"/>
  <c r="M25" i="3" s="1"/>
  <c r="L47" i="1"/>
  <c r="L21" i="3"/>
  <c r="M21" i="3" s="1"/>
  <c r="L43" i="1"/>
  <c r="L17" i="3"/>
  <c r="M17" i="3" s="1"/>
  <c r="L39" i="1"/>
  <c r="L13" i="3"/>
  <c r="M13" i="3" s="1"/>
  <c r="L35" i="1"/>
  <c r="L30" i="3"/>
  <c r="M30" i="3" s="1"/>
  <c r="L52" i="1"/>
  <c r="L26" i="3"/>
  <c r="M26" i="3" s="1"/>
  <c r="L48" i="1"/>
  <c r="L22" i="3"/>
  <c r="M22" i="3" s="1"/>
  <c r="L44" i="1"/>
  <c r="L18" i="3"/>
  <c r="M18" i="3" s="1"/>
  <c r="L40" i="1"/>
  <c r="L14" i="3"/>
  <c r="M14" i="3" s="1"/>
  <c r="L36" i="1"/>
  <c r="L31" i="3"/>
  <c r="M31" i="3" s="1"/>
  <c r="L53" i="1"/>
  <c r="L27" i="3"/>
  <c r="M27" i="3" s="1"/>
  <c r="L49" i="1"/>
  <c r="L23" i="3"/>
  <c r="M23" i="3" s="1"/>
  <c r="L45" i="1"/>
  <c r="L19" i="3"/>
  <c r="M19" i="3" s="1"/>
  <c r="L41" i="1"/>
  <c r="L15" i="3"/>
  <c r="M15" i="3" s="1"/>
  <c r="L37" i="1"/>
  <c r="L9" i="3"/>
  <c r="M9" i="3" s="1"/>
  <c r="L28" i="1"/>
  <c r="L10" i="3"/>
  <c r="M10" i="3" s="1"/>
  <c r="L24" i="1"/>
  <c r="L11" i="3"/>
  <c r="M11" i="3" s="1"/>
  <c r="L25" i="1"/>
  <c r="L7" i="3"/>
  <c r="M7" i="3" s="1"/>
  <c r="L27" i="1"/>
  <c r="L12" i="3"/>
  <c r="M12" i="3" s="1"/>
  <c r="L34" i="1"/>
  <c r="L8" i="3"/>
  <c r="M8" i="3" s="1"/>
  <c r="L32" i="1"/>
  <c r="L5" i="3"/>
  <c r="M5" i="3" s="1"/>
  <c r="L26" i="1"/>
  <c r="L33" i="1"/>
  <c r="L6" i="3"/>
  <c r="M6" i="3" s="1"/>
  <c r="L2" i="3"/>
  <c r="L29" i="1"/>
  <c r="L3" i="3"/>
  <c r="M3" i="3" s="1"/>
  <c r="L30" i="1"/>
  <c r="L31" i="1"/>
  <c r="L4" i="3"/>
  <c r="M4" i="3" s="1"/>
  <c r="H5" i="1"/>
  <c r="E2" i="12" s="1"/>
  <c r="J5" i="1" l="1"/>
  <c r="L5" i="1"/>
  <c r="S11" i="1"/>
  <c r="S12" i="1"/>
  <c r="P5" i="1"/>
  <c r="C2" i="12" s="1"/>
  <c r="A2" i="12"/>
  <c r="M2" i="3"/>
  <c r="AJ5" i="1" s="1"/>
  <c r="AL5" i="1" s="1"/>
  <c r="AL8" i="1" s="1"/>
  <c r="AJ8" i="1" l="1"/>
  <c r="A17" i="3" l="1"/>
  <c r="A18" i="3" l="1"/>
  <c r="A23" i="3" l="1"/>
  <c r="A24" i="3" s="1"/>
  <c r="A25" i="3" s="1"/>
  <c r="A26" i="3" s="1"/>
  <c r="A27" i="3" s="1"/>
  <c r="A28" i="3" s="1"/>
  <c r="A29" i="3" s="1"/>
  <c r="A30" i="3" s="1"/>
  <c r="A31" i="3" s="1"/>
  <c r="A32" i="3" s="1"/>
  <c r="R5" i="1" l="1"/>
  <c r="X15" i="1"/>
  <c r="X11" i="1"/>
  <c r="X16" i="1"/>
  <c r="AD5" i="1"/>
  <c r="AH5" i="1"/>
  <c r="X17" i="1"/>
  <c r="X14" i="1"/>
  <c r="AF5" i="1"/>
  <c r="X13" i="1"/>
  <c r="X12" i="1"/>
  <c r="AB5" i="1"/>
  <c r="Z5" i="1"/>
  <c r="T5" i="1"/>
  <c r="X5" i="1"/>
  <c r="V5" i="1"/>
</calcChain>
</file>

<file path=xl/sharedStrings.xml><?xml version="1.0" encoding="utf-8"?>
<sst xmlns="http://schemas.openxmlformats.org/spreadsheetml/2006/main" count="3094" uniqueCount="1575">
  <si>
    <t>Product ID</t>
  </si>
  <si>
    <t>Product Name</t>
  </si>
  <si>
    <t>Category</t>
  </si>
  <si>
    <t>Unit of Measure</t>
  </si>
  <si>
    <t>Cost Price</t>
  </si>
  <si>
    <t>Selling Price</t>
  </si>
  <si>
    <t>Profit per Unit</t>
  </si>
  <si>
    <t>Status</t>
  </si>
  <si>
    <t>Beverages</t>
  </si>
  <si>
    <t>Clothing</t>
  </si>
  <si>
    <t>Cosmetics</t>
  </si>
  <si>
    <t>Electronics</t>
  </si>
  <si>
    <t>Food</t>
  </si>
  <si>
    <t>Frozen Foods</t>
  </si>
  <si>
    <t>Furniture</t>
  </si>
  <si>
    <t>Groceries</t>
  </si>
  <si>
    <t>Office Supplies</t>
  </si>
  <si>
    <t>Pharmaceuticals</t>
  </si>
  <si>
    <t>Stationery</t>
  </si>
  <si>
    <t>Piece</t>
  </si>
  <si>
    <t>Pack</t>
  </si>
  <si>
    <t>Carton</t>
  </si>
  <si>
    <t>Bottle</t>
  </si>
  <si>
    <t>Box</t>
  </si>
  <si>
    <t>Kg</t>
  </si>
  <si>
    <t>Gram</t>
  </si>
  <si>
    <t>Litre</t>
  </si>
  <si>
    <t>Millilitre</t>
  </si>
  <si>
    <t>Bag</t>
  </si>
  <si>
    <t>Roll</t>
  </si>
  <si>
    <t>Pair</t>
  </si>
  <si>
    <t>Dozen</t>
  </si>
  <si>
    <t>Tin</t>
  </si>
  <si>
    <t>Sachet</t>
  </si>
  <si>
    <t>Household items</t>
  </si>
  <si>
    <t>Active</t>
  </si>
  <si>
    <t>Inactive</t>
  </si>
  <si>
    <t>Bundle</t>
  </si>
  <si>
    <t>Tray</t>
  </si>
  <si>
    <t>P001</t>
  </si>
  <si>
    <t>P002</t>
  </si>
  <si>
    <t>P003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</si>
  <si>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</si>
  <si>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</si>
  <si>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</si>
  <si>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</si>
  <si>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</si>
  <si>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</si>
  <si>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</si>
  <si>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</si>
  <si>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</si>
  <si>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</si>
  <si>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</si>
  <si>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</si>
  <si>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</si>
  <si>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</si>
  <si>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</si>
  <si>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</si>
  <si>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</si>
  <si>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</si>
  <si>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</si>
  <si>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</si>
  <si>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</si>
  <si>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</si>
  <si>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</si>
  <si>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</si>
  <si>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</si>
  <si>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</si>
  <si>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</si>
  <si>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</si>
  <si>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</si>
  <si>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</si>
  <si>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</si>
  <si>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</si>
  <si>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</si>
  <si>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</si>
  <si>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</si>
  <si>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</si>
  <si>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</si>
  <si>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</si>
  <si>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</si>
  <si>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DATE</t>
  </si>
  <si>
    <t>Cashier</t>
  </si>
  <si>
    <t>Unit</t>
  </si>
  <si>
    <t>QTY SOLD</t>
  </si>
  <si>
    <t>Total Sales</t>
  </si>
  <si>
    <t>Sales ID</t>
  </si>
  <si>
    <t>Cashier 1</t>
  </si>
  <si>
    <t>Cashier 2</t>
  </si>
  <si>
    <t>Cashier 3</t>
  </si>
  <si>
    <t>Admin</t>
  </si>
  <si>
    <t>Discount</t>
  </si>
  <si>
    <t>Net Sales</t>
  </si>
  <si>
    <t>Profit</t>
  </si>
  <si>
    <t>Purchase ID</t>
  </si>
  <si>
    <t>Date</t>
  </si>
  <si>
    <t>Supplier</t>
  </si>
  <si>
    <t>QTY Purchased</t>
  </si>
  <si>
    <t>Total Purchased</t>
  </si>
  <si>
    <t>Total Sold</t>
  </si>
  <si>
    <t>Unit Cost</t>
  </si>
  <si>
    <t>Total Purchase Cost</t>
  </si>
  <si>
    <t>Supplier 1</t>
  </si>
  <si>
    <t>Local Market</t>
  </si>
  <si>
    <t>Walk-in Vendor</t>
  </si>
  <si>
    <t>Supplier 2</t>
  </si>
  <si>
    <t>Supplier 3</t>
  </si>
  <si>
    <t>Current Stock</t>
  </si>
  <si>
    <t>Inventory Value</t>
  </si>
  <si>
    <t>Stock Status</t>
  </si>
  <si>
    <t>Reorder Level</t>
  </si>
  <si>
    <t>Total Products</t>
  </si>
  <si>
    <t>Total Purchases</t>
  </si>
  <si>
    <t>Low Stock Items</t>
  </si>
  <si>
    <t>Out Of Stock Items</t>
  </si>
  <si>
    <t>Count</t>
  </si>
  <si>
    <t>In Stock</t>
  </si>
  <si>
    <t>Low Stock</t>
  </si>
  <si>
    <t>Out of Stock</t>
  </si>
  <si>
    <t>Product</t>
  </si>
  <si>
    <t>QTY</t>
  </si>
  <si>
    <t>Amount</t>
  </si>
  <si>
    <t>RECENT SALES</t>
  </si>
  <si>
    <t>LOW STOCK ALERT</t>
  </si>
  <si>
    <t>Expenses ID</t>
  </si>
  <si>
    <t>Expenses Category</t>
  </si>
  <si>
    <t>Description</t>
  </si>
  <si>
    <t>Payment Method</t>
  </si>
  <si>
    <t>E001</t>
  </si>
  <si>
    <t>Cash</t>
  </si>
  <si>
    <t>Transportation</t>
  </si>
  <si>
    <t>Salary</t>
  </si>
  <si>
    <t>Rent</t>
  </si>
  <si>
    <t>Electricity</t>
  </si>
  <si>
    <t>Repairs</t>
  </si>
  <si>
    <t>Marketing</t>
  </si>
  <si>
    <t>Other Expenses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</si>
  <si>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</si>
  <si>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</si>
  <si>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</si>
  <si>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</si>
  <si>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</si>
  <si>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</si>
  <si>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</si>
  <si>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</si>
  <si>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</si>
  <si>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</si>
  <si>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</si>
  <si>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</si>
  <si>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</si>
  <si>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</si>
  <si>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</si>
  <si>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</si>
  <si>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</si>
  <si>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</si>
  <si>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</si>
  <si>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</si>
  <si>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</si>
  <si>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</si>
  <si>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</si>
  <si>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</si>
  <si>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</si>
  <si>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</si>
  <si>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</si>
  <si>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</si>
  <si>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</si>
  <si>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</si>
  <si>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Expenses Payment Method</t>
  </si>
  <si>
    <t>Transfer</t>
  </si>
  <si>
    <t>Budget Category</t>
  </si>
  <si>
    <t>Budget Amount</t>
  </si>
  <si>
    <t>Actual Amount</t>
  </si>
  <si>
    <t>Variance</t>
  </si>
  <si>
    <t>Water</t>
  </si>
  <si>
    <t>Maintenance</t>
  </si>
  <si>
    <t>Internet</t>
  </si>
  <si>
    <t>Miscellaneous</t>
  </si>
  <si>
    <t>Fuel</t>
  </si>
  <si>
    <t>POS</t>
  </si>
  <si>
    <t>Cheque</t>
  </si>
  <si>
    <t>Budget 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</si>
  <si>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</si>
  <si>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</si>
  <si>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</si>
  <si>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</si>
  <si>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</si>
  <si>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</si>
  <si>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</si>
  <si>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</si>
  <si>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</si>
  <si>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</si>
  <si>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</si>
  <si>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</si>
  <si>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</si>
  <si>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</si>
  <si>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</si>
  <si>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</si>
  <si>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</si>
  <si>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</si>
  <si>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</si>
  <si>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</si>
  <si>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</si>
  <si>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</si>
  <si>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</si>
  <si>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</si>
  <si>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</si>
  <si>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</si>
  <si>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</si>
  <si>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</si>
  <si>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</si>
  <si>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</si>
  <si>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</si>
  <si>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</si>
  <si>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</si>
  <si>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</si>
  <si>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</si>
  <si>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</si>
  <si>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</si>
  <si>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</si>
  <si>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</si>
  <si>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</si>
  <si>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</si>
  <si>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</si>
  <si>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</si>
  <si>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</si>
  <si>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</si>
  <si>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</si>
  <si>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</si>
  <si>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</si>
  <si>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</si>
  <si>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</si>
  <si>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</si>
  <si>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</si>
  <si>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</si>
  <si>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</si>
  <si>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</si>
  <si>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</si>
  <si>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</si>
  <si>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</si>
  <si>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</si>
  <si>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</si>
  <si>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</si>
  <si>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</si>
  <si>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</si>
  <si>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</si>
  <si>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</si>
  <si>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</si>
  <si>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</si>
  <si>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</si>
  <si>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</si>
  <si>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</si>
  <si>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</si>
  <si>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</si>
  <si>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</si>
  <si>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</si>
  <si>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</si>
  <si>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</si>
  <si>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</si>
  <si>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</si>
  <si>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</si>
  <si>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</si>
  <si>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</si>
  <si>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</si>
  <si>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</si>
  <si>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</si>
  <si>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</si>
  <si>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</si>
  <si>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</si>
  <si>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</si>
  <si>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</si>
  <si>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</si>
  <si>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</si>
  <si>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</si>
  <si>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</si>
  <si>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</si>
  <si>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</si>
  <si>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</si>
  <si>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</si>
  <si>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</si>
  <si>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</si>
  <si>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</si>
  <si>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</si>
  <si>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</si>
  <si>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</si>
  <si>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</si>
  <si>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</si>
  <si>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</si>
  <si>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</si>
  <si>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</si>
  <si>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</si>
  <si>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</si>
  <si>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</si>
  <si>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</si>
  <si>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</si>
  <si>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</si>
  <si>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</si>
  <si>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</si>
  <si>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</si>
  <si>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</si>
  <si>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</si>
  <si>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</si>
  <si>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</si>
  <si>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</si>
  <si>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</si>
  <si>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</si>
  <si>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</si>
  <si>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</si>
  <si>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</si>
  <si>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</si>
  <si>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</si>
  <si>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</si>
  <si>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</si>
  <si>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</si>
  <si>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</si>
  <si>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</si>
  <si>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</si>
  <si>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</si>
  <si>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</si>
  <si>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</si>
  <si>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</si>
  <si>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</si>
  <si>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</si>
  <si>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</si>
  <si>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</si>
  <si>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</si>
  <si>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</si>
  <si>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</si>
  <si>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</si>
  <si>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</si>
  <si>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</si>
  <si>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</si>
  <si>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</si>
  <si>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</si>
  <si>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</si>
  <si>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</si>
  <si>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</si>
  <si>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</si>
  <si>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</si>
  <si>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</si>
  <si>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</si>
  <si>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</si>
  <si>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</si>
  <si>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</si>
  <si>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</si>
  <si>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</si>
  <si>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</si>
  <si>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</si>
  <si>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</si>
  <si>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</si>
  <si>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</si>
  <si>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</si>
  <si>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</si>
  <si>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</si>
  <si>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</si>
  <si>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</si>
  <si>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</si>
  <si>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</si>
  <si>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</si>
  <si>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</si>
  <si>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</si>
  <si>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</si>
  <si>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</si>
  <si>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</si>
  <si>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</si>
  <si>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</si>
  <si>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</si>
  <si>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</si>
  <si>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</si>
  <si>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</si>
  <si>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</si>
  <si>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</si>
  <si>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</si>
  <si>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</si>
  <si>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</si>
  <si>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</si>
  <si>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</si>
  <si>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</si>
  <si>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</si>
  <si>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</si>
  <si>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</si>
  <si>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Total Expenses</t>
  </si>
  <si>
    <t>Net Profit</t>
  </si>
  <si>
    <t>Developed by :</t>
  </si>
  <si>
    <t>Project Overview</t>
  </si>
  <si>
    <t>FEATURES</t>
  </si>
  <si>
    <t>Stock Purchase Management</t>
  </si>
  <si>
    <t>Expense Management</t>
  </si>
  <si>
    <t>Interactive Dashboard</t>
  </si>
  <si>
    <t>Recent Sales</t>
  </si>
  <si>
    <t>Top Selling Products</t>
  </si>
  <si>
    <t>How to Use</t>
  </si>
  <si>
    <t>Dashboard KPIs</t>
  </si>
  <si>
    <t xml:space="preserve">Version </t>
  </si>
  <si>
    <t>Beef</t>
  </si>
  <si>
    <t>Shaki</t>
  </si>
  <si>
    <t>Cow leg</t>
  </si>
  <si>
    <t>Semovita</t>
  </si>
  <si>
    <t>Eba</t>
  </si>
  <si>
    <t>Moin Moin</t>
  </si>
  <si>
    <t>Meat Pie</t>
  </si>
  <si>
    <t>Chicken Pie</t>
  </si>
  <si>
    <t>Beef Roll</t>
  </si>
  <si>
    <t>Tanta Roll</t>
  </si>
  <si>
    <t>Doughnut</t>
  </si>
  <si>
    <t>Beef Burger</t>
  </si>
  <si>
    <t>Scotch Egg</t>
  </si>
  <si>
    <t xml:space="preserve">Ppg Chicken </t>
  </si>
  <si>
    <t>Roasted Chicken</t>
  </si>
  <si>
    <t>Chicken Salad</t>
  </si>
  <si>
    <t>Vegetable Salad</t>
  </si>
  <si>
    <t>Scramble Egg</t>
  </si>
  <si>
    <t>Cup Cake</t>
  </si>
  <si>
    <t>Fruit Cake</t>
  </si>
  <si>
    <t>10 CELEBRATION CAKE</t>
  </si>
  <si>
    <t>8 CELEBRATION CAKE</t>
  </si>
  <si>
    <t>6 CELEBRATION CAKE</t>
  </si>
  <si>
    <t>MoinMoin Elewe</t>
  </si>
  <si>
    <t>Sunshine Loaf-Sliced</t>
  </si>
  <si>
    <t>Fruit Bread Loaf</t>
  </si>
  <si>
    <t>Efo-Riro Soup 2</t>
  </si>
  <si>
    <t>Egusi Soup 2</t>
  </si>
  <si>
    <t>Tantis Fish Ola</t>
  </si>
  <si>
    <t>Ponmo</t>
  </si>
  <si>
    <t>TURKEY (L)</t>
  </si>
  <si>
    <t>Jollof Rice New</t>
  </si>
  <si>
    <t>Fried Rice New</t>
  </si>
  <si>
    <t>Efo-Riro Soup New</t>
  </si>
  <si>
    <t>Egusi Soup New</t>
  </si>
  <si>
    <t>Spaghetti Bolognaise New</t>
  </si>
  <si>
    <t>Ofada Rice New</t>
  </si>
  <si>
    <t>Ofada Sauce New</t>
  </si>
  <si>
    <t>Vegetable Salad New</t>
  </si>
  <si>
    <t>CHICKEN VARIANCE (RICE)</t>
  </si>
  <si>
    <t>Salad Pack</t>
  </si>
  <si>
    <t>T/Away Pack (Africana)</t>
  </si>
  <si>
    <t>Ragolis Water .75 Cl</t>
  </si>
  <si>
    <t>Coke Can 33Cl</t>
  </si>
  <si>
    <t>Schweppes Can 33Cl</t>
  </si>
  <si>
    <t>Chivita Orange 1Ltr</t>
  </si>
  <si>
    <t>Five Alive  Orange 1 Ltr</t>
  </si>
  <si>
    <t>Chi Exotic Orange 1 Ltr</t>
  </si>
  <si>
    <t>Coke Pet 50Cl</t>
  </si>
  <si>
    <t>Fanta PET 50Cl</t>
  </si>
  <si>
    <t>Pepsi PET 50Cl</t>
  </si>
  <si>
    <t>Limca PET 50Cl</t>
  </si>
  <si>
    <t>Vitamilk 300Ml</t>
  </si>
  <si>
    <t>Hollandia Yoghurt Van 1 Ltr</t>
  </si>
  <si>
    <t>Hollandia Yoghurt Straw 500Ml</t>
  </si>
  <si>
    <t>Fayrouz Can Drink 33Cl</t>
  </si>
  <si>
    <t>Smoozy Yoghurt Plain 500Ml</t>
  </si>
  <si>
    <t>Sprite PET 50Cl</t>
  </si>
  <si>
    <t>1 Litre- Vanilla</t>
  </si>
  <si>
    <t>1 Litre- Peanut</t>
  </si>
  <si>
    <t>Double Pleasure -Vanilla/Straw</t>
  </si>
  <si>
    <t>Double Pleasure -Vanilla/Banan</t>
  </si>
  <si>
    <t>Moi Moi -Vanilla</t>
  </si>
  <si>
    <t>Moi Moi -Strawberry</t>
  </si>
  <si>
    <t>Moi Moi -Banana</t>
  </si>
  <si>
    <t>Moi Moi -Peanut</t>
  </si>
  <si>
    <t>Santana -Vanilla</t>
  </si>
  <si>
    <t>Santana -Peanut</t>
  </si>
  <si>
    <t>Chivita Active 1Ltr</t>
  </si>
  <si>
    <t>Coke Pet Light 50cl</t>
  </si>
  <si>
    <t>Teem Lemon Pet</t>
  </si>
  <si>
    <t>Malta Guinness 33cl Cans</t>
  </si>
  <si>
    <t>Chin Chin 224 gms</t>
  </si>
  <si>
    <t>FAB Energy Drinks</t>
  </si>
  <si>
    <t>Lucozade Sport Pet 50cl</t>
  </si>
  <si>
    <t>Eva Water 0.75Cl</t>
  </si>
  <si>
    <t>Pet Lucozade Boost</t>
  </si>
  <si>
    <t>Drinks</t>
  </si>
  <si>
    <t>Cakes</t>
  </si>
  <si>
    <t>Snacks</t>
  </si>
  <si>
    <t>Soup</t>
  </si>
  <si>
    <t>Portion</t>
  </si>
  <si>
    <t>Cashier 4</t>
  </si>
  <si>
    <t>Cashier 5</t>
  </si>
  <si>
    <t>Supplier ID</t>
  </si>
  <si>
    <t>Supplier Name</t>
  </si>
  <si>
    <t>Phone Number</t>
  </si>
  <si>
    <t>Address</t>
  </si>
  <si>
    <t>Products Supplied</t>
  </si>
  <si>
    <t>Contact Person</t>
  </si>
  <si>
    <t>Email</t>
  </si>
  <si>
    <t>TOTAL SALES</t>
  </si>
  <si>
    <t>TOTAL PURCHASES</t>
  </si>
  <si>
    <t>TOTAL PROFIT</t>
  </si>
  <si>
    <t>TOTAL EXPENSES</t>
  </si>
  <si>
    <t>SEARCH PRODUCT</t>
  </si>
  <si>
    <t>Revenue Today</t>
  </si>
  <si>
    <t>Profit Today</t>
  </si>
  <si>
    <t>QTY Sold Today</t>
  </si>
  <si>
    <t>Total Transactions Today</t>
  </si>
  <si>
    <t>Developed by Olamilekan Analytics. Version 2.0</t>
  </si>
  <si>
    <t>Sales &amp; Inventory Management System (SIMS PRO) V2.0</t>
  </si>
  <si>
    <t>dashboard.</t>
  </si>
  <si>
    <t>SIMS PRO Version 2.0</t>
  </si>
  <si>
    <t>Monthly Backup</t>
  </si>
  <si>
    <t>4. Keep the previous month's workbook as your archive.</t>
  </si>
  <si>
    <r>
      <t xml:space="preserve">3. Clear </t>
    </r>
    <r>
      <rPr>
        <b/>
        <sz val="11"/>
        <color theme="0"/>
        <rFont val="Calibri"/>
        <family val="2"/>
        <scheme val="minor"/>
      </rPr>
      <t>Daily Sales Entry</t>
    </r>
    <r>
      <rPr>
        <sz val="11"/>
        <color theme="0"/>
        <rFont val="Calibri"/>
        <family val="2"/>
        <scheme val="minor"/>
      </rPr>
      <t xml:space="preserve">, </t>
    </r>
    <r>
      <rPr>
        <b/>
        <sz val="11"/>
        <color theme="0"/>
        <rFont val="Calibri"/>
        <family val="2"/>
        <scheme val="minor"/>
      </rPr>
      <t>Stock Purchase</t>
    </r>
    <r>
      <rPr>
        <sz val="11"/>
        <color theme="0"/>
        <rFont val="Calibri"/>
        <family val="2"/>
        <scheme val="minor"/>
      </rPr>
      <t xml:space="preserve">, </t>
    </r>
    <r>
      <rPr>
        <b/>
        <sz val="11"/>
        <color theme="0"/>
        <rFont val="Calibri"/>
        <family val="2"/>
        <scheme val="minor"/>
      </rPr>
      <t>Inventory</t>
    </r>
    <r>
      <rPr>
        <sz val="11"/>
        <color theme="0"/>
        <rFont val="Calibri"/>
        <family val="2"/>
        <scheme val="minor"/>
      </rPr>
      <t xml:space="preserve">, </t>
    </r>
    <r>
      <rPr>
        <b/>
        <sz val="11"/>
        <color theme="0"/>
        <rFont val="Calibri"/>
        <family val="2"/>
        <scheme val="minor"/>
      </rPr>
      <t>Expenses records</t>
    </r>
    <r>
      <rPr>
        <sz val="11"/>
        <color theme="0"/>
        <rFont val="Calibri"/>
        <family val="2"/>
        <scheme val="minor"/>
      </rPr>
      <t xml:space="preserve"> and</t>
    </r>
    <r>
      <rPr>
        <b/>
        <sz val="11"/>
        <color theme="0"/>
        <rFont val="Calibri"/>
        <family val="2"/>
        <scheme val="minor"/>
      </rPr>
      <t xml:space="preserve"> Budget</t>
    </r>
    <r>
      <rPr>
        <sz val="11"/>
        <color theme="0"/>
        <rFont val="Calibri"/>
        <family val="2"/>
        <scheme val="minor"/>
      </rPr>
      <t>.</t>
    </r>
  </si>
  <si>
    <r>
      <t xml:space="preserve">2. Rename it (e.g. </t>
    </r>
    <r>
      <rPr>
        <b/>
        <sz val="11"/>
        <color theme="0"/>
        <rFont val="Calibri"/>
        <family val="2"/>
        <scheme val="minor"/>
      </rPr>
      <t>SIMS - JUNE 2026 xlsx</t>
    </r>
    <r>
      <rPr>
        <sz val="11"/>
        <color theme="0"/>
        <rFont val="Calibri"/>
        <family val="2"/>
        <scheme val="minor"/>
      </rPr>
      <t>).</t>
    </r>
  </si>
  <si>
    <t>System Requirement</t>
  </si>
  <si>
    <t>1. Microsoft Excel 2007 or later.</t>
  </si>
  <si>
    <t>2. Enable Editing when opening the file.</t>
  </si>
  <si>
    <t>3. Enable Macros (if applicable)</t>
  </si>
  <si>
    <t>Product Management</t>
  </si>
  <si>
    <t>Daily Sales Tracking</t>
  </si>
  <si>
    <t>Inventory Management</t>
  </si>
  <si>
    <t>Budget Tracking</t>
  </si>
  <si>
    <t>Sales Analysis</t>
  </si>
  <si>
    <t>Low Stock Alerts</t>
  </si>
  <si>
    <t>Profit Analysis</t>
  </si>
  <si>
    <t>Release Date: August 2026</t>
  </si>
  <si>
    <r>
      <rPr>
        <b/>
        <sz val="11"/>
        <color theme="0"/>
        <rFont val="Calibri"/>
        <family val="2"/>
        <scheme val="minor"/>
      </rPr>
      <t>Phone</t>
    </r>
    <r>
      <rPr>
        <sz val="11"/>
        <color theme="0"/>
        <rFont val="Calibri"/>
        <family val="2"/>
        <scheme val="minor"/>
      </rPr>
      <t>: 09120475646, 09073033476</t>
    </r>
  </si>
  <si>
    <r>
      <t xml:space="preserve">Email: </t>
    </r>
    <r>
      <rPr>
        <sz val="11"/>
        <color theme="0"/>
        <rFont val="Calibri"/>
        <family val="2"/>
        <scheme val="minor"/>
      </rPr>
      <t>Tundesulaimon50@gmail.com</t>
    </r>
  </si>
  <si>
    <t>All Rights Reserved.</t>
  </si>
  <si>
    <t>This sales &amp; Inventory Management System was developed in Microsoft Excel to help businesses manage products, purchases, sales, inventory, expenses, budgeting and business performance through an interactive</t>
  </si>
  <si>
    <t>1. At the end of every month, make a copy of this workbook.</t>
  </si>
  <si>
    <t>Olamilekan Analytics.</t>
  </si>
  <si>
    <r>
      <rPr>
        <b/>
        <sz val="11"/>
        <color theme="0"/>
        <rFont val="Calibri"/>
        <family val="2"/>
      </rPr>
      <t>©</t>
    </r>
    <r>
      <rPr>
        <b/>
        <sz val="11"/>
        <color theme="0"/>
        <rFont val="Calibri"/>
        <family val="2"/>
        <scheme val="minor"/>
      </rPr>
      <t xml:space="preserve"> 2026 Olamilekan Analytics.</t>
    </r>
  </si>
  <si>
    <t>Total</t>
  </si>
  <si>
    <t>Last Updated : 13 August, 2026.</t>
  </si>
  <si>
    <t>Price</t>
  </si>
  <si>
    <t>Coca-Cola</t>
  </si>
  <si>
    <t>Pepsi</t>
  </si>
  <si>
    <t>Fanta</t>
  </si>
  <si>
    <t>P0001</t>
  </si>
  <si>
    <t>P0002</t>
  </si>
  <si>
    <t>P0003</t>
  </si>
  <si>
    <t>P0004</t>
  </si>
  <si>
    <t>P0005</t>
  </si>
  <si>
    <t>Indomie</t>
  </si>
  <si>
    <t>Peak Milk</t>
  </si>
  <si>
    <t>Dairy</t>
  </si>
  <si>
    <r>
      <rPr>
        <b/>
        <sz val="11"/>
        <color theme="0"/>
        <rFont val="Calibri"/>
        <family val="2"/>
        <scheme val="minor"/>
      </rPr>
      <t>Developed by:</t>
    </r>
    <r>
      <rPr>
        <sz val="11"/>
        <color theme="0"/>
        <rFont val="Calibri"/>
        <family val="2"/>
        <scheme val="minor"/>
      </rPr>
      <t xml:space="preserve"> </t>
    </r>
    <r>
      <rPr>
        <i/>
        <sz val="11"/>
        <color theme="0"/>
        <rFont val="Calibri"/>
        <family val="2"/>
        <scheme val="minor"/>
      </rPr>
      <t>Olamilekan Analytics</t>
    </r>
  </si>
  <si>
    <t>P0006</t>
  </si>
  <si>
    <t>To get some raw materials at the market</t>
  </si>
  <si>
    <t>Today Sales</t>
  </si>
  <si>
    <t>Yesterday's Sales</t>
  </si>
  <si>
    <t>This week's Sales</t>
  </si>
  <si>
    <t>This Month's Sales</t>
  </si>
  <si>
    <t>Today's Profit</t>
  </si>
  <si>
    <t>Date2</t>
  </si>
  <si>
    <t>Day</t>
  </si>
  <si>
    <t>Sales</t>
  </si>
  <si>
    <t>Gross Profit</t>
  </si>
  <si>
    <t>Gross Profit Margin</t>
  </si>
  <si>
    <t>Net Profit Margin</t>
  </si>
  <si>
    <t>SIMS PRO - Sales &amp; Inventory Management System</t>
  </si>
  <si>
    <t>Product Names</t>
  </si>
  <si>
    <t>Payment of staff salary</t>
  </si>
  <si>
    <t>No 4, Igando road</t>
  </si>
  <si>
    <t>Chicken</t>
  </si>
  <si>
    <t>Kola</t>
  </si>
  <si>
    <t>Tundesulaimon50@gmail.com</t>
  </si>
  <si>
    <t>P0007</t>
  </si>
  <si>
    <t>P0008</t>
  </si>
  <si>
    <t>P0009</t>
  </si>
  <si>
    <t>Total Transaction Today</t>
  </si>
  <si>
    <t>Quantity Sold Today</t>
  </si>
  <si>
    <t>This Week's Sales</t>
  </si>
  <si>
    <t>Out of Stock Items</t>
  </si>
  <si>
    <t>P0010</t>
  </si>
  <si>
    <t>P0011</t>
  </si>
  <si>
    <t>Quantity</t>
  </si>
  <si>
    <t>Reason</t>
  </si>
  <si>
    <t>Adjustment Type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</si>
  <si>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</si>
  <si>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</si>
  <si>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</si>
  <si>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</si>
  <si>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</si>
  <si>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</si>
  <si>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</si>
  <si>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</si>
  <si>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</si>
  <si>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</si>
  <si>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</si>
  <si>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</si>
  <si>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</si>
  <si>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</si>
  <si>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</si>
  <si>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</si>
  <si>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</si>
  <si>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</si>
  <si>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</si>
  <si>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</si>
  <si>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</si>
  <si>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</si>
  <si>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</si>
  <si>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</si>
  <si>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</si>
  <si>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</si>
  <si>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</si>
  <si>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</si>
  <si>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</si>
  <si>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</si>
  <si>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</si>
  <si>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</si>
  <si>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</si>
  <si>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</si>
  <si>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</si>
  <si>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</si>
  <si>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</si>
  <si>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</si>
  <si>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</si>
  <si>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Damaged</t>
  </si>
  <si>
    <t>Expired</t>
  </si>
  <si>
    <t>Supplier Returned</t>
  </si>
  <si>
    <t>Customer Returned</t>
  </si>
  <si>
    <t>Staff Consumption</t>
  </si>
  <si>
    <t>Opening Stock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</si>
  <si>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</si>
  <si>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</si>
  <si>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</si>
  <si>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</si>
  <si>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</si>
  <si>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</si>
  <si>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</si>
  <si>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</si>
  <si>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</si>
  <si>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</si>
  <si>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</si>
  <si>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</si>
  <si>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</si>
  <si>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</si>
  <si>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</si>
  <si>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</si>
  <si>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</si>
  <si>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</si>
  <si>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</si>
  <si>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</si>
  <si>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</si>
  <si>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</si>
  <si>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</si>
  <si>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</si>
  <si>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</si>
  <si>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</si>
  <si>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</si>
  <si>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</si>
  <si>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</si>
  <si>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</si>
  <si>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</si>
  <si>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</si>
  <si>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</si>
  <si>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</si>
  <si>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</si>
  <si>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</si>
  <si>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</si>
  <si>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</si>
  <si>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</si>
  <si>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</si>
  <si>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</si>
  <si>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</si>
  <si>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</si>
  <si>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</si>
  <si>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</si>
  <si>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</si>
  <si>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</si>
  <si>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</si>
  <si>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</si>
  <si>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</si>
  <si>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</si>
  <si>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</si>
  <si>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</si>
  <si>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</si>
  <si>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</si>
  <si>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</si>
  <si>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</si>
  <si>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</si>
  <si>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</si>
  <si>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</si>
  <si>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</si>
  <si>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</si>
  <si>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</si>
  <si>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</si>
  <si>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</si>
  <si>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</si>
  <si>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</si>
  <si>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</si>
  <si>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</si>
  <si>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</si>
  <si>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</si>
  <si>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</si>
  <si>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</si>
  <si>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</si>
  <si>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</si>
  <si>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</si>
  <si>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</si>
  <si>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</si>
  <si>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</si>
  <si>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</si>
  <si>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</si>
  <si>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</si>
  <si>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</si>
  <si>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</si>
  <si>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</si>
  <si>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</si>
  <si>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</si>
  <si>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</si>
  <si>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</si>
  <si>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</si>
  <si>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</si>
  <si>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</si>
  <si>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</si>
  <si>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</si>
  <si>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</si>
  <si>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</si>
  <si>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</si>
  <si>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</si>
  <si>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</si>
  <si>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</si>
  <si>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</si>
  <si>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</si>
  <si>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</si>
  <si>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</si>
  <si>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</si>
  <si>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</si>
  <si>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</si>
  <si>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</si>
  <si>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</si>
  <si>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</si>
  <si>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</si>
  <si>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</si>
  <si>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</si>
  <si>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</si>
  <si>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</si>
  <si>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</si>
  <si>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</si>
  <si>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</si>
  <si>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</si>
  <si>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</si>
  <si>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</si>
  <si>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</si>
  <si>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</si>
  <si>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</si>
  <si>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</si>
  <si>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</si>
  <si>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</si>
  <si>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</si>
  <si>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</si>
  <si>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</si>
  <si>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</si>
  <si>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</si>
  <si>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</si>
  <si>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</si>
  <si>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</si>
  <si>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</si>
  <si>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</si>
  <si>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</si>
  <si>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</si>
  <si>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</si>
  <si>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</si>
  <si>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</si>
  <si>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</si>
  <si>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</si>
  <si>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</si>
  <si>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</si>
  <si>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</si>
  <si>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</si>
  <si>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</si>
  <si>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</si>
  <si>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</si>
  <si>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</si>
  <si>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</si>
  <si>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</si>
  <si>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</si>
  <si>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</si>
  <si>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</si>
  <si>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</si>
  <si>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</si>
  <si>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</si>
  <si>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</si>
  <si>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</si>
  <si>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</si>
  <si>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</si>
  <si>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</si>
  <si>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</si>
  <si>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</si>
  <si>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</si>
  <si>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</si>
  <si>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</si>
  <si>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</si>
  <si>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</si>
  <si>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</si>
  <si>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</si>
  <si>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</si>
  <si>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</si>
  <si>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</si>
  <si>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</si>
  <si>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</si>
  <si>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</si>
  <si>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</si>
  <si>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</si>
  <si>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</si>
  <si>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</si>
  <si>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</si>
  <si>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</si>
  <si>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</si>
  <si>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</si>
  <si>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</si>
  <si>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</si>
  <si>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</si>
  <si>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</si>
  <si>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</si>
  <si>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</si>
  <si>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</si>
  <si>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</si>
  <si>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</si>
  <si>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</si>
  <si>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</si>
  <si>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</si>
  <si>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</si>
  <si>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</si>
  <si>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</si>
  <si>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</si>
  <si>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</si>
  <si>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</si>
  <si>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</si>
  <si>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</si>
  <si>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</si>
  <si>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</si>
  <si>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</si>
  <si>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</si>
  <si>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</si>
  <si>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</si>
  <si>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</si>
  <si>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</si>
  <si>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</si>
  <si>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</si>
  <si>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</si>
  <si>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</si>
  <si>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</si>
  <si>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</si>
  <si>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</si>
  <si>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</si>
  <si>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</si>
  <si>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</si>
  <si>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</si>
  <si>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</si>
  <si>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</si>
  <si>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</si>
  <si>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</si>
  <si>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</si>
  <si>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</si>
  <si>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</si>
  <si>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</si>
  <si>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</si>
  <si>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</si>
  <si>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</si>
  <si>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</si>
  <si>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</si>
  <si>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</si>
  <si>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</si>
  <si>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</si>
  <si>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</si>
  <si>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</si>
  <si>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</si>
  <si>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</si>
  <si>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</si>
  <si>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</si>
  <si>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</si>
  <si>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</si>
  <si>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</si>
  <si>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</si>
  <si>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</si>
  <si>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</si>
  <si>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</si>
  <si>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</si>
  <si>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</si>
  <si>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</si>
  <si>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</si>
  <si>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</si>
  <si>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</si>
  <si>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</si>
  <si>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</si>
  <si>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</si>
  <si>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</si>
  <si>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</si>
  <si>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</si>
  <si>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</si>
  <si>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</si>
  <si>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</si>
  <si>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</si>
  <si>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</si>
  <si>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</si>
  <si>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</si>
  <si>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</si>
  <si>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</si>
  <si>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</si>
  <si>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</si>
  <si>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</si>
  <si>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</si>
  <si>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</si>
  <si>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</si>
  <si>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</si>
  <si>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</si>
  <si>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</si>
  <si>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</si>
  <si>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</si>
  <si>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</si>
  <si>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</si>
  <si>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</si>
  <si>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</si>
  <si>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</si>
  <si>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</si>
  <si>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</si>
  <si>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</si>
  <si>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</si>
  <si>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</si>
  <si>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</si>
  <si>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</si>
  <si>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</si>
  <si>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</si>
  <si>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</si>
  <si>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</si>
  <si>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</si>
  <si>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</si>
  <si>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</si>
  <si>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</si>
  <si>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</si>
  <si>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</si>
  <si>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</si>
  <si>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</si>
  <si>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</si>
  <si>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</si>
  <si>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</si>
  <si>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</si>
  <si>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</si>
  <si>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</si>
  <si>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</si>
  <si>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</si>
  <si>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</si>
  <si>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</si>
  <si>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</si>
  <si>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</si>
  <si>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</si>
  <si>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</si>
  <si>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</si>
  <si>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</si>
  <si>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</si>
  <si>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</si>
  <si>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</si>
  <si>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</si>
  <si>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</si>
  <si>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</si>
  <si>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</si>
  <si>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</si>
  <si>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</si>
  <si>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</si>
  <si>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</si>
  <si>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</si>
  <si>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</si>
  <si>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</si>
  <si>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</si>
  <si>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</si>
  <si>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</si>
  <si>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</si>
  <si>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</si>
  <si>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</si>
  <si>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</si>
  <si>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</si>
  <si>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</si>
  <si>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</si>
  <si>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</si>
  <si>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</si>
  <si>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</si>
  <si>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</si>
  <si>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</si>
  <si>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</si>
  <si>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</si>
  <si>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</si>
  <si>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</si>
  <si>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</si>
  <si>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</si>
  <si>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</si>
  <si>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</si>
  <si>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</si>
  <si>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</si>
  <si>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</si>
  <si>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</si>
  <si>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</si>
  <si>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</si>
  <si>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</si>
  <si>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</si>
  <si>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</si>
  <si>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</si>
  <si>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</si>
  <si>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</si>
  <si>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</si>
  <si>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</si>
  <si>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</si>
  <si>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</si>
  <si>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</si>
  <si>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</si>
  <si>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</si>
  <si>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</si>
  <si>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</si>
  <si>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</si>
  <si>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</si>
  <si>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</si>
  <si>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</si>
  <si>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</si>
  <si>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</si>
  <si>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</si>
  <si>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</si>
  <si>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</si>
  <si>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</si>
  <si>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</si>
  <si>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</si>
  <si>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</si>
  <si>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</si>
  <si>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</si>
  <si>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</si>
  <si>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</si>
  <si>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</si>
  <si>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</si>
  <si>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</si>
  <si>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</si>
  <si>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</si>
  <si>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</si>
  <si>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</si>
  <si>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</si>
  <si>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</si>
  <si>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</si>
  <si>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</si>
  <si>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</si>
  <si>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</si>
  <si>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</si>
  <si>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</si>
  <si>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</si>
  <si>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</si>
  <si>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</si>
  <si>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</si>
  <si>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</si>
  <si>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</si>
  <si>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</si>
  <si>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</si>
  <si>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</si>
  <si>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</si>
  <si>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</si>
  <si>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</si>
  <si>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</si>
  <si>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</si>
  <si>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</si>
  <si>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</si>
  <si>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</si>
  <si>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</si>
  <si>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</si>
  <si>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</si>
  <si>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</si>
  <si>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</si>
  <si>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</si>
  <si>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</si>
  <si>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</si>
  <si>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</si>
  <si>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</si>
  <si>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</si>
  <si>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</si>
  <si>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</si>
  <si>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</si>
  <si>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</si>
  <si>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</si>
  <si>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</si>
  <si>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</si>
  <si>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</si>
  <si>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</si>
  <si>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</si>
  <si>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</si>
  <si>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</si>
  <si>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</si>
  <si>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</si>
  <si>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</si>
  <si>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</si>
  <si>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</si>
  <si>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</si>
  <si>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</si>
  <si>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</si>
  <si>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</si>
  <si>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</si>
  <si>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</si>
  <si>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</si>
  <si>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</si>
  <si>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</si>
  <si>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</si>
  <si>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</si>
  <si>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</si>
  <si>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</si>
  <si>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</si>
  <si>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</si>
  <si>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</si>
  <si>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</si>
  <si>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</si>
  <si>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</si>
  <si>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</si>
  <si>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</si>
  <si>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</si>
  <si>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</si>
  <si>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</si>
  <si>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</si>
  <si>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</si>
  <si>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</si>
  <si>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</si>
  <si>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</si>
  <si>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</si>
  <si>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</si>
  <si>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</si>
  <si>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</si>
  <si>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</si>
  <si>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</si>
  <si>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</si>
  <si>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</si>
  <si>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</si>
  <si>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</si>
  <si>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</si>
  <si>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</si>
  <si>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</si>
  <si>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</si>
  <si>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</si>
  <si>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</si>
  <si>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</si>
  <si>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</si>
  <si>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</si>
  <si>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</si>
  <si>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</si>
  <si>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</si>
  <si>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</si>
  <si>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</si>
  <si>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</si>
  <si>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</si>
  <si>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</si>
  <si>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</si>
  <si>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</si>
  <si>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</si>
  <si>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</si>
  <si>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</si>
  <si>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</si>
  <si>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</si>
  <si>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</si>
  <si>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</si>
  <si>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</si>
  <si>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</si>
  <si>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</si>
  <si>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</si>
  <si>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</si>
  <si>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</si>
  <si>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</si>
  <si>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</si>
  <si>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</si>
  <si>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</si>
  <si>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</si>
  <si>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</si>
  <si>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</si>
  <si>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</si>
  <si>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</si>
  <si>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</si>
  <si>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</si>
  <si>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</si>
  <si>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</si>
  <si>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</si>
  <si>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</si>
  <si>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</si>
  <si>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</si>
  <si>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</si>
  <si>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</si>
  <si>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</si>
  <si>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</si>
  <si>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</si>
  <si>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</si>
  <si>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</si>
  <si>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</si>
  <si>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</si>
  <si>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</si>
  <si>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</si>
  <si>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</si>
  <si>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</si>
  <si>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</si>
  <si>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</si>
  <si>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</si>
  <si>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</si>
  <si>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</si>
  <si>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</si>
  <si>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</si>
  <si>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</si>
  <si>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</si>
  <si>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</si>
  <si>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</si>
  <si>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</si>
  <si>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</si>
  <si>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</si>
  <si>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</si>
  <si>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</si>
  <si>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</si>
  <si>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</si>
  <si>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</si>
  <si>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</si>
  <si>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</si>
  <si>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</si>
  <si>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</si>
  <si>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</si>
  <si>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</si>
  <si>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</si>
  <si>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</si>
  <si>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</si>
  <si>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</si>
  <si>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</si>
  <si>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</si>
  <si>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</si>
  <si>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</si>
  <si>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</si>
  <si>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</si>
  <si>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</si>
  <si>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</si>
  <si>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</si>
  <si>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</si>
  <si>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</si>
  <si>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</si>
  <si>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</si>
  <si>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</si>
  <si>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</si>
  <si>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</si>
  <si>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</si>
  <si>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</si>
  <si>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</si>
  <si>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</si>
  <si>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</si>
  <si>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</si>
  <si>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</si>
  <si>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</si>
  <si>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</si>
  <si>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</si>
  <si>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</si>
  <si>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</si>
  <si>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</si>
  <si>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</si>
  <si>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</si>
  <si>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</si>
  <si>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</si>
  <si>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</si>
  <si>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</si>
  <si>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</si>
  <si>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</si>
  <si>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</si>
  <si>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</si>
  <si>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</si>
  <si>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</si>
  <si>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</si>
  <si>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</si>
  <si>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</si>
  <si>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</si>
  <si>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</si>
  <si>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</si>
  <si>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</si>
  <si>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</si>
  <si>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</si>
  <si>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</si>
  <si>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</si>
  <si>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</si>
  <si>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</si>
  <si>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</si>
  <si>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</si>
  <si>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</si>
  <si>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</si>
  <si>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</si>
  <si>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</si>
  <si>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</si>
  <si>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</si>
  <si>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</si>
  <si>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</si>
  <si>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</si>
  <si>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</si>
  <si>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</si>
  <si>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</si>
  <si>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</si>
  <si>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</si>
  <si>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</si>
  <si>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</si>
  <si>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</si>
  <si>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</si>
  <si>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</si>
  <si>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</si>
  <si>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</si>
  <si>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</si>
  <si>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</si>
  <si>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</si>
  <si>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</si>
  <si>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</si>
  <si>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</si>
  <si>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</si>
  <si>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</si>
  <si>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</si>
  <si>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</si>
  <si>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</si>
  <si>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</si>
  <si>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</si>
  <si>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</si>
  <si>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</si>
  <si>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</si>
  <si>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</si>
  <si>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</si>
  <si>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</si>
  <si>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</si>
  <si>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</si>
  <si>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</si>
  <si>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</si>
  <si>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</si>
  <si>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</si>
  <si>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</si>
  <si>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</si>
  <si>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</si>
  <si>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</si>
  <si>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</si>
  <si>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</si>
  <si>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</si>
  <si>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</si>
  <si>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</si>
  <si>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</si>
  <si>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</si>
  <si>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</si>
  <si>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</si>
  <si>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</si>
  <si>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</si>
  <si>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</si>
  <si>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</si>
  <si>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</si>
  <si>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</si>
  <si>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</si>
  <si>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</si>
  <si>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</si>
  <si>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</si>
  <si>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</si>
  <si>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</si>
  <si>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</si>
  <si>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</si>
  <si>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</si>
  <si>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</si>
  <si>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</si>
  <si>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</si>
  <si>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</si>
  <si>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</si>
  <si>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</si>
  <si>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</si>
  <si>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</si>
  <si>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</si>
  <si>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</si>
  <si>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</si>
  <si>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</si>
  <si>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</si>
  <si>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</si>
  <si>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</si>
  <si>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</si>
  <si>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</si>
  <si>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</si>
  <si>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</si>
  <si>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</si>
  <si>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</si>
  <si>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</si>
  <si>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</si>
  <si>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</si>
  <si>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</si>
  <si>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</si>
  <si>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</si>
  <si>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</si>
  <si>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</si>
  <si>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</si>
  <si>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</si>
  <si>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</si>
  <si>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</si>
  <si>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</si>
  <si>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</si>
  <si>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</si>
  <si>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</si>
  <si>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</si>
  <si>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</si>
  <si>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</si>
  <si>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</si>
  <si>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</si>
  <si>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</si>
  <si>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</si>
  <si>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</si>
  <si>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</si>
  <si>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</si>
  <si>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</si>
  <si>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</si>
  <si>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</si>
  <si>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</si>
  <si>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</si>
  <si>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</si>
  <si>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</si>
  <si>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</si>
  <si>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</si>
  <si>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</si>
  <si>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</si>
  <si>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</si>
  <si>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</si>
  <si>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</si>
  <si>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</si>
  <si>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</si>
  <si>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</si>
  <si>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</si>
  <si>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</si>
  <si>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</si>
  <si>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</si>
  <si>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</si>
  <si>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</si>
  <si>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</si>
  <si>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</si>
  <si>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</si>
  <si>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</si>
  <si>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</si>
  <si>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</si>
  <si>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</si>
  <si>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</si>
  <si>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</si>
  <si>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</si>
  <si>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</si>
  <si>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</si>
  <si>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</si>
  <si>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</si>
  <si>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</si>
  <si>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</si>
  <si>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</si>
  <si>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</si>
  <si>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</si>
  <si>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</si>
  <si>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</si>
  <si>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</si>
  <si>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</si>
  <si>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</si>
  <si>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</si>
  <si>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</si>
  <si>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</si>
  <si>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</si>
  <si>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</si>
  <si>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</si>
  <si>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</si>
  <si>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</si>
  <si>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</si>
  <si>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</si>
  <si>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</si>
  <si>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</si>
  <si>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</si>
  <si>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</si>
  <si>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</si>
  <si>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</si>
  <si>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</si>
  <si>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</si>
  <si>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</si>
  <si>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</si>
  <si>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</si>
  <si>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</si>
  <si>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</si>
  <si>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</si>
  <si>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</si>
  <si>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</si>
  <si>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</si>
  <si>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</si>
  <si>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</si>
  <si>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</si>
  <si>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</si>
  <si>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</si>
  <si>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</si>
  <si>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</si>
  <si>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</si>
  <si>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</si>
  <si>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</si>
  <si>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</si>
  <si>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</si>
  <si>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</si>
  <si>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</si>
  <si>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</si>
  <si>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</si>
  <si>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</si>
  <si>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</si>
  <si>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</si>
  <si>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</si>
  <si>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</si>
  <si>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</si>
  <si>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</si>
  <si>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</si>
  <si>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</si>
  <si>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</si>
  <si>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</si>
  <si>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</si>
  <si>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</si>
  <si>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</si>
  <si>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</si>
  <si>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</si>
  <si>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</si>
  <si>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</si>
  <si>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</si>
  <si>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</si>
  <si>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</si>
  <si>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</si>
  <si>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</si>
  <si>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</si>
  <si>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</si>
  <si>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</si>
  <si>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</si>
  <si>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</si>
  <si>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</si>
  <si>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</si>
  <si>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</si>
  <si>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</si>
  <si>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</si>
  <si>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</si>
  <si>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</si>
  <si>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</si>
  <si>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</si>
  <si>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</si>
  <si>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</si>
  <si>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</si>
  <si>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</si>
  <si>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</si>
  <si>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</si>
  <si>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</si>
  <si>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</si>
  <si>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</si>
  <si>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</si>
  <si>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</si>
  <si>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</si>
  <si>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</si>
  <si>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</si>
  <si>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</si>
  <si>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</si>
  <si>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</si>
  <si>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</si>
  <si>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</si>
  <si>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</si>
  <si>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</si>
  <si>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</si>
  <si>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</si>
  <si>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</si>
  <si>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</si>
  <si>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</si>
  <si>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</si>
  <si>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</si>
  <si>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</si>
  <si>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</si>
  <si>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</si>
  <si>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</si>
  <si>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</si>
  <si>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</si>
  <si>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</si>
  <si>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</si>
  <si>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</si>
  <si>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</si>
  <si>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</si>
  <si>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</si>
  <si>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</si>
  <si>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</si>
  <si>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</si>
  <si>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</si>
  <si>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</si>
  <si>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</si>
  <si>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</si>
  <si>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</si>
  <si>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</si>
  <si>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</si>
  <si>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</si>
  <si>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</si>
  <si>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Closing Stock</t>
  </si>
  <si>
    <t>Stock Adjustment</t>
  </si>
  <si>
    <t>Supplier List</t>
  </si>
  <si>
    <t>Product Search</t>
  </si>
  <si>
    <r>
      <t>1. Product Master :</t>
    </r>
    <r>
      <rPr>
        <sz val="11"/>
        <color theme="0"/>
        <rFont val="Calibri"/>
        <family val="2"/>
        <scheme val="minor"/>
      </rPr>
      <t xml:space="preserve"> Add and mantain all products. Enter the Product ID, Product Name, Category, Unit, Cost Price, Selling Price and Reorder Level</t>
    </r>
    <r>
      <rPr>
        <b/>
        <sz val="11"/>
        <color theme="0"/>
        <rFont val="Calibri"/>
        <family val="2"/>
        <scheme val="minor"/>
      </rPr>
      <t>.</t>
    </r>
  </si>
  <si>
    <r>
      <rPr>
        <b/>
        <sz val="11"/>
        <color theme="0"/>
        <rFont val="Calibri"/>
        <family val="2"/>
        <scheme val="minor"/>
      </rPr>
      <t>2. Stock Purchase</t>
    </r>
    <r>
      <rPr>
        <sz val="11"/>
        <color theme="0"/>
        <rFont val="Calibri"/>
        <family val="2"/>
        <scheme val="minor"/>
      </rPr>
      <t xml:space="preserve"> : Record all product purchased from suppliers. Enter the required purchased detailes and quantity. The sysem automatcally updates the inventory.</t>
    </r>
  </si>
  <si>
    <r>
      <t xml:space="preserve">3. Inventory : </t>
    </r>
    <r>
      <rPr>
        <sz val="11"/>
        <color theme="0"/>
        <rFont val="Calibri"/>
        <family val="2"/>
        <scheme val="minor"/>
      </rPr>
      <t>View the current stock position of every product. Opening stock, Purchases, Sales and adjustments are used to calculate Closing stock automatically.</t>
    </r>
  </si>
  <si>
    <r>
      <rPr>
        <b/>
        <sz val="11"/>
        <color theme="0"/>
        <rFont val="Calibri"/>
        <family val="2"/>
        <scheme val="minor"/>
      </rPr>
      <t>4. Stock Adjustment</t>
    </r>
    <r>
      <rPr>
        <sz val="11"/>
        <color theme="0"/>
        <rFont val="Calibri"/>
        <family val="2"/>
        <scheme val="minor"/>
      </rPr>
      <t xml:space="preserve"> : Use this section to record stock changes that are not sales or purchases, such as damaged, expired, customer returns, supplier returns and staff consumption.</t>
    </r>
  </si>
  <si>
    <r>
      <rPr>
        <b/>
        <sz val="11"/>
        <color theme="0"/>
        <rFont val="Calibri"/>
        <family val="2"/>
        <scheme val="minor"/>
      </rPr>
      <t>5. Dashboard</t>
    </r>
    <r>
      <rPr>
        <sz val="11"/>
        <color theme="0"/>
        <rFont val="Calibri"/>
        <family val="2"/>
        <scheme val="minor"/>
      </rPr>
      <t xml:space="preserve"> : View key business performance information such as sales, expenses, profit inventory value and low-stock alerts.</t>
    </r>
  </si>
  <si>
    <r>
      <rPr>
        <b/>
        <sz val="11"/>
        <color theme="0"/>
        <rFont val="Calibri"/>
        <family val="2"/>
        <scheme val="minor"/>
      </rPr>
      <t>6. Product Search :</t>
    </r>
    <r>
      <rPr>
        <sz val="11"/>
        <color theme="0"/>
        <rFont val="Calibri"/>
        <family val="2"/>
        <scheme val="minor"/>
      </rPr>
      <t xml:space="preserve"> Search for a product quickly using the available search option to view its relevant infortmation and stock position.</t>
    </r>
  </si>
  <si>
    <r>
      <rPr>
        <b/>
        <sz val="11"/>
        <color theme="0"/>
        <rFont val="Calibri"/>
        <family val="2"/>
        <scheme val="minor"/>
      </rPr>
      <t>7. Supplier List :</t>
    </r>
    <r>
      <rPr>
        <sz val="11"/>
        <color theme="0"/>
        <rFont val="Calibri"/>
        <family val="2"/>
        <scheme val="minor"/>
      </rPr>
      <t xml:space="preserve"> Add and maintain supplier information. Use this list when recording stock purchases and managing suppliers.</t>
    </r>
  </si>
  <si>
    <r>
      <rPr>
        <b/>
        <sz val="11"/>
        <color theme="0"/>
        <rFont val="Calibri"/>
        <family val="2"/>
        <scheme val="minor"/>
      </rPr>
      <t>8. Daily Sales Entry :</t>
    </r>
    <r>
      <rPr>
        <sz val="11"/>
        <color theme="0"/>
        <rFont val="Calibri"/>
        <family val="2"/>
        <scheme val="minor"/>
      </rPr>
      <t xml:space="preserve"> Record daily sales by entering the requiredn sales information and quantity sold. Sales, revenue and profit are calculated automatically.</t>
    </r>
  </si>
  <si>
    <r>
      <rPr>
        <b/>
        <sz val="11"/>
        <color theme="0"/>
        <rFont val="Calibri"/>
        <family val="2"/>
        <scheme val="minor"/>
      </rPr>
      <t>9. Budget &amp; Expenses :</t>
    </r>
    <r>
      <rPr>
        <sz val="11"/>
        <color theme="0"/>
        <rFont val="Calibri"/>
        <family val="2"/>
        <scheme val="minor"/>
      </rPr>
      <t xml:space="preserve"> Record business expenses and monitor spending. Expense informaton is reflected on the Dashboard.</t>
    </r>
  </si>
  <si>
    <t>NEPA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</si>
</sst>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[$₦-471]\ #,##0.00"/>
    <numFmt numFmtId="166" formatCode="[$₦-467]\ #,##0.00"/>
    <numFmt numFmtId="167" formatCode="[$₦-466]\ #,##0.00"/>
    <numFmt numFmtId="168" formatCode="[$₦-470]#,##0.00"/>
    <numFmt numFmtId="169" formatCode="[$₦-46A]#,##0.00"/>
    <numFmt numFmtId="170" formatCode="[$₦-469]\ #,##0.00"/>
    <numFmt numFmtId="171" formatCode="[$₦-467]\ #,##0"/>
    <numFmt numFmtId="172" formatCode="[$₦-469]\ #,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  <font>
      <sz val="10"/>
      <name val="Verdana"/>
      <family val="2"/>
    </font>
    <font>
      <b/>
      <u val="double"/>
      <sz val="1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 val="double"/>
      <sz val="18"/>
      <color theme="4" tint="0.3999755851924192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u val="double"/>
      <sz val="26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2.1"/>
      <color theme="10"/>
      <name val="Calibri"/>
      <family val="2"/>
    </font>
    <font>
      <b/>
      <u val="double"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 val="double"/>
      <sz val="24"/>
      <color theme="0"/>
      <name val="Calibri"/>
      <family val="2"/>
      <scheme val="minor"/>
    </font>
    <font>
      <b/>
      <i/>
      <u val="double"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Verdana"/>
      <family val="2"/>
    </font>
    <font>
      <b/>
      <u val="double"/>
      <sz val="16"/>
      <color theme="1" tint="4.9989318521683403E-2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u/>
      <sz val="12.1"/>
      <color theme="0"/>
      <name val="Calibri"/>
      <family val="2"/>
    </font>
    <font>
      <sz val="14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499984740745262"/>
        <bgColor theme="4" tint="0.59999389629810485"/>
      </patternFill>
    </fill>
    <fill>
      <patternFill patternType="solid">
        <fgColor theme="3" tint="-0.49998474074526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</cellStyleXfs>
  <cellXfs count="182">
    <xf numFmtId="0" fontId="0" fillId="0" borderId="0" xfId="0"/>
    <xf numFmtId="0" fontId="2" fillId="0" borderId="0" xfId="0" applyFont="1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0" fillId="0" borderId="0" xfId="0" applyProtection="1">
      <protection locked="0"/>
    </xf>
    <xf numFmtId="0" fontId="8" fillId="0" borderId="0" xfId="0" applyFont="1"/>
    <xf numFmtId="0" fontId="7" fillId="0" borderId="4" xfId="0" applyFont="1" applyBorder="1"/>
    <xf numFmtId="0" fontId="7" fillId="0" borderId="2" xfId="0" applyFont="1" applyBorder="1"/>
    <xf numFmtId="0" fontId="7" fillId="0" borderId="5" xfId="0" applyFont="1" applyBorder="1"/>
    <xf numFmtId="0" fontId="0" fillId="0" borderId="9" xfId="0" applyBorder="1"/>
    <xf numFmtId="0" fontId="11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14" fontId="0" fillId="0" borderId="2" xfId="0" applyNumberFormat="1" applyBorder="1"/>
    <xf numFmtId="0" fontId="0" fillId="7" borderId="0" xfId="0" applyFill="1"/>
    <xf numFmtId="0" fontId="0" fillId="2" borderId="0" xfId="0" applyFill="1"/>
    <xf numFmtId="0" fontId="12" fillId="7" borderId="0" xfId="0" applyFont="1" applyFill="1"/>
    <xf numFmtId="0" fontId="4" fillId="7" borderId="0" xfId="0" applyFont="1" applyFill="1" applyAlignment="1">
      <alignment vertical="center"/>
    </xf>
    <xf numFmtId="0" fontId="4" fillId="7" borderId="0" xfId="0" applyFont="1" applyFill="1"/>
    <xf numFmtId="0" fontId="14" fillId="7" borderId="0" xfId="0" applyFont="1" applyFill="1"/>
    <xf numFmtId="0" fontId="14" fillId="7" borderId="6" xfId="0" applyFont="1" applyFill="1" applyBorder="1"/>
    <xf numFmtId="0" fontId="14" fillId="7" borderId="1" xfId="0" applyFont="1" applyFill="1" applyBorder="1"/>
    <xf numFmtId="167" fontId="14" fillId="7" borderId="1" xfId="0" applyNumberFormat="1" applyFont="1" applyFill="1" applyBorder="1"/>
    <xf numFmtId="165" fontId="14" fillId="7" borderId="1" xfId="0" applyNumberFormat="1" applyFont="1" applyFill="1" applyBorder="1"/>
    <xf numFmtId="168" fontId="14" fillId="7" borderId="1" xfId="0" applyNumberFormat="1" applyFont="1" applyFill="1" applyBorder="1"/>
    <xf numFmtId="0" fontId="14" fillId="7" borderId="7" xfId="0" applyFont="1" applyFill="1" applyBorder="1"/>
    <xf numFmtId="167" fontId="14" fillId="7" borderId="3" xfId="1" applyNumberFormat="1" applyFont="1" applyFill="1" applyBorder="1"/>
    <xf numFmtId="165" fontId="14" fillId="7" borderId="3" xfId="0" applyNumberFormat="1" applyFont="1" applyFill="1" applyBorder="1"/>
    <xf numFmtId="167" fontId="14" fillId="7" borderId="1" xfId="1" applyNumberFormat="1" applyFont="1" applyFill="1" applyBorder="1"/>
    <xf numFmtId="0" fontId="14" fillId="7" borderId="8" xfId="0" applyFont="1" applyFill="1" applyBorder="1"/>
    <xf numFmtId="168" fontId="14" fillId="7" borderId="3" xfId="0" applyNumberFormat="1" applyFont="1" applyFill="1" applyBorder="1"/>
    <xf numFmtId="0" fontId="14" fillId="7" borderId="3" xfId="0" applyFont="1" applyFill="1" applyBorder="1"/>
    <xf numFmtId="0" fontId="14" fillId="7" borderId="9" xfId="0" applyFont="1" applyFill="1" applyBorder="1"/>
    <xf numFmtId="0" fontId="6" fillId="9" borderId="4" xfId="0" applyFont="1" applyFill="1" applyBorder="1"/>
    <xf numFmtId="0" fontId="6" fillId="9" borderId="2" xfId="0" applyFont="1" applyFill="1" applyBorder="1"/>
    <xf numFmtId="0" fontId="6" fillId="9" borderId="5" xfId="0" applyFont="1" applyFill="1" applyBorder="1"/>
    <xf numFmtId="0" fontId="3" fillId="10" borderId="2" xfId="0" applyFont="1" applyFill="1" applyBorder="1"/>
    <xf numFmtId="0" fontId="3" fillId="10" borderId="2" xfId="0" applyFont="1" applyFill="1" applyBorder="1" applyProtection="1">
      <protection locked="0"/>
    </xf>
    <xf numFmtId="0" fontId="3" fillId="10" borderId="5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Protection="1">
      <protection locked="0"/>
    </xf>
    <xf numFmtId="165" fontId="4" fillId="7" borderId="1" xfId="0" applyNumberFormat="1" applyFont="1" applyFill="1" applyBorder="1"/>
    <xf numFmtId="169" fontId="4" fillId="7" borderId="1" xfId="0" applyNumberFormat="1" applyFont="1" applyFill="1" applyBorder="1"/>
    <xf numFmtId="170" fontId="4" fillId="7" borderId="1" xfId="0" applyNumberFormat="1" applyFont="1" applyFill="1" applyBorder="1"/>
    <xf numFmtId="170" fontId="4" fillId="7" borderId="7" xfId="0" applyNumberFormat="1" applyFont="1" applyFill="1" applyBorder="1"/>
    <xf numFmtId="0" fontId="4" fillId="7" borderId="3" xfId="0" applyFont="1" applyFill="1" applyBorder="1"/>
    <xf numFmtId="165" fontId="4" fillId="7" borderId="3" xfId="0" applyNumberFormat="1" applyFont="1" applyFill="1" applyBorder="1"/>
    <xf numFmtId="0" fontId="4" fillId="7" borderId="7" xfId="0" applyFont="1" applyFill="1" applyBorder="1"/>
    <xf numFmtId="0" fontId="6" fillId="10" borderId="4" xfId="0" applyFont="1" applyFill="1" applyBorder="1"/>
    <xf numFmtId="0" fontId="6" fillId="10" borderId="2" xfId="0" applyFont="1" applyFill="1" applyBorder="1"/>
    <xf numFmtId="0" fontId="6" fillId="10" borderId="5" xfId="0" applyFont="1" applyFill="1" applyBorder="1"/>
    <xf numFmtId="0" fontId="4" fillId="12" borderId="7" xfId="0" applyFont="1" applyFill="1" applyBorder="1"/>
    <xf numFmtId="0" fontId="4" fillId="12" borderId="9" xfId="0" applyFont="1" applyFill="1" applyBorder="1"/>
    <xf numFmtId="0" fontId="3" fillId="10" borderId="4" xfId="0" applyFont="1" applyFill="1" applyBorder="1"/>
    <xf numFmtId="14" fontId="4" fillId="7" borderId="2" xfId="0" applyNumberFormat="1" applyFont="1" applyFill="1" applyBorder="1"/>
    <xf numFmtId="0" fontId="2" fillId="7" borderId="0" xfId="0" applyFont="1" applyFill="1"/>
    <xf numFmtId="0" fontId="15" fillId="7" borderId="0" xfId="0" applyFont="1" applyFill="1"/>
    <xf numFmtId="0" fontId="16" fillId="7" borderId="0" xfId="0" applyFont="1" applyFill="1"/>
    <xf numFmtId="0" fontId="3" fillId="7" borderId="0" xfId="0" applyFont="1" applyFill="1"/>
    <xf numFmtId="0" fontId="6" fillId="7" borderId="0" xfId="0" applyFont="1" applyFill="1"/>
    <xf numFmtId="0" fontId="4" fillId="7" borderId="6" xfId="0" applyFont="1" applyFill="1" applyBorder="1"/>
    <xf numFmtId="14" fontId="4" fillId="7" borderId="1" xfId="0" applyNumberFormat="1" applyFont="1" applyFill="1" applyBorder="1"/>
    <xf numFmtId="171" fontId="4" fillId="7" borderId="1" xfId="0" applyNumberFormat="1" applyFont="1" applyFill="1" applyBorder="1"/>
    <xf numFmtId="0" fontId="4" fillId="7" borderId="8" xfId="0" applyFont="1" applyFill="1" applyBorder="1"/>
    <xf numFmtId="14" fontId="4" fillId="7" borderId="3" xfId="0" applyNumberFormat="1" applyFont="1" applyFill="1" applyBorder="1"/>
    <xf numFmtId="170" fontId="14" fillId="7" borderId="1" xfId="0" applyNumberFormat="1" applyFont="1" applyFill="1" applyBorder="1"/>
    <xf numFmtId="0" fontId="0" fillId="7" borderId="1" xfId="0" applyFill="1" applyBorder="1"/>
    <xf numFmtId="172" fontId="4" fillId="7" borderId="1" xfId="0" applyNumberFormat="1" applyFont="1" applyFill="1" applyBorder="1"/>
    <xf numFmtId="168" fontId="4" fillId="7" borderId="1" xfId="0" applyNumberFormat="1" applyFont="1" applyFill="1" applyBorder="1"/>
    <xf numFmtId="172" fontId="4" fillId="7" borderId="3" xfId="0" applyNumberFormat="1" applyFont="1" applyFill="1" applyBorder="1"/>
    <xf numFmtId="0" fontId="17" fillId="7" borderId="0" xfId="0" applyFont="1" applyFill="1" applyAlignment="1">
      <alignment horizontal="center" vertical="center"/>
    </xf>
    <xf numFmtId="0" fontId="3" fillId="7" borderId="1" xfId="0" applyFont="1" applyFill="1" applyBorder="1"/>
    <xf numFmtId="14" fontId="3" fillId="7" borderId="1" xfId="0" applyNumberFormat="1" applyFont="1" applyFill="1" applyBorder="1"/>
    <xf numFmtId="14" fontId="0" fillId="7" borderId="0" xfId="0" applyNumberFormat="1" applyFill="1"/>
    <xf numFmtId="0" fontId="3" fillId="11" borderId="0" xfId="0" applyFont="1" applyFill="1"/>
    <xf numFmtId="0" fontId="21" fillId="2" borderId="0" xfId="0" applyFont="1" applyFill="1"/>
    <xf numFmtId="0" fontId="0" fillId="10" borderId="0" xfId="0" applyFill="1"/>
    <xf numFmtId="0" fontId="3" fillId="7" borderId="6" xfId="0" applyFont="1" applyFill="1" applyBorder="1"/>
    <xf numFmtId="0" fontId="0" fillId="0" borderId="2" xfId="0" applyBorder="1"/>
    <xf numFmtId="0" fontId="23" fillId="7" borderId="0" xfId="0" applyFont="1" applyFill="1"/>
    <xf numFmtId="0" fontId="24" fillId="7" borderId="0" xfId="0" applyFont="1" applyFill="1"/>
    <xf numFmtId="170" fontId="4" fillId="7" borderId="0" xfId="0" applyNumberFormat="1" applyFont="1" applyFill="1"/>
    <xf numFmtId="0" fontId="9" fillId="7" borderId="0" xfId="0" applyFont="1" applyFill="1"/>
    <xf numFmtId="0" fontId="10" fillId="7" borderId="0" xfId="0" applyFont="1" applyFill="1"/>
    <xf numFmtId="0" fontId="26" fillId="18" borderId="1" xfId="0" applyFont="1" applyFill="1" applyBorder="1" applyAlignment="1">
      <alignment horizontal="left"/>
    </xf>
    <xf numFmtId="0" fontId="26" fillId="19" borderId="1" xfId="0" applyFont="1" applyFill="1" applyBorder="1" applyAlignment="1">
      <alignment horizontal="left"/>
    </xf>
    <xf numFmtId="0" fontId="26" fillId="7" borderId="1" xfId="0" applyFont="1" applyFill="1" applyBorder="1" applyAlignment="1">
      <alignment horizontal="left"/>
    </xf>
    <xf numFmtId="14" fontId="4" fillId="7" borderId="1" xfId="0" applyNumberFormat="1" applyFont="1" applyFill="1" applyBorder="1" applyAlignment="1">
      <alignment horizontal="left"/>
    </xf>
    <xf numFmtId="0" fontId="4" fillId="18" borderId="1" xfId="0" applyFont="1" applyFill="1" applyBorder="1"/>
    <xf numFmtId="0" fontId="4" fillId="19" borderId="1" xfId="0" applyFont="1" applyFill="1" applyBorder="1"/>
    <xf numFmtId="0" fontId="28" fillId="14" borderId="0" xfId="0" applyFont="1" applyFill="1"/>
    <xf numFmtId="168" fontId="28" fillId="3" borderId="0" xfId="0" applyNumberFormat="1" applyFont="1" applyFill="1"/>
    <xf numFmtId="0" fontId="28" fillId="4" borderId="0" xfId="0" applyFont="1" applyFill="1"/>
    <xf numFmtId="0" fontId="29" fillId="25" borderId="0" xfId="0" applyFont="1" applyFill="1"/>
    <xf numFmtId="0" fontId="27" fillId="25" borderId="0" xfId="0" applyFont="1" applyFill="1"/>
    <xf numFmtId="0" fontId="29" fillId="9" borderId="0" xfId="0" applyFont="1" applyFill="1"/>
    <xf numFmtId="0" fontId="27" fillId="9" borderId="0" xfId="0" applyFont="1" applyFill="1"/>
    <xf numFmtId="170" fontId="28" fillId="9" borderId="0" xfId="0" applyNumberFormat="1" applyFont="1" applyFill="1" applyAlignment="1">
      <alignment horizontal="center" vertical="center"/>
    </xf>
    <xf numFmtId="0" fontId="29" fillId="17" borderId="0" xfId="0" applyFont="1" applyFill="1"/>
    <xf numFmtId="0" fontId="27" fillId="17" borderId="0" xfId="0" applyFont="1" applyFill="1" applyAlignment="1">
      <alignment horizontal="center"/>
    </xf>
    <xf numFmtId="168" fontId="28" fillId="17" borderId="0" xfId="0" applyNumberFormat="1" applyFont="1" applyFill="1" applyAlignment="1">
      <alignment horizontal="center"/>
    </xf>
    <xf numFmtId="0" fontId="29" fillId="24" borderId="0" xfId="0" applyFont="1" applyFill="1"/>
    <xf numFmtId="0" fontId="27" fillId="24" borderId="0" xfId="0" applyFont="1" applyFill="1"/>
    <xf numFmtId="0" fontId="27" fillId="13" borderId="0" xfId="0" applyFont="1" applyFill="1"/>
    <xf numFmtId="0" fontId="30" fillId="23" borderId="0" xfId="0" applyFont="1" applyFill="1"/>
    <xf numFmtId="0" fontId="27" fillId="23" borderId="0" xfId="0" applyFont="1" applyFill="1"/>
    <xf numFmtId="0" fontId="29" fillId="3" borderId="0" xfId="0" applyFont="1" applyFill="1"/>
    <xf numFmtId="0" fontId="27" fillId="3" borderId="0" xfId="0" applyFont="1" applyFill="1"/>
    <xf numFmtId="170" fontId="28" fillId="3" borderId="0" xfId="0" applyNumberFormat="1" applyFont="1" applyFill="1"/>
    <xf numFmtId="0" fontId="29" fillId="15" borderId="0" xfId="0" applyFont="1" applyFill="1"/>
    <xf numFmtId="0" fontId="27" fillId="15" borderId="0" xfId="0" applyFont="1" applyFill="1"/>
    <xf numFmtId="170" fontId="28" fillId="15" borderId="0" xfId="0" applyNumberFormat="1" applyFont="1" applyFill="1"/>
    <xf numFmtId="14" fontId="29" fillId="8" borderId="0" xfId="0" applyNumberFormat="1" applyFont="1" applyFill="1"/>
    <xf numFmtId="0" fontId="27" fillId="8" borderId="0" xfId="0" applyFont="1" applyFill="1"/>
    <xf numFmtId="0" fontId="29" fillId="5" borderId="0" xfId="0" applyFont="1" applyFill="1"/>
    <xf numFmtId="0" fontId="27" fillId="5" borderId="0" xfId="0" applyFont="1" applyFill="1"/>
    <xf numFmtId="0" fontId="29" fillId="26" borderId="0" xfId="0" applyFont="1" applyFill="1"/>
    <xf numFmtId="0" fontId="27" fillId="26" borderId="0" xfId="0" applyFont="1" applyFill="1"/>
    <xf numFmtId="0" fontId="29" fillId="22" borderId="0" xfId="0" applyFont="1" applyFill="1"/>
    <xf numFmtId="0" fontId="27" fillId="22" borderId="0" xfId="0" applyFont="1" applyFill="1"/>
    <xf numFmtId="0" fontId="29" fillId="13" borderId="0" xfId="0" applyFont="1" applyFill="1"/>
    <xf numFmtId="0" fontId="29" fillId="16" borderId="0" xfId="0" applyFont="1" applyFill="1"/>
    <xf numFmtId="0" fontId="27" fillId="16" borderId="0" xfId="0" applyFont="1" applyFill="1"/>
    <xf numFmtId="0" fontId="29" fillId="21" borderId="0" xfId="0" applyFont="1" applyFill="1"/>
    <xf numFmtId="0" fontId="27" fillId="21" borderId="0" xfId="0" applyFont="1" applyFill="1"/>
    <xf numFmtId="0" fontId="29" fillId="27" borderId="0" xfId="0" applyFont="1" applyFill="1"/>
    <xf numFmtId="0" fontId="27" fillId="27" borderId="0" xfId="0" applyFont="1" applyFill="1"/>
    <xf numFmtId="0" fontId="12" fillId="10" borderId="0" xfId="0" applyFont="1" applyFill="1"/>
    <xf numFmtId="0" fontId="20" fillId="10" borderId="0" xfId="0" applyFont="1" applyFill="1"/>
    <xf numFmtId="172" fontId="28" fillId="8" borderId="0" xfId="0" applyNumberFormat="1" applyFont="1" applyFill="1"/>
    <xf numFmtId="168" fontId="28" fillId="5" borderId="0" xfId="0" applyNumberFormat="1" applyFont="1" applyFill="1"/>
    <xf numFmtId="170" fontId="28" fillId="26" borderId="0" xfId="0" applyNumberFormat="1" applyFont="1" applyFill="1"/>
    <xf numFmtId="170" fontId="28" fillId="22" borderId="0" xfId="0" applyNumberFormat="1" applyFont="1" applyFill="1"/>
    <xf numFmtId="170" fontId="28" fillId="13" borderId="0" xfId="0" applyNumberFormat="1" applyFont="1" applyFill="1"/>
    <xf numFmtId="170" fontId="28" fillId="21" borderId="0" xfId="0" applyNumberFormat="1" applyFont="1" applyFill="1"/>
    <xf numFmtId="170" fontId="28" fillId="16" borderId="0" xfId="0" applyNumberFormat="1" applyFont="1" applyFill="1"/>
    <xf numFmtId="10" fontId="28" fillId="27" borderId="0" xfId="0" applyNumberFormat="1" applyFont="1" applyFill="1"/>
    <xf numFmtId="10" fontId="28" fillId="25" borderId="0" xfId="0" applyNumberFormat="1" applyFont="1" applyFill="1"/>
    <xf numFmtId="171" fontId="4" fillId="7" borderId="0" xfId="0" applyNumberFormat="1" applyFont="1" applyFill="1"/>
    <xf numFmtId="0" fontId="28" fillId="24" borderId="0" xfId="0" applyFont="1" applyFill="1"/>
    <xf numFmtId="0" fontId="28" fillId="23" borderId="0" xfId="0" applyFont="1" applyFill="1"/>
    <xf numFmtId="0" fontId="31" fillId="7" borderId="1" xfId="2" applyFont="1" applyFill="1" applyBorder="1" applyAlignment="1" applyProtection="1"/>
    <xf numFmtId="0" fontId="19" fillId="7" borderId="0" xfId="2" applyFill="1" applyAlignment="1" applyProtection="1">
      <alignment horizontal="center"/>
    </xf>
    <xf numFmtId="0" fontId="19" fillId="7" borderId="0" xfId="2" applyFill="1" applyAlignment="1" applyProtection="1"/>
    <xf numFmtId="14" fontId="4" fillId="7" borderId="6" xfId="0" applyNumberFormat="1" applyFont="1" applyFill="1" applyBorder="1"/>
    <xf numFmtId="170" fontId="4" fillId="7" borderId="7" xfId="1" applyNumberFormat="1" applyFont="1" applyFill="1" applyBorder="1"/>
    <xf numFmtId="164" fontId="4" fillId="7" borderId="7" xfId="1" applyFont="1" applyFill="1" applyBorder="1"/>
    <xf numFmtId="167" fontId="4" fillId="7" borderId="1" xfId="0" applyNumberFormat="1" applyFont="1" applyFill="1" applyBorder="1"/>
    <xf numFmtId="0" fontId="4" fillId="7" borderId="2" xfId="0" applyFont="1" applyFill="1" applyBorder="1"/>
    <xf numFmtId="169" fontId="4" fillId="7" borderId="3" xfId="0" applyNumberFormat="1" applyFont="1" applyFill="1" applyBorder="1"/>
    <xf numFmtId="167" fontId="4" fillId="7" borderId="3" xfId="0" applyNumberFormat="1" applyFont="1" applyFill="1" applyBorder="1"/>
    <xf numFmtId="0" fontId="4" fillId="7" borderId="9" xfId="0" applyFont="1" applyFill="1" applyBorder="1"/>
    <xf numFmtId="14" fontId="4" fillId="7" borderId="8" xfId="0" applyNumberFormat="1" applyFont="1" applyFill="1" applyBorder="1"/>
    <xf numFmtId="0" fontId="32" fillId="10" borderId="4" xfId="0" applyFont="1" applyFill="1" applyBorder="1"/>
    <xf numFmtId="0" fontId="32" fillId="10" borderId="2" xfId="0" applyFont="1" applyFill="1" applyBorder="1"/>
    <xf numFmtId="0" fontId="32" fillId="10" borderId="5" xfId="0" applyFont="1" applyFill="1" applyBorder="1"/>
    <xf numFmtId="0" fontId="25" fillId="9" borderId="1" xfId="0" applyFont="1" applyFill="1" applyBorder="1"/>
    <xf numFmtId="0" fontId="5" fillId="7" borderId="0" xfId="0" applyFont="1" applyFill="1"/>
    <xf numFmtId="170" fontId="28" fillId="20" borderId="2" xfId="0" applyNumberFormat="1" applyFont="1" applyFill="1" applyBorder="1"/>
    <xf numFmtId="168" fontId="28" fillId="6" borderId="2" xfId="0" applyNumberFormat="1" applyFont="1" applyFill="1" applyBorder="1"/>
    <xf numFmtId="0" fontId="27" fillId="14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27" fillId="14" borderId="3" xfId="0" applyFont="1" applyFill="1" applyBorder="1" applyAlignment="1">
      <alignment horizontal="center"/>
    </xf>
    <xf numFmtId="0" fontId="27" fillId="14" borderId="10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0" fontId="27" fillId="20" borderId="3" xfId="0" applyFont="1" applyFill="1" applyBorder="1" applyAlignment="1">
      <alignment horizontal="center"/>
    </xf>
    <xf numFmtId="0" fontId="27" fillId="20" borderId="10" xfId="0" applyFont="1" applyFill="1" applyBorder="1" applyAlignment="1">
      <alignment horizontal="center"/>
    </xf>
    <xf numFmtId="0" fontId="27" fillId="6" borderId="3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5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-0.499984740745262"/>
        </patternFill>
      </fill>
    </dxf>
    <dxf>
      <border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73" formatCode="dd/mm/yyyy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173" formatCode="dd/mm/yyyy"/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_-* #,##0.00_-;\-* #,##0.00_-;_-* &quot;-&quot;??_-;_-@_-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73" formatCode="dd/mm/yyyy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9" formatCode="[$₦-46A]#,##0.00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₦-471]\ #,##0.00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8" formatCode="[$₦-470]#,##0.00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8" formatCode="[$₦-470]#,##0.00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₦-471]\ #,##0.00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7" formatCode="[$₦-466]\ #,##0.00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2060"/>
        </patternFill>
      </fill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99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u="dbl">
                <a:solidFill>
                  <a:schemeClr val="bg1"/>
                </a:solidFill>
              </a:defRPr>
            </a:pPr>
            <a:r>
              <a:rPr lang="en-US" u="dbl">
                <a:solidFill>
                  <a:schemeClr val="bg1"/>
                </a:solidFill>
              </a:rPr>
              <a:t>Top Selling Products</a:t>
            </a:r>
          </a:p>
        </c:rich>
      </c:tx>
      <c:overlay val="0"/>
      <c:spPr>
        <a:solidFill>
          <a:schemeClr val="accent1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Total Sold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Dashboard!$B$11:$B$17</c:f>
              <c:strCache>
                <c:ptCount val="7"/>
                <c:pt idx="0">
                  <c:v>Shaki</c:v>
                </c:pt>
                <c:pt idx="1">
                  <c:v>Moin Moin</c:v>
                </c:pt>
                <c:pt idx="2">
                  <c:v>Beef</c:v>
                </c:pt>
                <c:pt idx="3">
                  <c:v>Cow leg</c:v>
                </c:pt>
                <c:pt idx="4">
                  <c:v>Semovita</c:v>
                </c:pt>
                <c:pt idx="5">
                  <c:v>Chicken Pie</c:v>
                </c:pt>
                <c:pt idx="6">
                  <c:v>Eva Water 0.75Cl</c:v>
                </c:pt>
              </c:strCache>
            </c:strRef>
          </c:cat>
          <c:val>
            <c:numRef>
              <c:f>Dashboard!$C$11:$C$17</c:f>
              <c:numCache>
                <c:formatCode>General</c:formatCode>
                <c:ptCount val="7"/>
                <c:pt idx="0">
                  <c:v>27</c:v>
                </c:pt>
                <c:pt idx="1">
                  <c:v>19</c:v>
                </c:pt>
                <c:pt idx="2">
                  <c:v>16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6-4E92-AFF8-09E95BA0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92608"/>
        <c:axId val="74302592"/>
      </c:barChart>
      <c:catAx>
        <c:axId val="7429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</c:spPr>
        <c:txPr>
          <a:bodyPr/>
          <a:lstStyle/>
          <a:p>
            <a:pPr>
              <a:defRPr lang="en-US"/>
            </a:pPr>
            <a:endParaRPr lang="en-US"/>
          </a:p>
        </c:txPr>
        <c:crossAx val="74302592"/>
        <c:crosses val="autoZero"/>
        <c:auto val="1"/>
        <c:lblAlgn val="ctr"/>
        <c:lblOffset val="100"/>
        <c:noMultiLvlLbl val="0"/>
      </c:catAx>
      <c:valAx>
        <c:axId val="74302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</c:spPr>
        <c:txPr>
          <a:bodyPr/>
          <a:lstStyle/>
          <a:p>
            <a:pPr>
              <a:defRPr lang="en-US"/>
            </a:pPr>
            <a:endParaRPr lang="en-US"/>
          </a:p>
        </c:txPr>
        <c:crossAx val="74292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b="1" u="dbl">
                <a:solidFill>
                  <a:schemeClr val="bg1"/>
                </a:solidFill>
              </a:defRPr>
            </a:pPr>
            <a:r>
              <a:rPr lang="en-US" b="1" u="dbl">
                <a:solidFill>
                  <a:schemeClr val="bg1"/>
                </a:solidFill>
              </a:rPr>
              <a:t>Inventory</a:t>
            </a:r>
            <a:r>
              <a:rPr lang="en-US" b="1" u="dbl" baseline="0">
                <a:solidFill>
                  <a:schemeClr val="bg1"/>
                </a:solidFill>
              </a:rPr>
              <a:t> Stock Status</a:t>
            </a:r>
            <a:endParaRPr lang="en-US" b="1" u="dbl">
              <a:solidFill>
                <a:schemeClr val="bg1"/>
              </a:solidFill>
            </a:endParaRPr>
          </a:p>
        </c:rich>
      </c:tx>
      <c:overlay val="0"/>
      <c:spPr>
        <a:solidFill>
          <a:schemeClr val="accent1"/>
        </a:solidFill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Dashboard!$S$10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cat>
            <c:strRef>
              <c:f>Dashboard!$R$11:$R$13</c:f>
              <c:strCache>
                <c:ptCount val="3"/>
                <c:pt idx="0">
                  <c:v>In Stock</c:v>
                </c:pt>
                <c:pt idx="1">
                  <c:v>Low Stock</c:v>
                </c:pt>
                <c:pt idx="2">
                  <c:v>Out of Stock</c:v>
                </c:pt>
              </c:strCache>
            </c:strRef>
          </c:cat>
          <c:val>
            <c:numRef>
              <c:f>Dashboard!$S$11:$S$13</c:f>
              <c:numCache>
                <c:formatCode>General</c:formatCode>
                <c:ptCount val="3"/>
                <c:pt idx="0">
                  <c:v>15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2-40AF-8034-AC45C9C41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09408"/>
        <c:axId val="74610944"/>
      </c:barChart>
      <c:catAx>
        <c:axId val="74609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b="1"/>
            </a:pPr>
            <a:endParaRPr lang="en-US"/>
          </a:p>
        </c:txPr>
        <c:crossAx val="74610944"/>
        <c:crosses val="autoZero"/>
        <c:auto val="1"/>
        <c:lblAlgn val="ctr"/>
        <c:lblOffset val="100"/>
        <c:noMultiLvlLbl val="0"/>
      </c:catAx>
      <c:valAx>
        <c:axId val="74610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b="1"/>
            </a:pPr>
            <a:endParaRPr lang="en-US"/>
          </a:p>
        </c:txPr>
        <c:crossAx val="74609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u="dbl">
                <a:solidFill>
                  <a:schemeClr val="bg1"/>
                </a:solidFill>
              </a:defRPr>
            </a:pPr>
            <a:r>
              <a:rPr lang="en-US" u="dbl">
                <a:solidFill>
                  <a:schemeClr val="bg1"/>
                </a:solidFill>
              </a:rPr>
              <a:t>Sales by</a:t>
            </a:r>
            <a:r>
              <a:rPr lang="en-US" u="dbl" baseline="0">
                <a:solidFill>
                  <a:schemeClr val="bg1"/>
                </a:solidFill>
              </a:rPr>
              <a:t> Category</a:t>
            </a:r>
            <a:endParaRPr lang="en-US" u="dbl">
              <a:solidFill>
                <a:schemeClr val="bg1"/>
              </a:solidFill>
            </a:endParaRPr>
          </a:p>
        </c:rich>
      </c:tx>
      <c:overlay val="0"/>
      <c:spPr>
        <a:solidFill>
          <a:schemeClr val="accent1"/>
        </a:solidFill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Dashboard!$T$23</c:f>
              <c:strCache>
                <c:ptCount val="1"/>
                <c:pt idx="0">
                  <c:v>Total Sales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Dashboard!$S$24:$S$39</c:f>
              <c:strCache>
                <c:ptCount val="16"/>
                <c:pt idx="0">
                  <c:v>Food</c:v>
                </c:pt>
                <c:pt idx="1">
                  <c:v>Snacks</c:v>
                </c:pt>
                <c:pt idx="2">
                  <c:v>Drinks</c:v>
                </c:pt>
                <c:pt idx="3">
                  <c:v>Beverages</c:v>
                </c:pt>
                <c:pt idx="4">
                  <c:v>Clothing</c:v>
                </c:pt>
                <c:pt idx="5">
                  <c:v>Cosmetics</c:v>
                </c:pt>
                <c:pt idx="6">
                  <c:v>Electronics</c:v>
                </c:pt>
                <c:pt idx="7">
                  <c:v>Frozen Foods</c:v>
                </c:pt>
                <c:pt idx="8">
                  <c:v>Furniture</c:v>
                </c:pt>
                <c:pt idx="9">
                  <c:v>Groceries</c:v>
                </c:pt>
                <c:pt idx="10">
                  <c:v>Office Supplies</c:v>
                </c:pt>
                <c:pt idx="11">
                  <c:v>Pharmaceuticals</c:v>
                </c:pt>
                <c:pt idx="12">
                  <c:v>Stationery</c:v>
                </c:pt>
                <c:pt idx="13">
                  <c:v>Household items</c:v>
                </c:pt>
                <c:pt idx="14">
                  <c:v>Cakes</c:v>
                </c:pt>
                <c:pt idx="15">
                  <c:v>Soup</c:v>
                </c:pt>
              </c:strCache>
            </c:strRef>
          </c:cat>
          <c:val>
            <c:numRef>
              <c:f>Dashboard!$T$24:$T$39</c:f>
              <c:numCache>
                <c:formatCode>General</c:formatCode>
                <c:ptCount val="16"/>
                <c:pt idx="0">
                  <c:v>80</c:v>
                </c:pt>
                <c:pt idx="1">
                  <c:v>20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8-4444-BBF9-FDC74EC49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u="dbl">
                <a:solidFill>
                  <a:schemeClr val="bg1"/>
                </a:solidFill>
              </a:defRPr>
            </a:pPr>
            <a:r>
              <a:rPr lang="en-US" u="dbl">
                <a:solidFill>
                  <a:schemeClr val="bg1"/>
                </a:solidFill>
              </a:rPr>
              <a:t>Sales Trend - Last 7 Days.</a:t>
            </a:r>
          </a:p>
        </c:rich>
      </c:tx>
      <c:overlay val="0"/>
      <c:spPr>
        <a:solidFill>
          <a:schemeClr val="accent1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Dashboard!$X$10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multiLvlStrRef>
              <c:f>Dashboard!$V$11:$W$17</c:f>
              <c:multiLvlStrCache>
                <c:ptCount val="7"/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</c:lvl>
                <c:lvl>
                  <c:pt idx="0">
                    <c:v>8/27/2026</c:v>
                  </c:pt>
                  <c:pt idx="1">
                    <c:v>8/28/2026</c:v>
                  </c:pt>
                  <c:pt idx="2">
                    <c:v>8/29/2026</c:v>
                  </c:pt>
                  <c:pt idx="3">
                    <c:v>8/30/2026</c:v>
                  </c:pt>
                  <c:pt idx="4">
                    <c:v>8/31/2026</c:v>
                  </c:pt>
                  <c:pt idx="5">
                    <c:v>9/1/2026</c:v>
                  </c:pt>
                  <c:pt idx="6">
                    <c:v>9/2/2026</c:v>
                  </c:pt>
                </c:lvl>
              </c:multiLvlStrCache>
            </c:multiLvlStrRef>
          </c:cat>
          <c:val>
            <c:numRef>
              <c:f>Dashboard!$X$11:$X$17</c:f>
              <c:numCache>
                <c:formatCode>[$₦-467]\ 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4-46C3-B0C9-5A82BD39E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23552"/>
        <c:axId val="76425088"/>
      </c:lineChart>
      <c:catAx>
        <c:axId val="76423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 b="1"/>
            </a:pPr>
            <a:endParaRPr lang="en-US"/>
          </a:p>
        </c:txPr>
        <c:crossAx val="76425088"/>
        <c:crosses val="autoZero"/>
        <c:auto val="1"/>
        <c:lblAlgn val="ctr"/>
        <c:lblOffset val="100"/>
        <c:noMultiLvlLbl val="0"/>
      </c:catAx>
      <c:valAx>
        <c:axId val="76425088"/>
        <c:scaling>
          <c:orientation val="minMax"/>
        </c:scaling>
        <c:delete val="0"/>
        <c:axPos val="l"/>
        <c:majorGridlines/>
        <c:numFmt formatCode="[$₦-467]\ #,##0" sourceLinked="1"/>
        <c:majorTickMark val="out"/>
        <c:minorTickMark val="none"/>
        <c:tickLblPos val="nextTo"/>
        <c:spPr>
          <a:solidFill>
            <a:schemeClr val="accent1"/>
          </a:solidFill>
        </c:spPr>
        <c:txPr>
          <a:bodyPr/>
          <a:lstStyle/>
          <a:p>
            <a:pPr>
              <a:defRPr lang="en-GB" b="1">
                <a:solidFill>
                  <a:schemeClr val="bg1"/>
                </a:solidFill>
              </a:defRPr>
            </a:pPr>
            <a:endParaRPr lang="en-US"/>
          </a:p>
        </c:txPr>
        <c:crossAx val="76423552"/>
        <c:crosses val="autoZero"/>
        <c:crossBetween val="between"/>
      </c:valAx>
    </c:plotArea>
    <c:legend>
      <c:legendPos val="r"/>
      <c:overlay val="0"/>
      <c:spPr>
        <a:solidFill>
          <a:schemeClr val="accent1"/>
        </a:solidFill>
      </c:spPr>
      <c:txPr>
        <a:bodyPr/>
        <a:lstStyle/>
        <a:p>
          <a:pPr>
            <a:defRPr lang="en-GB" b="1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hyperlink" Target="#'Product Search'!A1"/><Relationship Id="rId3" Type="http://schemas.openxmlformats.org/officeDocument/2006/relationships/chart" Target="../charts/chart3.xml"/><Relationship Id="rId7" Type="http://schemas.openxmlformats.org/officeDocument/2006/relationships/hyperlink" Target="#'Stock Purchase'!A1"/><Relationship Id="rId12" Type="http://schemas.openxmlformats.org/officeDocument/2006/relationships/hyperlink" Target="#Suppliers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Daily Sales Entry'!A1"/><Relationship Id="rId11" Type="http://schemas.openxmlformats.org/officeDocument/2006/relationships/hyperlink" Target="#REPORTS!A1"/><Relationship Id="rId5" Type="http://schemas.openxmlformats.org/officeDocument/2006/relationships/hyperlink" Target="#'Product Master'!A1"/><Relationship Id="rId10" Type="http://schemas.openxmlformats.org/officeDocument/2006/relationships/hyperlink" Target="#Budget!A1"/><Relationship Id="rId4" Type="http://schemas.openxmlformats.org/officeDocument/2006/relationships/hyperlink" Target="#Dashboard!A1"/><Relationship Id="rId9" Type="http://schemas.openxmlformats.org/officeDocument/2006/relationships/hyperlink" Target="#Expenses!A1"/><Relationship Id="rId1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371474</xdr:colOff>
      <xdr:row>7</xdr:row>
      <xdr:rowOff>133350</xdr:rowOff>
    </xdr:from>
    <xdr:to>
      <xdr:col>10</xdr:col>
      <xdr:colOff>533400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7</xdr:row>
      <xdr:rowOff>133350</xdr:rowOff>
    </xdr:from>
    <xdr:to>
      <xdr:col>14</xdr:col>
      <xdr:colOff>714375</xdr:colOff>
      <xdr:row>19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371475</xdr:colOff>
      <xdr:row>20</xdr:row>
      <xdr:rowOff>152400</xdr:rowOff>
    </xdr:from>
    <xdr:to>
      <xdr:col>7</xdr:col>
      <xdr:colOff>1666875</xdr:colOff>
      <xdr:row>35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2</xdr:row>
      <xdr:rowOff>66675</xdr:rowOff>
    </xdr:from>
    <xdr:to>
      <xdr:col>0</xdr:col>
      <xdr:colOff>1762125</xdr:colOff>
      <xdr:row>4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" y="542925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Dashboard</a:t>
          </a:r>
        </a:p>
      </xdr:txBody>
    </xdr:sp>
    <xdr:clientData/>
  </xdr:twoCellAnchor>
  <xdr:twoCellAnchor>
    <xdr:from>
      <xdr:col>0</xdr:col>
      <xdr:colOff>85725</xdr:colOff>
      <xdr:row>4</xdr:row>
      <xdr:rowOff>333375</xdr:rowOff>
    </xdr:from>
    <xdr:to>
      <xdr:col>0</xdr:col>
      <xdr:colOff>1762125</xdr:colOff>
      <xdr:row>7</xdr:row>
      <xdr:rowOff>123825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5725" y="1266825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Product</a:t>
          </a:r>
          <a:r>
            <a:rPr lang="en-US" sz="2000" b="1" baseline="0"/>
            <a:t> Master</a:t>
          </a:r>
          <a:endParaRPr lang="en-US" sz="2000" b="1"/>
        </a:p>
      </xdr:txBody>
    </xdr:sp>
    <xdr:clientData/>
  </xdr:twoCellAnchor>
  <xdr:twoCellAnchor>
    <xdr:from>
      <xdr:col>0</xdr:col>
      <xdr:colOff>66675</xdr:colOff>
      <xdr:row>8</xdr:row>
      <xdr:rowOff>142875</xdr:rowOff>
    </xdr:from>
    <xdr:to>
      <xdr:col>0</xdr:col>
      <xdr:colOff>1743075</xdr:colOff>
      <xdr:row>11</xdr:row>
      <xdr:rowOff>104775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66675" y="2009775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Daily</a:t>
          </a:r>
          <a:r>
            <a:rPr lang="en-US" sz="2000" b="1" baseline="0"/>
            <a:t> Sales</a:t>
          </a:r>
          <a:endParaRPr lang="en-US" sz="2000" b="1"/>
        </a:p>
      </xdr:txBody>
    </xdr:sp>
    <xdr:clientData/>
  </xdr:twoCellAnchor>
  <xdr:twoCellAnchor>
    <xdr:from>
      <xdr:col>0</xdr:col>
      <xdr:colOff>76200</xdr:colOff>
      <xdr:row>12</xdr:row>
      <xdr:rowOff>161925</xdr:rowOff>
    </xdr:from>
    <xdr:to>
      <xdr:col>0</xdr:col>
      <xdr:colOff>1752600</xdr:colOff>
      <xdr:row>15</xdr:row>
      <xdr:rowOff>123825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6200" y="2790825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Stock</a:t>
          </a:r>
          <a:r>
            <a:rPr lang="en-US" sz="2000" b="1" baseline="0"/>
            <a:t> Purchase</a:t>
          </a:r>
          <a:endParaRPr lang="en-US" sz="2000" b="1"/>
        </a:p>
      </xdr:txBody>
    </xdr:sp>
    <xdr:clientData/>
  </xdr:twoCellAnchor>
  <xdr:twoCellAnchor>
    <xdr:from>
      <xdr:col>0</xdr:col>
      <xdr:colOff>76200</xdr:colOff>
      <xdr:row>16</xdr:row>
      <xdr:rowOff>142875</xdr:rowOff>
    </xdr:from>
    <xdr:to>
      <xdr:col>0</xdr:col>
      <xdr:colOff>1752600</xdr:colOff>
      <xdr:row>19</xdr:row>
      <xdr:rowOff>104775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6200" y="3533775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Inventory</a:t>
          </a:r>
        </a:p>
      </xdr:txBody>
    </xdr:sp>
    <xdr:clientData/>
  </xdr:twoCellAnchor>
  <xdr:twoCellAnchor>
    <xdr:from>
      <xdr:col>0</xdr:col>
      <xdr:colOff>76200</xdr:colOff>
      <xdr:row>21</xdr:row>
      <xdr:rowOff>0</xdr:rowOff>
    </xdr:from>
    <xdr:to>
      <xdr:col>0</xdr:col>
      <xdr:colOff>1752600</xdr:colOff>
      <xdr:row>23</xdr:row>
      <xdr:rowOff>104775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76200" y="4343400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Expenses</a:t>
          </a:r>
        </a:p>
      </xdr:txBody>
    </xdr:sp>
    <xdr:clientData/>
  </xdr:twoCellAnchor>
  <xdr:twoCellAnchor>
    <xdr:from>
      <xdr:col>0</xdr:col>
      <xdr:colOff>95250</xdr:colOff>
      <xdr:row>24</xdr:row>
      <xdr:rowOff>171450</xdr:rowOff>
    </xdr:from>
    <xdr:to>
      <xdr:col>0</xdr:col>
      <xdr:colOff>1771650</xdr:colOff>
      <xdr:row>27</xdr:row>
      <xdr:rowOff>133350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5250" y="5133975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Budget</a:t>
          </a:r>
        </a:p>
      </xdr:txBody>
    </xdr:sp>
    <xdr:clientData/>
  </xdr:twoCellAnchor>
  <xdr:twoCellAnchor>
    <xdr:from>
      <xdr:col>0</xdr:col>
      <xdr:colOff>104775</xdr:colOff>
      <xdr:row>28</xdr:row>
      <xdr:rowOff>152400</xdr:rowOff>
    </xdr:from>
    <xdr:to>
      <xdr:col>0</xdr:col>
      <xdr:colOff>1781175</xdr:colOff>
      <xdr:row>31</xdr:row>
      <xdr:rowOff>114300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04775" y="5876925"/>
          <a:ext cx="1676400" cy="5334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Reports</a:t>
          </a:r>
        </a:p>
      </xdr:txBody>
    </xdr:sp>
    <xdr:clientData/>
  </xdr:twoCellAnchor>
  <xdr:twoCellAnchor>
    <xdr:from>
      <xdr:col>0</xdr:col>
      <xdr:colOff>85724</xdr:colOff>
      <xdr:row>32</xdr:row>
      <xdr:rowOff>114300</xdr:rowOff>
    </xdr:from>
    <xdr:to>
      <xdr:col>0</xdr:col>
      <xdr:colOff>1733549</xdr:colOff>
      <xdr:row>35</xdr:row>
      <xdr:rowOff>123825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5724" y="6600825"/>
          <a:ext cx="1647825" cy="58102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Suppliers</a:t>
          </a:r>
        </a:p>
      </xdr:txBody>
    </xdr:sp>
    <xdr:clientData/>
  </xdr:twoCellAnchor>
  <xdr:twoCellAnchor>
    <xdr:from>
      <xdr:col>0</xdr:col>
      <xdr:colOff>95250</xdr:colOff>
      <xdr:row>36</xdr:row>
      <xdr:rowOff>161925</xdr:rowOff>
    </xdr:from>
    <xdr:to>
      <xdr:col>0</xdr:col>
      <xdr:colOff>1743075</xdr:colOff>
      <xdr:row>40</xdr:row>
      <xdr:rowOff>28575</xdr:rowOff>
    </xdr:to>
    <xdr:sp macro="" textlink="">
      <xdr:nvSpPr>
        <xdr:cNvPr id="16" name="Rounded Rectangle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5250" y="7410450"/>
          <a:ext cx="1647825" cy="62865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Product Search</a:t>
          </a:r>
        </a:p>
      </xdr:txBody>
    </xdr:sp>
    <xdr:clientData/>
  </xdr:twoCellAnchor>
  <xdr:twoCellAnchor>
    <xdr:from>
      <xdr:col>24</xdr:col>
      <xdr:colOff>342901</xdr:colOff>
      <xdr:row>6</xdr:row>
      <xdr:rowOff>76200</xdr:rowOff>
    </xdr:from>
    <xdr:to>
      <xdr:col>31</xdr:col>
      <xdr:colOff>304801</xdr:colOff>
      <xdr:row>20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1</xdr:col>
      <xdr:colOff>657225</xdr:colOff>
      <xdr:row>6</xdr:row>
      <xdr:rowOff>95250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2533650" y="158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</xdr:col>
      <xdr:colOff>1952625</xdr:colOff>
      <xdr:row>5</xdr:row>
      <xdr:rowOff>19048</xdr:rowOff>
    </xdr:from>
    <xdr:ext cx="55242" cy="342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 flipH="1">
          <a:off x="3829050" y="1428748"/>
          <a:ext cx="5524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GB" sz="16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85726</xdr:colOff>
      <xdr:row>1</xdr:row>
      <xdr:rowOff>123824</xdr:rowOff>
    </xdr:from>
    <xdr:to>
      <xdr:col>11</xdr:col>
      <xdr:colOff>219076</xdr:colOff>
      <xdr:row>5</xdr:row>
      <xdr:rowOff>19049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049001" y="409574"/>
          <a:ext cx="1352550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/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85727</xdr:colOff>
      <xdr:row>1</xdr:row>
      <xdr:rowOff>76200</xdr:rowOff>
    </xdr:from>
    <xdr:to>
      <xdr:col>13</xdr:col>
      <xdr:colOff>1600201</xdr:colOff>
      <xdr:row>4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268202" y="361950"/>
          <a:ext cx="1514474" cy="647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104775</xdr:rowOff>
    </xdr:from>
    <xdr:to>
      <xdr:col>10</xdr:col>
      <xdr:colOff>352425</xdr:colOff>
      <xdr:row>5</xdr:row>
      <xdr:rowOff>133350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010650" y="581025"/>
          <a:ext cx="1495425" cy="600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Dasboard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21</xdr:col>
      <xdr:colOff>352425</xdr:colOff>
      <xdr:row>5</xdr:row>
      <xdr:rowOff>85725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3002875" y="476250"/>
          <a:ext cx="157162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Dasboard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9</xdr:col>
      <xdr:colOff>352425</xdr:colOff>
      <xdr:row>5</xdr:row>
      <xdr:rowOff>85725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077200" y="1009650"/>
          <a:ext cx="157162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Dasboard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3</xdr:row>
      <xdr:rowOff>38101</xdr:rowOff>
    </xdr:from>
    <xdr:to>
      <xdr:col>8</xdr:col>
      <xdr:colOff>447676</xdr:colOff>
      <xdr:row>6</xdr:row>
      <xdr:rowOff>38101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419975" y="704851"/>
          <a:ext cx="1533526" cy="571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Dashboard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</xdr:row>
      <xdr:rowOff>114301</xdr:rowOff>
    </xdr:from>
    <xdr:to>
      <xdr:col>8</xdr:col>
      <xdr:colOff>438150</xdr:colOff>
      <xdr:row>5</xdr:row>
      <xdr:rowOff>142875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258050" y="590551"/>
          <a:ext cx="1552575" cy="6000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Dashboard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11</xdr:col>
      <xdr:colOff>352425</xdr:colOff>
      <xdr:row>5</xdr:row>
      <xdr:rowOff>85725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153775" y="952500"/>
          <a:ext cx="157162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Dasboard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5</xdr:col>
      <xdr:colOff>485775</xdr:colOff>
      <xdr:row>2</xdr:row>
      <xdr:rowOff>171450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419600" y="485775"/>
          <a:ext cx="157162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Dasboard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028" insertRowShift="1" totalsRowShown="0" headerRowDxfId="144" dataDxfId="142" headerRowBorderDxfId="143" tableBorderDxfId="141">
  <autoFilter ref="A1:I1028" xr:uid="{00000000-0009-0000-0100-000001000000}"/>
  <tableColumns count="9">
    <tableColumn id="2" xr3:uid="{00000000-0010-0000-0000-000002000000}" name="Product ID" dataDxfId="140"/>
    <tableColumn id="3" xr3:uid="{00000000-0010-0000-0000-000003000000}" name="Product Name" dataDxfId="139"/>
    <tableColumn id="4" xr3:uid="{00000000-0010-0000-0000-000004000000}" name="Category" dataDxfId="138"/>
    <tableColumn id="5" xr3:uid="{00000000-0010-0000-0000-000005000000}" name="Unit of Measure" dataDxfId="137"/>
    <tableColumn id="6" xr3:uid="{00000000-0010-0000-0000-000006000000}" name="Cost Price" dataDxfId="136"/>
    <tableColumn id="7" xr3:uid="{00000000-0010-0000-0000-000007000000}" name="Selling Price" dataDxfId="135"/>
    <tableColumn id="8" xr3:uid="{00000000-0010-0000-0000-000008000000}" name="Profit per Unit" dataDxfId="134">
      <calculatedColumnFormula>Table1[[#This Row],[Selling Price]]-Table1[[#This Row],[Cost Price]]</calculatedColumnFormula>
    </tableColumn>
    <tableColumn id="11" xr3:uid="{00000000-0010-0000-0000-00000B000000}" name="Reorder Level" dataDxfId="133"/>
    <tableColumn id="9" xr3:uid="{00000000-0010-0000-0000-000009000000}" name="Status" dataDxfId="13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M1000" totalsRowShown="0" headerRowDxfId="131" headerRowBorderDxfId="130" tableBorderDxfId="129" totalsRowBorderDxfId="128">
  <autoFilter ref="A1:M1000" xr:uid="{00000000-0009-0000-0100-000003000000}"/>
  <tableColumns count="13">
    <tableColumn id="1" xr3:uid="{00000000-0010-0000-0100-000001000000}" name="DATE" dataDxfId="127"/>
    <tableColumn id="2" xr3:uid="{00000000-0010-0000-0100-000002000000}" name="Sales ID" dataDxfId="126"/>
    <tableColumn id="3" xr3:uid="{00000000-0010-0000-0100-000003000000}" name="Cashier" dataDxfId="125"/>
    <tableColumn id="4" xr3:uid="{00000000-0010-0000-0100-000004000000}" name="Product Name" dataDxfId="124"/>
    <tableColumn id="9" xr3:uid="{00000000-0010-0000-0100-000009000000}" name="Category" dataDxfId="123">
      <calculatedColumnFormula>IF(D2="","",VLOOKUP(D2,'Product Master'!$B:$C,2,FALSE))</calculatedColumnFormula>
    </tableColumn>
    <tableColumn id="5" xr3:uid="{00000000-0010-0000-0100-000005000000}" name="Unit" dataDxfId="122">
      <calculatedColumnFormula>IF(D2="","",IFERROR(VLOOKUP(D2,'Product Master'!$B:$G,3,FALSE),""))</calculatedColumnFormula>
    </tableColumn>
    <tableColumn id="6" xr3:uid="{00000000-0010-0000-0100-000006000000}" name="QTY SOLD" dataDxfId="121"/>
    <tableColumn id="7" xr3:uid="{00000000-0010-0000-0100-000007000000}" name="Selling Price" dataDxfId="120">
      <calculatedColumnFormula>IF(D2="","",VLOOKUP(D2,'Product Master'!$B:$F,5,FALSE))</calculatedColumnFormula>
    </tableColumn>
    <tableColumn id="18" xr3:uid="{00000000-0010-0000-0100-000012000000}" name="Cost Price" dataDxfId="119">
      <calculatedColumnFormula>IFERROR(VLOOKUP(D2,'Product Master'!B:E,4,FALSE),0)</calculatedColumnFormula>
    </tableColumn>
    <tableColumn id="8" xr3:uid="{00000000-0010-0000-0100-000008000000}" name="Total Sales" dataDxfId="118">
      <calculatedColumnFormula>IFERROR(Table3[[#This Row],[QTY SOLD]]*Table3[[#This Row],[Selling Price]],0)</calculatedColumnFormula>
    </tableColumn>
    <tableColumn id="14" xr3:uid="{00000000-0010-0000-0100-00000E000000}" name="Discount" dataDxfId="117"/>
    <tableColumn id="15" xr3:uid="{00000000-0010-0000-0100-00000F000000}" name="Net Sales" dataDxfId="116">
      <calculatedColumnFormula>Table3[[#This Row],[Total Sales]]-Table3[[#This Row],[Discount]]</calculatedColumnFormula>
    </tableColumn>
    <tableColumn id="16" xr3:uid="{00000000-0010-0000-0100-000010000000}" name="Profit" dataDxfId="115">
      <calculatedColumnFormula>Table3[[#This Row],[Net Sales]]-Table3[[#This Row],[Cost Price]]*Table3[[#This Row],[QTY SOLD]]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H502" totalsRowShown="0" headerRowDxfId="114" dataDxfId="112" headerRowBorderDxfId="113" tableBorderDxfId="111" totalsRowBorderDxfId="110">
  <autoFilter ref="A1:H502" xr:uid="{00000000-0009-0000-0100-000002000000}"/>
  <tableColumns count="8">
    <tableColumn id="1" xr3:uid="{00000000-0010-0000-0200-000001000000}" name="Date" dataDxfId="109"/>
    <tableColumn id="2" xr3:uid="{00000000-0010-0000-0200-000002000000}" name="Purchase ID" dataDxfId="108">
      <calculatedColumnFormula>"PUR"&amp;TEXT(ROW()-1,"0000")</calculatedColumnFormula>
    </tableColumn>
    <tableColumn id="3" xr3:uid="{00000000-0010-0000-0200-000003000000}" name="Supplier" dataDxfId="107"/>
    <tableColumn id="5" xr3:uid="{00000000-0010-0000-0200-000005000000}" name="Product Name" dataDxfId="106"/>
    <tableColumn id="10" xr3:uid="{00000000-0010-0000-0200-00000A000000}" name="Unit" dataDxfId="105">
      <calculatedColumnFormula>IF(D2="","",VLOOKUP(D2,'Product Master'!$B:$G,3,FALSE))</calculatedColumnFormula>
    </tableColumn>
    <tableColumn id="6" xr3:uid="{00000000-0010-0000-0200-000006000000}" name="QTY Purchased" dataDxfId="104"/>
    <tableColumn id="11" xr3:uid="{00000000-0010-0000-0200-00000B000000}" name="Unit Cost" dataDxfId="103">
      <calculatedColumnFormula>IF(D2="","",VLOOKUP(D2,'Product Master'!$B:$G,4,FALSE))</calculatedColumnFormula>
    </tableColumn>
    <tableColumn id="8" xr3:uid="{00000000-0010-0000-0200-000008000000}" name="Total Purchase Cost" dataDxfId="102" dataCellStyle="Comma">
      <calculatedColumnFormula>IF(OR(F2="",G2=""),"",F2*G2)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R1040" totalsRowCount="1" headerRowDxfId="101" dataDxfId="99" headerRowBorderDxfId="100" tableBorderDxfId="98" totalsRowBorderDxfId="97">
  <autoFilter ref="A1:R1039" xr:uid="{00000000-0009-0000-0100-000004000000}"/>
  <tableColumns count="18">
    <tableColumn id="1" xr3:uid="{00000000-0010-0000-0300-000001000000}" name="Product ID" totalsRowLabel="Total" dataDxfId="96" totalsRowDxfId="95"/>
    <tableColumn id="2" xr3:uid="{00000000-0010-0000-0300-000002000000}" name="Product Name" dataDxfId="94" totalsRowDxfId="93"/>
    <tableColumn id="3" xr3:uid="{00000000-0010-0000-0300-000003000000}" name="Category" dataDxfId="92" totalsRowDxfId="91">
      <calculatedColumnFormula>IF(B2="","",VLOOKUP(B2,'Product Master'!$B:$G,2,FALSE))</calculatedColumnFormula>
    </tableColumn>
    <tableColumn id="4" xr3:uid="{00000000-0010-0000-0300-000004000000}" name="Unit" dataDxfId="90" totalsRowDxfId="89">
      <calculatedColumnFormula>IF(B2="","",VLOOKUP(B2,'Product Master'!$B:$G,3,FALSE))</calculatedColumnFormula>
    </tableColumn>
    <tableColumn id="13" xr3:uid="{00000000-0010-0000-0300-00000D000000}" name="Opening Stock" dataDxfId="88" totalsRowDxfId="87">
      <calculatedColumnFormula>50</calculatedColumnFormula>
    </tableColumn>
    <tableColumn id="5" xr3:uid="{00000000-0010-0000-0300-000005000000}" name="Total Purchased" dataDxfId="86" totalsRowDxfId="85">
      <calculatedColumnFormula>SUMIF('Stock Purchase'!$D:$D,B2,'Stock Purchase'!$F:$F)</calculatedColumnFormula>
    </tableColumn>
    <tableColumn id="17" xr3:uid="{00000000-0010-0000-0300-000011000000}" name="Customer Returned" dataDxfId="84" totalsRowDxfId="83">
      <calculatedColumnFormula>SUMIFS('Stock Adjustment'!$E:$E,'Stock Adjustment'!$B:$B,$A2,'Stock Adjustment'!$D:$D,"Customer Returned")</calculatedColumnFormula>
    </tableColumn>
    <tableColumn id="6" xr3:uid="{00000000-0010-0000-0300-000006000000}" name="Total Sold" dataDxfId="82" totalsRowDxfId="81">
      <calculatedColumnFormula>SUMIF('Daily Sales Entry'!$D:$D,B2,'Daily Sales Entry'!$G:$G)</calculatedColumnFormula>
    </tableColumn>
    <tableColumn id="18" xr3:uid="{00000000-0010-0000-0300-000012000000}" name="Staff Consumption" dataDxfId="80" totalsRowDxfId="79">
      <calculatedColumnFormula>SUMIFS('Stock Adjustment'!$E:$E,'Stock Adjustment'!$B:$B,$A2,'Stock Adjustment'!$D:$D,"Staff Consumption")</calculatedColumnFormula>
    </tableColumn>
    <tableColumn id="14" xr3:uid="{00000000-0010-0000-0300-00000E000000}" name="Damaged" dataDxfId="78" totalsRowDxfId="77">
      <calculatedColumnFormula>SUMIFS('Stock Adjustment'!$E:$E,'Stock Adjustment'!$B:$B,$A2,'Stock Adjustment'!$D:$D,"Damaged")</calculatedColumnFormula>
    </tableColumn>
    <tableColumn id="15" xr3:uid="{00000000-0010-0000-0300-00000F000000}" name="Expired" dataDxfId="76" totalsRowDxfId="75">
      <calculatedColumnFormula>SUMIFS('Stock Adjustment'!$E:$E,'Stock Adjustment'!$B:$B,$A2,'Stock Adjustment'!$D:$D,"Expired")</calculatedColumnFormula>
    </tableColumn>
    <tableColumn id="16" xr3:uid="{00000000-0010-0000-0300-000010000000}" name="Supplier Returned" dataDxfId="74" totalsRowDxfId="73">
      <calculatedColumnFormula>SUMIFS('Stock Adjustment'!$E:$E,'Stock Adjustment'!$B:$B,$A2,'Stock Adjustment'!$D:$D,"Supplier Returned")</calculatedColumnFormula>
    </tableColumn>
    <tableColumn id="7" xr3:uid="{00000000-0010-0000-0300-000007000000}" name="Closing Stock" dataDxfId="72" totalsRowDxfId="71">
      <calculatedColumnFormula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calculatedColumnFormula>
    </tableColumn>
    <tableColumn id="8" xr3:uid="{00000000-0010-0000-0300-000008000000}" name="Cost Price" dataDxfId="70" totalsRowDxfId="69">
      <calculatedColumnFormula>IF(B2="","",VLOOKUP(B2,'Product Master'!$B:$G,4,FALSE))</calculatedColumnFormula>
    </tableColumn>
    <tableColumn id="9" xr3:uid="{00000000-0010-0000-0300-000009000000}" name="Selling Price" dataDxfId="68" totalsRowDxfId="67">
      <calculatedColumnFormula>IF(B2="","",VLOOKUP(B2,'Product Master'!$B:$G,5,FALSE))</calculatedColumnFormula>
    </tableColumn>
    <tableColumn id="12" xr3:uid="{00000000-0010-0000-0300-00000C000000}" name="Reorder Level" dataDxfId="66" totalsRowDxfId="65">
      <calculatedColumnFormula>IF(B2="","",VLOOKUP(B2,'Product Master'!$B:$I,7,FALSE))</calculatedColumnFormula>
    </tableColumn>
    <tableColumn id="10" xr3:uid="{00000000-0010-0000-0300-00000A000000}" name="Inventory Value" dataDxfId="64" totalsRowDxfId="63">
      <calculatedColumnFormula>Table4[[#This Row],[Closing Stock]]*Table4[[#This Row],[Cost Price]]</calculatedColumnFormula>
    </tableColumn>
    <tableColumn id="11" xr3:uid="{00000000-0010-0000-0300-00000B000000}" name="Stock Status" totalsRowFunction="count" dataDxfId="62" totalsRowDxfId="61">
      <calculatedColumnFormula>IF(B2="","",IF(M2=0,"Out of Stock",IF(M2&lt;=10,"Low Stock","In Stock")))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9" displayName="Table9" ref="A1:F32" totalsRowShown="0" headerRowDxfId="60" dataDxfId="58" headerRowBorderDxfId="59" tableBorderDxfId="57" totalsRowBorderDxfId="56">
  <autoFilter ref="A1:F32" xr:uid="{00000000-0009-0000-0100-000009000000}"/>
  <sortState xmlns:xlrd2="http://schemas.microsoft.com/office/spreadsheetml/2017/richdata2" ref="A2:F32">
    <sortCondition ref="A1:A32"/>
  </sortState>
  <tableColumns count="6">
    <tableColumn id="1" xr3:uid="{00000000-0010-0000-0400-000001000000}" name="Date" dataDxfId="55"/>
    <tableColumn id="2" xr3:uid="{00000000-0010-0000-0400-000002000000}" name="Product ID" dataDxfId="54"/>
    <tableColumn id="3" xr3:uid="{00000000-0010-0000-0400-000003000000}" name="Product Name" dataDxfId="53">
      <calculatedColumnFormula>IFERROR(VLOOKUP(B2,'Product Master'!$A:$B,2,FALSE),"")</calculatedColumnFormula>
    </tableColumn>
    <tableColumn id="4" xr3:uid="{00000000-0010-0000-0400-000004000000}" name="Adjustment Type" dataDxfId="52"/>
    <tableColumn id="5" xr3:uid="{00000000-0010-0000-0400-000005000000}" name="Quantity" dataDxfId="51"/>
    <tableColumn id="6" xr3:uid="{00000000-0010-0000-0400-000006000000}" name="Reason" dataDxfId="5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5" displayName="Table5" ref="A1:F32" totalsRowShown="0" headerRowDxfId="49" dataDxfId="47" headerRowBorderDxfId="48" tableBorderDxfId="46" totalsRowBorderDxfId="45">
  <autoFilter ref="A1:F32" xr:uid="{00000000-0009-0000-0100-000005000000}"/>
  <tableColumns count="6">
    <tableColumn id="1" xr3:uid="{00000000-0010-0000-0500-000001000000}" name="Expenses ID" dataDxfId="44"/>
    <tableColumn id="2" xr3:uid="{00000000-0010-0000-0500-000002000000}" name="Date" dataDxfId="43"/>
    <tableColumn id="3" xr3:uid="{00000000-0010-0000-0500-000003000000}" name="Expenses Category" dataDxfId="42"/>
    <tableColumn id="4" xr3:uid="{00000000-0010-0000-0500-000004000000}" name="Description" dataDxfId="41"/>
    <tableColumn id="5" xr3:uid="{00000000-0010-0000-0500-000005000000}" name="Amount" dataDxfId="40"/>
    <tableColumn id="6" xr3:uid="{00000000-0010-0000-0500-000006000000}" name="Payment Method" dataDxfId="3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F200" totalsRowShown="0" headerRowDxfId="155" dataDxfId="153" headerRowBorderDxfId="154" tableBorderDxfId="152" totalsRowBorderDxfId="151">
  <autoFilter ref="A1:F200" xr:uid="{00000000-0009-0000-0100-000007000000}"/>
  <tableColumns count="6">
    <tableColumn id="1" xr3:uid="{00000000-0010-0000-0600-000001000000}" name="Budget ID" dataDxfId="150"/>
    <tableColumn id="2" xr3:uid="{00000000-0010-0000-0600-000002000000}" name="Budget Category" dataDxfId="149"/>
    <tableColumn id="3" xr3:uid="{00000000-0010-0000-0600-000003000000}" name="Budget Amount" dataDxfId="148"/>
    <tableColumn id="4" xr3:uid="{00000000-0010-0000-0600-000004000000}" name="Actual Amount" dataDxfId="147">
      <calculatedColumnFormula>SUMIF(Expenses!$C:$C,B2,Expenses!$E:$E)</calculatedColumnFormula>
    </tableColumn>
    <tableColumn id="5" xr3:uid="{00000000-0010-0000-0600-000005000000}" name="Variance" dataDxfId="146">
      <calculatedColumnFormula>C2-D2</calculatedColumnFormula>
    </tableColumn>
    <tableColumn id="6" xr3:uid="{00000000-0010-0000-0600-000006000000}" name="Status" dataDxfId="145">
      <calculatedColumnFormula>IF(E2&gt;=0,"Within Budget","Over Budget")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H101" totalsRowShown="0" headerRowDxfId="38" dataDxfId="36" headerRowBorderDxfId="37" tableBorderDxfId="35" totalsRowBorderDxfId="34">
  <autoFilter ref="A1:H101" xr:uid="{00000000-0009-0000-0100-000006000000}"/>
  <tableColumns count="8">
    <tableColumn id="1" xr3:uid="{00000000-0010-0000-0700-000001000000}" name="Supplier ID" dataDxfId="33">
      <calculatedColumnFormula>"SUP"&amp;TEXT(ROW()-1,"000")</calculatedColumnFormula>
    </tableColumn>
    <tableColumn id="2" xr3:uid="{00000000-0010-0000-0700-000002000000}" name="Supplier Name" dataDxfId="32"/>
    <tableColumn id="3" xr3:uid="{00000000-0010-0000-0700-000003000000}" name="Phone Number" dataDxfId="31"/>
    <tableColumn id="4" xr3:uid="{00000000-0010-0000-0700-000004000000}" name="Address" dataDxfId="30"/>
    <tableColumn id="5" xr3:uid="{00000000-0010-0000-0700-000005000000}" name="Products Supplied" dataDxfId="29"/>
    <tableColumn id="6" xr3:uid="{00000000-0010-0000-0700-000006000000}" name="Contact Person" dataDxfId="28"/>
    <tableColumn id="7" xr3:uid="{00000000-0010-0000-0700-000007000000}" name="Email" dataDxfId="27"/>
    <tableColumn id="8" xr3:uid="{00000000-0010-0000-0700-000008000000}" name="Status" dataDxfId="2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8" displayName="Table8" ref="A1:M300" totalsRowShown="0" headerRowDxfId="25" headerRowBorderDxfId="24" tableBorderDxfId="23" totalsRowBorderDxfId="22">
  <autoFilter ref="A1:M300" xr:uid="{00000000-0009-0000-0100-000008000000}"/>
  <tableColumns count="13">
    <tableColumn id="1" xr3:uid="{00000000-0010-0000-0800-000001000000}" name="Category" dataDxfId="21"/>
    <tableColumn id="2" xr3:uid="{00000000-0010-0000-0800-000002000000}" name="Product Name" dataDxfId="20"/>
    <tableColumn id="3" xr3:uid="{00000000-0010-0000-0800-000003000000}" name="Unit of Measure" dataDxfId="19"/>
    <tableColumn id="4" xr3:uid="{00000000-0010-0000-0800-000004000000}" name="Supplier" dataDxfId="18"/>
    <tableColumn id="5" xr3:uid="{00000000-0010-0000-0800-000005000000}" name="Status" dataDxfId="17"/>
    <tableColumn id="6" xr3:uid="{00000000-0010-0000-0800-000006000000}" name="Expenses Category" dataDxfId="16"/>
    <tableColumn id="7" xr3:uid="{00000000-0010-0000-0800-000007000000}" name="Admin" dataDxfId="15"/>
    <tableColumn id="8" xr3:uid="{00000000-0010-0000-0800-000008000000}" name="Expenses Payment Method" dataDxfId="14"/>
    <tableColumn id="9" xr3:uid="{00000000-0010-0000-0800-000009000000}" name="Budget Category" dataDxfId="13"/>
    <tableColumn id="10" xr3:uid="{00000000-0010-0000-0800-00000A000000}" name="Date" dataDxfId="12"/>
    <tableColumn id="11" xr3:uid="{00000000-0010-0000-0800-00000B000000}" name="Date2" dataDxfId="11"/>
    <tableColumn id="12" xr3:uid="{00000000-0010-0000-0800-00000C000000}" name="Adjustment Type" dataDxfId="10"/>
    <tableColumn id="13" xr3:uid="{00000000-0010-0000-0800-00000D000000}" name="Sales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Tundesulaimon50@gmail.com" TargetMode="External"/><Relationship Id="rId4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7030A0"/>
  </sheetPr>
  <dimension ref="A1:E369"/>
  <sheetViews>
    <sheetView showGridLines="0" showRowColHeaders="0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189.140625" customWidth="1"/>
  </cols>
  <sheetData>
    <row r="1" spans="1:5" ht="26.1" customHeight="1" x14ac:dyDescent="0.25">
      <c r="A1" s="81" t="s">
        <v>494</v>
      </c>
      <c r="B1" s="25"/>
      <c r="C1" s="25"/>
      <c r="D1" s="25"/>
    </row>
    <row r="2" spans="1:5" x14ac:dyDescent="0.25">
      <c r="A2" s="28"/>
      <c r="B2" s="25"/>
      <c r="C2" s="25"/>
      <c r="D2" s="25"/>
    </row>
    <row r="3" spans="1:5" x14ac:dyDescent="0.25">
      <c r="A3" s="29"/>
      <c r="B3" s="25"/>
      <c r="C3" s="25"/>
      <c r="D3" s="25"/>
    </row>
    <row r="4" spans="1:5" ht="18.75" x14ac:dyDescent="0.3">
      <c r="A4" s="27" t="s">
        <v>382</v>
      </c>
      <c r="B4" s="66"/>
      <c r="C4" s="25"/>
      <c r="D4" s="25"/>
    </row>
    <row r="5" spans="1:5" x14ac:dyDescent="0.25">
      <c r="A5" s="30"/>
      <c r="B5" s="66"/>
      <c r="C5" s="25"/>
      <c r="D5" s="25"/>
    </row>
    <row r="6" spans="1:5" ht="18.75" x14ac:dyDescent="0.3">
      <c r="A6" s="68" t="s">
        <v>518</v>
      </c>
      <c r="B6" s="66"/>
      <c r="C6" s="25"/>
      <c r="D6" s="25"/>
    </row>
    <row r="7" spans="1:5" x14ac:dyDescent="0.25">
      <c r="A7" s="29"/>
      <c r="B7" s="25"/>
      <c r="C7" s="25"/>
      <c r="D7" s="25"/>
    </row>
    <row r="8" spans="1:5" ht="23.25" x14ac:dyDescent="0.35">
      <c r="A8" s="67" t="s">
        <v>383</v>
      </c>
      <c r="B8" s="25"/>
      <c r="C8" s="25"/>
      <c r="D8" s="25"/>
    </row>
    <row r="9" spans="1:5" x14ac:dyDescent="0.25">
      <c r="A9" s="30" t="s">
        <v>516</v>
      </c>
      <c r="B9" s="25"/>
      <c r="C9" s="25"/>
      <c r="D9" s="25"/>
    </row>
    <row r="10" spans="1:5" x14ac:dyDescent="0.25">
      <c r="A10" s="30" t="s">
        <v>495</v>
      </c>
      <c r="B10" s="25"/>
      <c r="C10" s="25"/>
      <c r="D10" s="25"/>
    </row>
    <row r="11" spans="1:5" x14ac:dyDescent="0.25">
      <c r="A11" s="30"/>
      <c r="B11" s="25"/>
      <c r="C11" s="25"/>
      <c r="D11" s="25"/>
      <c r="E11" s="25"/>
    </row>
    <row r="12" spans="1:5" ht="23.25" x14ac:dyDescent="0.35">
      <c r="A12" s="67" t="s">
        <v>384</v>
      </c>
      <c r="B12" s="25"/>
      <c r="C12" s="25"/>
      <c r="D12" s="25"/>
      <c r="E12" s="25"/>
    </row>
    <row r="13" spans="1:5" x14ac:dyDescent="0.25">
      <c r="A13" s="29" t="s">
        <v>505</v>
      </c>
      <c r="B13" s="25"/>
      <c r="C13" s="25"/>
      <c r="D13" s="25"/>
      <c r="E13" s="25"/>
    </row>
    <row r="14" spans="1:5" x14ac:dyDescent="0.25">
      <c r="A14" s="29" t="s">
        <v>385</v>
      </c>
      <c r="B14" s="25"/>
      <c r="C14" s="25"/>
      <c r="D14" s="25"/>
      <c r="E14" s="25"/>
    </row>
    <row r="15" spans="1:5" x14ac:dyDescent="0.25">
      <c r="A15" s="29" t="s">
        <v>506</v>
      </c>
      <c r="B15" s="25"/>
      <c r="C15" s="25"/>
      <c r="D15" s="25"/>
      <c r="E15" s="25"/>
    </row>
    <row r="16" spans="1:5" x14ac:dyDescent="0.25">
      <c r="A16" s="29" t="s">
        <v>507</v>
      </c>
      <c r="B16" s="25"/>
      <c r="C16" s="25"/>
      <c r="D16" s="25"/>
      <c r="E16" s="25"/>
    </row>
    <row r="17" spans="1:5" x14ac:dyDescent="0.25">
      <c r="A17" s="29" t="s">
        <v>1562</v>
      </c>
      <c r="B17" s="25"/>
      <c r="C17" s="25"/>
      <c r="D17" s="25"/>
      <c r="E17" s="25"/>
    </row>
    <row r="18" spans="1:5" x14ac:dyDescent="0.25">
      <c r="A18" s="29" t="s">
        <v>386</v>
      </c>
      <c r="B18" s="25"/>
      <c r="C18" s="25"/>
      <c r="D18" s="25"/>
      <c r="E18" s="25"/>
    </row>
    <row r="19" spans="1:5" x14ac:dyDescent="0.25">
      <c r="A19" s="29" t="s">
        <v>508</v>
      </c>
      <c r="B19" s="25"/>
      <c r="C19" s="25"/>
      <c r="D19" s="25"/>
      <c r="E19" s="25"/>
    </row>
    <row r="20" spans="1:5" x14ac:dyDescent="0.25">
      <c r="A20" s="29" t="s">
        <v>1563</v>
      </c>
      <c r="B20" s="25"/>
      <c r="C20" s="25"/>
      <c r="D20" s="25"/>
      <c r="E20" s="25"/>
    </row>
    <row r="21" spans="1:5" x14ac:dyDescent="0.25">
      <c r="A21" s="29" t="s">
        <v>1564</v>
      </c>
      <c r="B21" s="25"/>
      <c r="C21" s="25"/>
      <c r="D21" s="25"/>
      <c r="E21" s="25"/>
    </row>
    <row r="22" spans="1:5" x14ac:dyDescent="0.25">
      <c r="A22" s="29" t="s">
        <v>387</v>
      </c>
      <c r="B22" s="25"/>
      <c r="C22" s="25"/>
      <c r="D22" s="25"/>
      <c r="E22" s="25"/>
    </row>
    <row r="23" spans="1:5" x14ac:dyDescent="0.25">
      <c r="A23" s="29" t="s">
        <v>509</v>
      </c>
      <c r="B23" s="25"/>
      <c r="C23" s="25"/>
      <c r="D23" s="25"/>
      <c r="E23" s="25"/>
    </row>
    <row r="24" spans="1:5" x14ac:dyDescent="0.25">
      <c r="A24" s="29" t="s">
        <v>510</v>
      </c>
      <c r="B24" s="25"/>
      <c r="C24" s="25"/>
      <c r="D24" s="25"/>
      <c r="E24" s="25"/>
    </row>
    <row r="25" spans="1:5" x14ac:dyDescent="0.25">
      <c r="A25" s="29" t="s">
        <v>388</v>
      </c>
      <c r="B25" s="25"/>
      <c r="C25" s="25"/>
      <c r="D25" s="25"/>
      <c r="E25" s="25"/>
    </row>
    <row r="26" spans="1:5" x14ac:dyDescent="0.25">
      <c r="A26" s="29" t="s">
        <v>389</v>
      </c>
      <c r="B26" s="25"/>
      <c r="C26" s="25"/>
      <c r="D26" s="25"/>
      <c r="E26" s="25"/>
    </row>
    <row r="27" spans="1:5" x14ac:dyDescent="0.25">
      <c r="A27" s="29" t="s">
        <v>511</v>
      </c>
      <c r="B27" s="25"/>
      <c r="C27" s="25"/>
      <c r="D27" s="25"/>
      <c r="E27" s="25"/>
    </row>
    <row r="28" spans="1:5" x14ac:dyDescent="0.25">
      <c r="A28" s="29"/>
      <c r="B28" s="25"/>
      <c r="C28" s="25"/>
      <c r="D28" s="25"/>
      <c r="E28" s="25"/>
    </row>
    <row r="29" spans="1:5" ht="23.25" x14ac:dyDescent="0.35">
      <c r="A29" s="67" t="s">
        <v>390</v>
      </c>
      <c r="B29" s="25"/>
      <c r="C29" s="25"/>
      <c r="D29" s="25"/>
      <c r="E29" s="25"/>
    </row>
    <row r="30" spans="1:5" x14ac:dyDescent="0.25">
      <c r="A30" s="30" t="s">
        <v>1565</v>
      </c>
      <c r="B30" s="25"/>
      <c r="C30" s="25"/>
      <c r="D30" s="25"/>
      <c r="E30" s="25"/>
    </row>
    <row r="31" spans="1:5" x14ac:dyDescent="0.25">
      <c r="A31" s="29" t="s">
        <v>1566</v>
      </c>
      <c r="B31" s="25"/>
      <c r="C31" s="25"/>
      <c r="D31" s="25"/>
      <c r="E31" s="25"/>
    </row>
    <row r="32" spans="1:5" x14ac:dyDescent="0.25">
      <c r="A32" s="30" t="s">
        <v>1567</v>
      </c>
      <c r="B32" s="25"/>
      <c r="C32" s="25"/>
      <c r="D32" s="25"/>
      <c r="E32" s="25"/>
    </row>
    <row r="33" spans="1:5" x14ac:dyDescent="0.25">
      <c r="A33" s="29" t="s">
        <v>1568</v>
      </c>
      <c r="B33" s="25"/>
      <c r="C33" s="25"/>
      <c r="D33" s="25"/>
      <c r="E33" s="25"/>
    </row>
    <row r="34" spans="1:5" x14ac:dyDescent="0.25">
      <c r="A34" s="29" t="s">
        <v>1569</v>
      </c>
      <c r="B34" s="25"/>
      <c r="C34" s="25"/>
      <c r="D34" s="25"/>
      <c r="E34" s="25"/>
    </row>
    <row r="35" spans="1:5" x14ac:dyDescent="0.25">
      <c r="A35" s="29" t="s">
        <v>1570</v>
      </c>
      <c r="B35" s="25"/>
      <c r="C35" s="25"/>
      <c r="D35" s="25"/>
      <c r="E35" s="25"/>
    </row>
    <row r="36" spans="1:5" x14ac:dyDescent="0.25">
      <c r="A36" s="29" t="s">
        <v>1571</v>
      </c>
      <c r="B36" s="25"/>
      <c r="C36" s="25"/>
      <c r="D36" s="25"/>
      <c r="E36" s="25"/>
    </row>
    <row r="37" spans="1:5" x14ac:dyDescent="0.25">
      <c r="A37" s="29" t="s">
        <v>1572</v>
      </c>
      <c r="B37" s="25"/>
      <c r="C37" s="25"/>
      <c r="D37" s="25"/>
      <c r="E37" s="25"/>
    </row>
    <row r="38" spans="1:5" x14ac:dyDescent="0.25">
      <c r="A38" s="29" t="s">
        <v>1573</v>
      </c>
      <c r="B38" s="25"/>
      <c r="C38" s="25"/>
      <c r="D38" s="25"/>
      <c r="E38" s="25"/>
    </row>
    <row r="39" spans="1:5" x14ac:dyDescent="0.25">
      <c r="A39" s="29"/>
      <c r="B39" s="25"/>
      <c r="C39" s="25"/>
      <c r="D39" s="25"/>
      <c r="E39" s="25"/>
    </row>
    <row r="40" spans="1:5" ht="23.25" x14ac:dyDescent="0.35">
      <c r="A40" s="67" t="s">
        <v>497</v>
      </c>
      <c r="B40" s="25"/>
      <c r="C40" s="25"/>
      <c r="D40" s="25"/>
      <c r="E40" s="25"/>
    </row>
    <row r="41" spans="1:5" x14ac:dyDescent="0.25">
      <c r="A41" s="29" t="s">
        <v>517</v>
      </c>
      <c r="B41" s="25"/>
      <c r="C41" s="25"/>
      <c r="D41" s="25"/>
      <c r="E41" s="25"/>
    </row>
    <row r="42" spans="1:5" x14ac:dyDescent="0.25">
      <c r="A42" s="29" t="s">
        <v>500</v>
      </c>
      <c r="B42" s="25"/>
      <c r="C42" s="25"/>
      <c r="D42" s="25"/>
      <c r="E42" s="25"/>
    </row>
    <row r="43" spans="1:5" x14ac:dyDescent="0.25">
      <c r="A43" s="29" t="s">
        <v>499</v>
      </c>
      <c r="B43" s="25"/>
      <c r="C43" s="25"/>
      <c r="D43" s="25"/>
      <c r="E43" s="25"/>
    </row>
    <row r="44" spans="1:5" x14ac:dyDescent="0.25">
      <c r="A44" s="29" t="s">
        <v>498</v>
      </c>
      <c r="B44" s="25"/>
      <c r="C44" s="25"/>
      <c r="D44" s="25"/>
      <c r="E44" s="25"/>
    </row>
    <row r="45" spans="1:5" x14ac:dyDescent="0.25">
      <c r="A45" s="29"/>
      <c r="B45" s="25"/>
      <c r="C45" s="25"/>
      <c r="D45" s="25"/>
      <c r="E45" s="25"/>
    </row>
    <row r="46" spans="1:5" ht="23.25" x14ac:dyDescent="0.35">
      <c r="A46" s="67" t="s">
        <v>501</v>
      </c>
      <c r="B46" s="25"/>
      <c r="C46" s="25"/>
      <c r="D46" s="25"/>
      <c r="E46" s="25"/>
    </row>
    <row r="47" spans="1:5" x14ac:dyDescent="0.25">
      <c r="A47" s="29" t="s">
        <v>502</v>
      </c>
      <c r="B47" s="25"/>
      <c r="C47" s="25"/>
      <c r="D47" s="25"/>
      <c r="E47" s="25"/>
    </row>
    <row r="48" spans="1:5" x14ac:dyDescent="0.25">
      <c r="A48" s="29" t="s">
        <v>503</v>
      </c>
      <c r="B48" s="25"/>
      <c r="C48" s="25"/>
      <c r="D48" s="25"/>
      <c r="E48" s="25"/>
    </row>
    <row r="49" spans="1:5" x14ac:dyDescent="0.25">
      <c r="A49" s="29" t="s">
        <v>504</v>
      </c>
      <c r="B49" s="25"/>
      <c r="C49" s="25"/>
      <c r="D49" s="25"/>
      <c r="E49" s="25"/>
    </row>
    <row r="50" spans="1:5" x14ac:dyDescent="0.25">
      <c r="A50" s="29"/>
      <c r="B50" s="25"/>
      <c r="C50" s="25"/>
      <c r="D50" s="25"/>
      <c r="E50" s="25"/>
    </row>
    <row r="51" spans="1:5" ht="23.25" x14ac:dyDescent="0.35">
      <c r="A51" s="67" t="s">
        <v>391</v>
      </c>
      <c r="B51" s="25"/>
      <c r="C51" s="25"/>
      <c r="D51" s="25"/>
      <c r="E51" s="25"/>
    </row>
    <row r="52" spans="1:5" x14ac:dyDescent="0.25">
      <c r="A52" s="29" t="s">
        <v>111</v>
      </c>
      <c r="B52" s="25"/>
      <c r="C52" s="25"/>
      <c r="D52" s="25"/>
      <c r="E52" s="25"/>
    </row>
    <row r="53" spans="1:5" x14ac:dyDescent="0.25">
      <c r="A53" s="29" t="s">
        <v>85</v>
      </c>
      <c r="B53" s="25"/>
      <c r="C53" s="25"/>
      <c r="D53" s="25"/>
      <c r="E53" s="25"/>
    </row>
    <row r="54" spans="1:5" x14ac:dyDescent="0.25">
      <c r="A54" s="29" t="s">
        <v>98</v>
      </c>
      <c r="B54" s="25"/>
      <c r="C54" s="25"/>
      <c r="D54" s="25"/>
      <c r="E54" s="25"/>
    </row>
    <row r="55" spans="1:5" x14ac:dyDescent="0.25">
      <c r="A55" s="29" t="s">
        <v>108</v>
      </c>
      <c r="B55" s="25"/>
      <c r="C55" s="25"/>
      <c r="D55" s="25"/>
      <c r="E55" s="25"/>
    </row>
    <row r="56" spans="1:5" x14ac:dyDescent="0.25">
      <c r="A56" s="29" t="s">
        <v>113</v>
      </c>
      <c r="B56" s="25"/>
      <c r="C56" s="25"/>
      <c r="D56" s="25"/>
      <c r="E56" s="25"/>
    </row>
    <row r="57" spans="1:5" x14ac:dyDescent="0.25">
      <c r="A57" s="29" t="s">
        <v>561</v>
      </c>
      <c r="B57" s="25"/>
      <c r="C57" s="25"/>
      <c r="D57" s="25"/>
      <c r="E57" s="25"/>
    </row>
    <row r="58" spans="1:5" x14ac:dyDescent="0.25">
      <c r="A58" s="29" t="s">
        <v>380</v>
      </c>
      <c r="B58" s="25"/>
      <c r="C58" s="25"/>
      <c r="D58" s="25"/>
      <c r="E58" s="25"/>
    </row>
    <row r="59" spans="1:5" x14ac:dyDescent="0.25">
      <c r="A59" s="29" t="s">
        <v>381</v>
      </c>
      <c r="B59" s="25"/>
      <c r="C59" s="25"/>
      <c r="D59" s="25"/>
      <c r="E59" s="25"/>
    </row>
    <row r="60" spans="1:5" x14ac:dyDescent="0.25">
      <c r="A60" s="29" t="s">
        <v>558</v>
      </c>
      <c r="B60" s="25"/>
      <c r="C60" s="25"/>
      <c r="D60" s="25"/>
      <c r="E60" s="25"/>
    </row>
    <row r="61" spans="1:5" x14ac:dyDescent="0.25">
      <c r="A61" s="29" t="s">
        <v>559</v>
      </c>
      <c r="B61" s="25"/>
      <c r="C61" s="25"/>
      <c r="D61" s="25"/>
      <c r="E61" s="25"/>
    </row>
    <row r="62" spans="1:5" x14ac:dyDescent="0.25">
      <c r="A62" s="29" t="s">
        <v>489</v>
      </c>
      <c r="B62" s="25"/>
      <c r="C62" s="25"/>
      <c r="D62" s="25"/>
      <c r="E62" s="25"/>
    </row>
    <row r="63" spans="1:5" x14ac:dyDescent="0.25">
      <c r="A63" s="29" t="s">
        <v>490</v>
      </c>
      <c r="B63" s="25"/>
      <c r="C63" s="25"/>
      <c r="D63" s="25"/>
      <c r="E63" s="25"/>
    </row>
    <row r="64" spans="1:5" x14ac:dyDescent="0.25">
      <c r="A64" s="29" t="s">
        <v>537</v>
      </c>
      <c r="B64" s="25"/>
      <c r="C64" s="25"/>
      <c r="D64" s="25"/>
      <c r="E64" s="25"/>
    </row>
    <row r="65" spans="1:5" x14ac:dyDescent="0.25">
      <c r="A65" s="29" t="s">
        <v>538</v>
      </c>
      <c r="B65" s="25"/>
      <c r="C65" s="25"/>
      <c r="D65" s="25"/>
      <c r="E65" s="25"/>
    </row>
    <row r="66" spans="1:5" x14ac:dyDescent="0.25">
      <c r="A66" s="29" t="s">
        <v>560</v>
      </c>
      <c r="B66" s="25"/>
      <c r="C66" s="25"/>
      <c r="D66" s="25"/>
      <c r="E66" s="25"/>
    </row>
    <row r="67" spans="1:5" x14ac:dyDescent="0.25">
      <c r="A67" s="29" t="s">
        <v>540</v>
      </c>
      <c r="B67" s="25"/>
      <c r="C67" s="25"/>
      <c r="D67" s="25"/>
      <c r="E67" s="25"/>
    </row>
    <row r="68" spans="1:5" x14ac:dyDescent="0.25">
      <c r="A68" s="29" t="s">
        <v>541</v>
      </c>
      <c r="B68" s="25"/>
      <c r="C68" s="25"/>
      <c r="D68" s="25"/>
      <c r="E68" s="25"/>
    </row>
    <row r="69" spans="1:5" x14ac:dyDescent="0.25">
      <c r="A69" s="29" t="s">
        <v>545</v>
      </c>
      <c r="B69" s="25"/>
      <c r="C69" s="25"/>
      <c r="D69" s="25"/>
      <c r="E69" s="25"/>
    </row>
    <row r="70" spans="1:5" x14ac:dyDescent="0.25">
      <c r="A70" s="29" t="s">
        <v>381</v>
      </c>
      <c r="B70" s="25"/>
      <c r="C70" s="25"/>
      <c r="D70" s="25"/>
      <c r="E70" s="25"/>
    </row>
    <row r="71" spans="1:5" x14ac:dyDescent="0.25">
      <c r="A71" s="29" t="s">
        <v>546</v>
      </c>
      <c r="B71" s="25"/>
      <c r="C71" s="25"/>
      <c r="D71" s="25"/>
      <c r="E71" s="25"/>
    </row>
    <row r="72" spans="1:5" x14ac:dyDescent="0.25">
      <c r="A72" s="29" t="s">
        <v>547</v>
      </c>
      <c r="B72" s="25"/>
      <c r="C72" s="25"/>
      <c r="D72" s="25"/>
      <c r="E72" s="25"/>
    </row>
    <row r="73" spans="1:5" x14ac:dyDescent="0.25">
      <c r="A73" s="29"/>
      <c r="B73" s="25"/>
      <c r="C73" s="25"/>
      <c r="D73" s="25"/>
      <c r="E73" s="25"/>
    </row>
    <row r="74" spans="1:5" x14ac:dyDescent="0.25">
      <c r="A74" s="29" t="s">
        <v>534</v>
      </c>
      <c r="B74" s="25"/>
      <c r="C74" s="25"/>
      <c r="D74" s="25"/>
      <c r="E74" s="25"/>
    </row>
    <row r="75" spans="1:5" x14ac:dyDescent="0.25">
      <c r="A75" s="30" t="s">
        <v>514</v>
      </c>
      <c r="B75" s="25"/>
      <c r="C75" s="25"/>
      <c r="D75" s="25"/>
      <c r="E75" s="25"/>
    </row>
    <row r="76" spans="1:5" x14ac:dyDescent="0.25">
      <c r="A76" s="29" t="s">
        <v>513</v>
      </c>
      <c r="B76" s="25"/>
      <c r="C76" s="25"/>
      <c r="D76" s="25"/>
    </row>
    <row r="77" spans="1:5" x14ac:dyDescent="0.25">
      <c r="A77" s="29"/>
      <c r="B77" s="25"/>
      <c r="C77" s="25"/>
      <c r="D77" s="25"/>
    </row>
    <row r="78" spans="1:5" x14ac:dyDescent="0.25">
      <c r="A78" s="29"/>
      <c r="B78" s="25"/>
      <c r="C78" s="25"/>
      <c r="D78" s="25"/>
    </row>
    <row r="79" spans="1:5" x14ac:dyDescent="0.25">
      <c r="A79" s="29"/>
      <c r="B79" s="25"/>
      <c r="C79" s="25"/>
      <c r="D79" s="25"/>
    </row>
    <row r="80" spans="1:5" ht="23.25" x14ac:dyDescent="0.35">
      <c r="A80" s="67" t="s">
        <v>392</v>
      </c>
      <c r="B80" s="25"/>
      <c r="C80" s="25"/>
      <c r="D80" s="25"/>
    </row>
    <row r="81" spans="1:4" x14ac:dyDescent="0.25">
      <c r="A81" s="30" t="s">
        <v>496</v>
      </c>
      <c r="B81" s="25"/>
      <c r="C81" s="25"/>
      <c r="D81" s="25"/>
    </row>
    <row r="82" spans="1:4" x14ac:dyDescent="0.25">
      <c r="A82" s="30" t="s">
        <v>512</v>
      </c>
      <c r="B82" s="25"/>
      <c r="C82" s="25"/>
      <c r="D82" s="25"/>
    </row>
    <row r="83" spans="1:4" x14ac:dyDescent="0.25">
      <c r="A83" s="29"/>
      <c r="B83" s="25"/>
      <c r="C83" s="25"/>
      <c r="D83" s="25"/>
    </row>
    <row r="84" spans="1:4" x14ac:dyDescent="0.25">
      <c r="A84" s="29"/>
      <c r="B84" s="25"/>
      <c r="C84" s="25"/>
      <c r="D84" s="25"/>
    </row>
    <row r="85" spans="1:4" x14ac:dyDescent="0.25">
      <c r="A85" s="30" t="s">
        <v>519</v>
      </c>
      <c r="B85" s="25"/>
      <c r="C85" s="25"/>
      <c r="D85" s="25"/>
    </row>
    <row r="86" spans="1:4" x14ac:dyDescent="0.25">
      <c r="A86" s="30" t="s">
        <v>515</v>
      </c>
      <c r="B86" s="25"/>
      <c r="C86" s="25"/>
      <c r="D86" s="25"/>
    </row>
    <row r="87" spans="1:4" x14ac:dyDescent="0.25">
      <c r="A87" s="29"/>
      <c r="B87" s="25"/>
      <c r="C87" s="25"/>
      <c r="D87" s="25"/>
    </row>
    <row r="88" spans="1:4" x14ac:dyDescent="0.25">
      <c r="A88" s="29"/>
      <c r="B88" s="25"/>
      <c r="C88" s="25"/>
      <c r="D88" s="25"/>
    </row>
    <row r="89" spans="1:4" x14ac:dyDescent="0.25">
      <c r="A89" s="25"/>
      <c r="B89" s="25"/>
      <c r="C89" s="25"/>
      <c r="D89" s="25"/>
    </row>
    <row r="90" spans="1:4" x14ac:dyDescent="0.25">
      <c r="A90" s="25"/>
      <c r="B90" s="25"/>
      <c r="C90" s="25"/>
      <c r="D90" s="25"/>
    </row>
    <row r="91" spans="1:4" x14ac:dyDescent="0.25">
      <c r="A91" s="25"/>
      <c r="B91" s="25"/>
      <c r="C91" s="25"/>
      <c r="D91" s="25"/>
    </row>
    <row r="92" spans="1:4" x14ac:dyDescent="0.25">
      <c r="A92" s="25"/>
      <c r="B92" s="25"/>
      <c r="C92" s="25"/>
      <c r="D92" s="25"/>
    </row>
    <row r="93" spans="1:4" x14ac:dyDescent="0.25">
      <c r="A93" s="25"/>
      <c r="B93" s="25"/>
      <c r="C93" s="25"/>
      <c r="D93" s="25"/>
    </row>
    <row r="94" spans="1:4" x14ac:dyDescent="0.25">
      <c r="A94" s="25"/>
      <c r="B94" s="25"/>
      <c r="C94" s="25"/>
      <c r="D94" s="25"/>
    </row>
    <row r="95" spans="1:4" x14ac:dyDescent="0.25">
      <c r="A95" s="25"/>
      <c r="B95" s="25"/>
      <c r="C95" s="25"/>
      <c r="D95" s="25"/>
    </row>
    <row r="96" spans="1:4" x14ac:dyDescent="0.25">
      <c r="A96" s="25"/>
      <c r="B96" s="25"/>
      <c r="C96" s="25"/>
      <c r="D96" s="25"/>
    </row>
    <row r="97" spans="1:4" x14ac:dyDescent="0.25">
      <c r="A97" s="25"/>
      <c r="B97" s="25"/>
      <c r="C97" s="25"/>
      <c r="D97" s="25"/>
    </row>
    <row r="98" spans="1:4" x14ac:dyDescent="0.25">
      <c r="A98" s="25"/>
      <c r="B98" s="25"/>
      <c r="C98" s="25"/>
      <c r="D98" s="25"/>
    </row>
    <row r="99" spans="1:4" x14ac:dyDescent="0.25">
      <c r="A99" s="25"/>
      <c r="B99" s="25"/>
      <c r="C99" s="25"/>
      <c r="D99" s="25"/>
    </row>
    <row r="100" spans="1:4" x14ac:dyDescent="0.25">
      <c r="A100" s="25"/>
      <c r="B100" s="25"/>
      <c r="C100" s="25"/>
      <c r="D100" s="25"/>
    </row>
    <row r="101" spans="1:4" x14ac:dyDescent="0.25">
      <c r="A101" s="25"/>
      <c r="B101" s="25"/>
      <c r="C101" s="25"/>
      <c r="D101" s="25"/>
    </row>
    <row r="102" spans="1:4" x14ac:dyDescent="0.25">
      <c r="A102" s="25"/>
      <c r="B102" s="25"/>
      <c r="C102" s="25"/>
      <c r="D102" s="25"/>
    </row>
    <row r="103" spans="1:4" x14ac:dyDescent="0.25">
      <c r="A103" s="25"/>
      <c r="B103" s="25"/>
      <c r="C103" s="25"/>
      <c r="D103" s="25"/>
    </row>
    <row r="104" spans="1:4" x14ac:dyDescent="0.25">
      <c r="A104" s="25"/>
      <c r="B104" s="25"/>
      <c r="C104" s="25"/>
      <c r="D104" s="25"/>
    </row>
    <row r="105" spans="1:4" x14ac:dyDescent="0.25">
      <c r="A105" s="25"/>
      <c r="B105" s="25"/>
      <c r="C105" s="25"/>
      <c r="D105" s="25"/>
    </row>
    <row r="106" spans="1:4" x14ac:dyDescent="0.25">
      <c r="A106" s="25"/>
      <c r="B106" s="25"/>
      <c r="C106" s="25"/>
      <c r="D106" s="25"/>
    </row>
    <row r="107" spans="1:4" x14ac:dyDescent="0.25">
      <c r="A107" s="25"/>
      <c r="B107" s="25"/>
      <c r="C107" s="25"/>
      <c r="D107" s="25"/>
    </row>
    <row r="108" spans="1:4" x14ac:dyDescent="0.25">
      <c r="A108" s="25"/>
      <c r="B108" s="25"/>
      <c r="C108" s="25"/>
      <c r="D108" s="25"/>
    </row>
    <row r="109" spans="1:4" x14ac:dyDescent="0.25">
      <c r="A109" s="25"/>
      <c r="B109" s="25"/>
      <c r="C109" s="25"/>
      <c r="D109" s="25"/>
    </row>
    <row r="110" spans="1:4" x14ac:dyDescent="0.25">
      <c r="A110" s="25"/>
      <c r="B110" s="25"/>
      <c r="C110" s="25"/>
      <c r="D110" s="25"/>
    </row>
    <row r="111" spans="1:4" x14ac:dyDescent="0.25">
      <c r="A111" s="25"/>
      <c r="B111" s="25"/>
      <c r="C111" s="25"/>
      <c r="D111" s="25"/>
    </row>
    <row r="112" spans="1:4" x14ac:dyDescent="0.25">
      <c r="A112" s="25"/>
      <c r="B112" s="25"/>
      <c r="C112" s="25"/>
      <c r="D112" s="25"/>
    </row>
    <row r="113" spans="1:4" x14ac:dyDescent="0.25">
      <c r="A113" s="25"/>
      <c r="B113" s="25"/>
      <c r="C113" s="25"/>
      <c r="D113" s="25"/>
    </row>
    <row r="114" spans="1:4" x14ac:dyDescent="0.25">
      <c r="A114" s="25"/>
      <c r="B114" s="25"/>
      <c r="C114" s="25"/>
      <c r="D114" s="25"/>
    </row>
    <row r="115" spans="1:4" x14ac:dyDescent="0.25">
      <c r="A115" s="25"/>
      <c r="B115" s="25"/>
      <c r="C115" s="25"/>
      <c r="D115" s="25"/>
    </row>
    <row r="116" spans="1:4" x14ac:dyDescent="0.25">
      <c r="A116" s="25"/>
      <c r="B116" s="25"/>
      <c r="C116" s="25"/>
      <c r="D116" s="25"/>
    </row>
    <row r="117" spans="1:4" x14ac:dyDescent="0.25">
      <c r="A117" s="25"/>
      <c r="B117" s="25"/>
      <c r="C117" s="25"/>
      <c r="D117" s="25"/>
    </row>
    <row r="118" spans="1:4" x14ac:dyDescent="0.25">
      <c r="A118" s="25"/>
      <c r="B118" s="25"/>
      <c r="C118" s="25"/>
      <c r="D118" s="25"/>
    </row>
    <row r="119" spans="1:4" x14ac:dyDescent="0.25">
      <c r="A119" s="25"/>
      <c r="B119" s="25"/>
      <c r="C119" s="25"/>
      <c r="D119" s="25"/>
    </row>
    <row r="120" spans="1:4" x14ac:dyDescent="0.25">
      <c r="A120" s="25"/>
      <c r="B120" s="25"/>
      <c r="C120" s="25"/>
      <c r="D120" s="25"/>
    </row>
    <row r="121" spans="1:4" x14ac:dyDescent="0.25">
      <c r="A121" s="25"/>
      <c r="B121" s="25"/>
      <c r="C121" s="25"/>
      <c r="D121" s="25"/>
    </row>
    <row r="122" spans="1:4" x14ac:dyDescent="0.25">
      <c r="A122" s="25"/>
      <c r="B122" s="25"/>
      <c r="C122" s="25"/>
      <c r="D122" s="25"/>
    </row>
    <row r="123" spans="1:4" x14ac:dyDescent="0.25">
      <c r="A123" s="25"/>
      <c r="B123" s="25"/>
      <c r="C123" s="25"/>
      <c r="D123" s="25"/>
    </row>
    <row r="124" spans="1:4" x14ac:dyDescent="0.25">
      <c r="A124" s="25"/>
      <c r="B124" s="25"/>
      <c r="C124" s="25"/>
      <c r="D124" s="25"/>
    </row>
    <row r="125" spans="1:4" x14ac:dyDescent="0.25">
      <c r="A125" s="25"/>
      <c r="B125" s="25"/>
      <c r="C125" s="25"/>
      <c r="D125" s="25"/>
    </row>
    <row r="126" spans="1:4" x14ac:dyDescent="0.25">
      <c r="A126" s="25"/>
      <c r="B126" s="25"/>
      <c r="C126" s="25"/>
      <c r="D126" s="25"/>
    </row>
    <row r="127" spans="1:4" x14ac:dyDescent="0.25">
      <c r="A127" s="25"/>
      <c r="B127" s="25"/>
      <c r="C127" s="25"/>
      <c r="D127" s="25"/>
    </row>
    <row r="128" spans="1:4" x14ac:dyDescent="0.25">
      <c r="A128" s="25"/>
      <c r="B128" s="25"/>
      <c r="C128" s="25"/>
      <c r="D128" s="25"/>
    </row>
    <row r="129" spans="1:4" x14ac:dyDescent="0.25">
      <c r="A129" s="25"/>
      <c r="B129" s="25"/>
      <c r="C129" s="25"/>
      <c r="D129" s="25"/>
    </row>
    <row r="130" spans="1:4" x14ac:dyDescent="0.25">
      <c r="A130" s="25"/>
      <c r="B130" s="25"/>
      <c r="C130" s="25"/>
      <c r="D130" s="25"/>
    </row>
    <row r="131" spans="1:4" x14ac:dyDescent="0.25">
      <c r="A131" s="25"/>
      <c r="B131" s="25"/>
      <c r="C131" s="25"/>
      <c r="D131" s="25"/>
    </row>
    <row r="132" spans="1:4" x14ac:dyDescent="0.25">
      <c r="A132" s="25"/>
      <c r="B132" s="25"/>
      <c r="C132" s="25"/>
      <c r="D132" s="25"/>
    </row>
    <row r="133" spans="1:4" x14ac:dyDescent="0.25">
      <c r="A133" s="25"/>
      <c r="B133" s="25"/>
      <c r="C133" s="25"/>
      <c r="D133" s="25"/>
    </row>
    <row r="134" spans="1:4" x14ac:dyDescent="0.25">
      <c r="A134" s="25"/>
      <c r="B134" s="25"/>
      <c r="C134" s="25"/>
      <c r="D134" s="25"/>
    </row>
    <row r="135" spans="1:4" x14ac:dyDescent="0.25">
      <c r="A135" s="25"/>
      <c r="B135" s="25"/>
      <c r="C135" s="25"/>
      <c r="D135" s="25"/>
    </row>
    <row r="136" spans="1:4" x14ac:dyDescent="0.25">
      <c r="A136" s="25"/>
      <c r="B136" s="25"/>
      <c r="C136" s="25"/>
      <c r="D136" s="25"/>
    </row>
    <row r="137" spans="1:4" x14ac:dyDescent="0.25">
      <c r="A137" s="25"/>
      <c r="B137" s="25"/>
      <c r="C137" s="25"/>
      <c r="D137" s="25"/>
    </row>
    <row r="138" spans="1:4" x14ac:dyDescent="0.25">
      <c r="A138" s="25"/>
      <c r="B138" s="25"/>
      <c r="C138" s="25"/>
      <c r="D138" s="25"/>
    </row>
    <row r="139" spans="1:4" x14ac:dyDescent="0.25">
      <c r="A139" s="25"/>
      <c r="B139" s="25"/>
      <c r="C139" s="25"/>
      <c r="D139" s="25"/>
    </row>
    <row r="140" spans="1:4" x14ac:dyDescent="0.25">
      <c r="A140" s="25"/>
      <c r="B140" s="25"/>
      <c r="C140" s="25"/>
      <c r="D140" s="25"/>
    </row>
    <row r="141" spans="1:4" x14ac:dyDescent="0.25">
      <c r="A141" s="25"/>
      <c r="B141" s="25"/>
      <c r="C141" s="25"/>
      <c r="D141" s="25"/>
    </row>
    <row r="142" spans="1:4" x14ac:dyDescent="0.25">
      <c r="A142" s="25"/>
      <c r="B142" s="25"/>
      <c r="C142" s="25"/>
      <c r="D142" s="25"/>
    </row>
    <row r="143" spans="1:4" x14ac:dyDescent="0.25">
      <c r="A143" s="25"/>
      <c r="B143" s="25"/>
      <c r="C143" s="25"/>
      <c r="D143" s="25"/>
    </row>
    <row r="144" spans="1:4" x14ac:dyDescent="0.25">
      <c r="A144" s="25"/>
      <c r="B144" s="25"/>
      <c r="C144" s="25"/>
      <c r="D144" s="25"/>
    </row>
    <row r="145" spans="1:4" x14ac:dyDescent="0.25">
      <c r="A145" s="25"/>
      <c r="B145" s="25"/>
      <c r="C145" s="25"/>
      <c r="D145" s="25"/>
    </row>
    <row r="146" spans="1:4" x14ac:dyDescent="0.25">
      <c r="A146" s="25"/>
      <c r="B146" s="25"/>
      <c r="C146" s="25"/>
      <c r="D146" s="25"/>
    </row>
    <row r="147" spans="1:4" x14ac:dyDescent="0.25">
      <c r="A147" s="25"/>
      <c r="B147" s="25"/>
      <c r="C147" s="25"/>
      <c r="D147" s="25"/>
    </row>
    <row r="148" spans="1:4" x14ac:dyDescent="0.25">
      <c r="A148" s="25"/>
      <c r="B148" s="25"/>
      <c r="C148" s="25"/>
      <c r="D148" s="25"/>
    </row>
    <row r="149" spans="1:4" x14ac:dyDescent="0.25">
      <c r="A149" s="25"/>
      <c r="B149" s="25"/>
      <c r="C149" s="25"/>
      <c r="D149" s="25"/>
    </row>
    <row r="150" spans="1:4" x14ac:dyDescent="0.25">
      <c r="A150" s="25"/>
      <c r="B150" s="25"/>
      <c r="C150" s="25"/>
      <c r="D150" s="25"/>
    </row>
    <row r="151" spans="1:4" x14ac:dyDescent="0.25">
      <c r="A151" s="25"/>
      <c r="B151" s="25"/>
      <c r="C151" s="25"/>
      <c r="D151" s="25"/>
    </row>
    <row r="152" spans="1:4" x14ac:dyDescent="0.25">
      <c r="A152" s="25"/>
      <c r="B152" s="25"/>
      <c r="C152" s="25"/>
      <c r="D152" s="25"/>
    </row>
    <row r="153" spans="1:4" x14ac:dyDescent="0.25">
      <c r="A153" s="25"/>
      <c r="B153" s="25"/>
      <c r="C153" s="25"/>
      <c r="D153" s="25"/>
    </row>
    <row r="154" spans="1:4" x14ac:dyDescent="0.25">
      <c r="A154" s="25"/>
      <c r="B154" s="25"/>
      <c r="C154" s="25"/>
      <c r="D154" s="25"/>
    </row>
    <row r="155" spans="1:4" x14ac:dyDescent="0.25">
      <c r="A155" s="25"/>
      <c r="B155" s="25"/>
      <c r="C155" s="25"/>
      <c r="D155" s="25"/>
    </row>
    <row r="156" spans="1:4" x14ac:dyDescent="0.25">
      <c r="A156" s="25"/>
      <c r="B156" s="25"/>
      <c r="C156" s="25"/>
      <c r="D156" s="25"/>
    </row>
    <row r="157" spans="1:4" x14ac:dyDescent="0.25">
      <c r="A157" s="25"/>
      <c r="B157" s="25"/>
      <c r="C157" s="25"/>
      <c r="D157" s="25"/>
    </row>
    <row r="158" spans="1:4" x14ac:dyDescent="0.25">
      <c r="A158" s="25"/>
      <c r="B158" s="25"/>
      <c r="C158" s="25"/>
      <c r="D158" s="25"/>
    </row>
    <row r="159" spans="1:4" x14ac:dyDescent="0.25">
      <c r="A159" s="25"/>
      <c r="B159" s="25"/>
      <c r="C159" s="25"/>
      <c r="D159" s="25"/>
    </row>
    <row r="160" spans="1:4" x14ac:dyDescent="0.25">
      <c r="A160" s="25"/>
      <c r="B160" s="25"/>
      <c r="C160" s="25"/>
      <c r="D160" s="25"/>
    </row>
    <row r="161" spans="1:4" x14ac:dyDescent="0.25">
      <c r="A161" s="25"/>
      <c r="B161" s="25"/>
      <c r="C161" s="25"/>
      <c r="D161" s="25"/>
    </row>
    <row r="162" spans="1:4" x14ac:dyDescent="0.25">
      <c r="A162" s="25"/>
      <c r="B162" s="25"/>
      <c r="C162" s="25"/>
      <c r="D162" s="25"/>
    </row>
    <row r="163" spans="1:4" x14ac:dyDescent="0.25">
      <c r="A163" s="25"/>
      <c r="B163" s="25"/>
      <c r="C163" s="25"/>
      <c r="D163" s="25"/>
    </row>
    <row r="164" spans="1:4" x14ac:dyDescent="0.25">
      <c r="A164" s="25"/>
      <c r="B164" s="25"/>
      <c r="C164" s="25"/>
      <c r="D164" s="25"/>
    </row>
    <row r="165" spans="1:4" x14ac:dyDescent="0.25">
      <c r="A165" s="25"/>
      <c r="B165" s="25"/>
      <c r="C165" s="25"/>
      <c r="D165" s="25"/>
    </row>
    <row r="166" spans="1:4" x14ac:dyDescent="0.25">
      <c r="A166" s="25"/>
      <c r="B166" s="25"/>
      <c r="C166" s="25"/>
      <c r="D166" s="25"/>
    </row>
    <row r="167" spans="1:4" x14ac:dyDescent="0.25">
      <c r="A167" s="25"/>
      <c r="B167" s="25"/>
      <c r="C167" s="25"/>
      <c r="D167" s="25"/>
    </row>
    <row r="168" spans="1:4" x14ac:dyDescent="0.25">
      <c r="A168" s="25"/>
      <c r="B168" s="25"/>
      <c r="C168" s="25"/>
      <c r="D168" s="25"/>
    </row>
    <row r="169" spans="1:4" x14ac:dyDescent="0.25">
      <c r="A169" s="25"/>
      <c r="B169" s="25"/>
      <c r="C169" s="25"/>
      <c r="D169" s="25"/>
    </row>
    <row r="170" spans="1:4" x14ac:dyDescent="0.25">
      <c r="A170" s="25"/>
      <c r="B170" s="25"/>
      <c r="C170" s="25"/>
      <c r="D170" s="25"/>
    </row>
    <row r="171" spans="1:4" x14ac:dyDescent="0.25">
      <c r="A171" s="25"/>
      <c r="B171" s="25"/>
      <c r="C171" s="25"/>
      <c r="D171" s="25"/>
    </row>
    <row r="172" spans="1:4" x14ac:dyDescent="0.25">
      <c r="A172" s="25"/>
      <c r="B172" s="25"/>
      <c r="C172" s="25"/>
      <c r="D172" s="25"/>
    </row>
    <row r="173" spans="1:4" x14ac:dyDescent="0.25">
      <c r="A173" s="25"/>
      <c r="B173" s="25"/>
      <c r="C173" s="25"/>
      <c r="D173" s="25"/>
    </row>
    <row r="174" spans="1:4" x14ac:dyDescent="0.25">
      <c r="A174" s="25"/>
      <c r="B174" s="25"/>
      <c r="C174" s="25"/>
      <c r="D174" s="25"/>
    </row>
    <row r="175" spans="1:4" x14ac:dyDescent="0.25">
      <c r="A175" s="25"/>
      <c r="B175" s="25"/>
      <c r="C175" s="25"/>
      <c r="D175" s="25"/>
    </row>
    <row r="176" spans="1:4" x14ac:dyDescent="0.25">
      <c r="A176" s="25"/>
      <c r="B176" s="25"/>
      <c r="C176" s="25"/>
      <c r="D176" s="25"/>
    </row>
    <row r="177" spans="1:4" x14ac:dyDescent="0.25">
      <c r="A177" s="25"/>
      <c r="B177" s="25"/>
      <c r="C177" s="25"/>
      <c r="D177" s="25"/>
    </row>
    <row r="178" spans="1:4" x14ac:dyDescent="0.25">
      <c r="A178" s="25"/>
      <c r="B178" s="25"/>
      <c r="C178" s="25"/>
      <c r="D178" s="25"/>
    </row>
    <row r="179" spans="1:4" x14ac:dyDescent="0.25">
      <c r="A179" s="25"/>
      <c r="B179" s="25"/>
      <c r="C179" s="25"/>
      <c r="D179" s="25"/>
    </row>
    <row r="180" spans="1:4" x14ac:dyDescent="0.25">
      <c r="A180" s="25"/>
      <c r="B180" s="25"/>
      <c r="C180" s="25"/>
      <c r="D180" s="25"/>
    </row>
    <row r="181" spans="1:4" x14ac:dyDescent="0.25">
      <c r="A181" s="25"/>
      <c r="B181" s="25"/>
      <c r="C181" s="25"/>
      <c r="D181" s="25"/>
    </row>
    <row r="182" spans="1:4" x14ac:dyDescent="0.25">
      <c r="A182" s="25"/>
      <c r="B182" s="25"/>
      <c r="C182" s="25"/>
      <c r="D182" s="25"/>
    </row>
    <row r="183" spans="1:4" x14ac:dyDescent="0.25">
      <c r="A183" s="25"/>
      <c r="B183" s="25"/>
      <c r="C183" s="25"/>
      <c r="D183" s="25"/>
    </row>
    <row r="184" spans="1:4" x14ac:dyDescent="0.25">
      <c r="A184" s="25"/>
      <c r="B184" s="25"/>
      <c r="C184" s="25"/>
      <c r="D184" s="25"/>
    </row>
    <row r="185" spans="1:4" x14ac:dyDescent="0.25">
      <c r="A185" s="25"/>
      <c r="B185" s="25"/>
      <c r="C185" s="25"/>
      <c r="D185" s="25"/>
    </row>
    <row r="186" spans="1:4" x14ac:dyDescent="0.25">
      <c r="A186" s="25"/>
      <c r="B186" s="25"/>
      <c r="C186" s="25"/>
      <c r="D186" s="25"/>
    </row>
    <row r="187" spans="1:4" x14ac:dyDescent="0.25">
      <c r="A187" s="25"/>
      <c r="B187" s="25"/>
      <c r="C187" s="25"/>
      <c r="D187" s="25"/>
    </row>
    <row r="188" spans="1:4" x14ac:dyDescent="0.25">
      <c r="A188" s="25"/>
      <c r="B188" s="25"/>
      <c r="C188" s="25"/>
      <c r="D188" s="25"/>
    </row>
    <row r="189" spans="1:4" x14ac:dyDescent="0.25">
      <c r="A189" s="25"/>
      <c r="B189" s="25"/>
      <c r="C189" s="25"/>
      <c r="D189" s="25"/>
    </row>
    <row r="190" spans="1:4" x14ac:dyDescent="0.25">
      <c r="A190" s="25"/>
      <c r="B190" s="25"/>
      <c r="C190" s="25"/>
      <c r="D190" s="25"/>
    </row>
    <row r="191" spans="1:4" x14ac:dyDescent="0.25">
      <c r="A191" s="25"/>
      <c r="B191" s="25"/>
      <c r="C191" s="25"/>
      <c r="D191" s="25"/>
    </row>
    <row r="192" spans="1:4" x14ac:dyDescent="0.25">
      <c r="A192" s="25"/>
      <c r="B192" s="25"/>
      <c r="C192" s="25"/>
      <c r="D192" s="25"/>
    </row>
    <row r="193" spans="1:4" x14ac:dyDescent="0.25">
      <c r="A193" s="25"/>
      <c r="B193" s="25"/>
      <c r="C193" s="25"/>
      <c r="D193" s="25"/>
    </row>
    <row r="194" spans="1:4" x14ac:dyDescent="0.25">
      <c r="A194" s="25"/>
      <c r="B194" s="25"/>
      <c r="C194" s="25"/>
      <c r="D194" s="25"/>
    </row>
    <row r="195" spans="1:4" x14ac:dyDescent="0.25">
      <c r="A195" s="25"/>
      <c r="B195" s="25"/>
      <c r="C195" s="25"/>
      <c r="D195" s="25"/>
    </row>
    <row r="196" spans="1:4" x14ac:dyDescent="0.25">
      <c r="A196" s="25"/>
      <c r="B196" s="25"/>
      <c r="C196" s="25"/>
      <c r="D196" s="25"/>
    </row>
    <row r="197" spans="1:4" x14ac:dyDescent="0.25">
      <c r="A197" s="25"/>
      <c r="B197" s="25"/>
      <c r="C197" s="25"/>
      <c r="D197" s="25"/>
    </row>
    <row r="198" spans="1:4" x14ac:dyDescent="0.25">
      <c r="A198" s="25"/>
      <c r="B198" s="25"/>
      <c r="C198" s="25"/>
      <c r="D198" s="25"/>
    </row>
    <row r="199" spans="1:4" x14ac:dyDescent="0.25">
      <c r="A199" s="25"/>
      <c r="B199" s="25"/>
      <c r="C199" s="25"/>
      <c r="D199" s="25"/>
    </row>
    <row r="200" spans="1:4" x14ac:dyDescent="0.25">
      <c r="A200" s="25"/>
      <c r="B200" s="25"/>
      <c r="C200" s="25"/>
      <c r="D200" s="25"/>
    </row>
    <row r="201" spans="1:4" x14ac:dyDescent="0.25">
      <c r="A201" s="25"/>
      <c r="B201" s="25"/>
      <c r="C201" s="25"/>
      <c r="D201" s="25"/>
    </row>
    <row r="202" spans="1:4" x14ac:dyDescent="0.25">
      <c r="A202" s="25"/>
      <c r="B202" s="25"/>
      <c r="C202" s="25"/>
      <c r="D202" s="25"/>
    </row>
    <row r="203" spans="1:4" x14ac:dyDescent="0.25">
      <c r="A203" s="25"/>
      <c r="B203" s="25"/>
      <c r="C203" s="25"/>
      <c r="D203" s="25"/>
    </row>
    <row r="204" spans="1:4" x14ac:dyDescent="0.25">
      <c r="A204" s="25"/>
      <c r="B204" s="25"/>
      <c r="C204" s="25"/>
      <c r="D204" s="25"/>
    </row>
    <row r="205" spans="1:4" x14ac:dyDescent="0.25">
      <c r="A205" s="25"/>
      <c r="B205" s="25"/>
      <c r="C205" s="25"/>
      <c r="D205" s="25"/>
    </row>
    <row r="206" spans="1:4" x14ac:dyDescent="0.25">
      <c r="A206" s="25"/>
      <c r="B206" s="25"/>
      <c r="C206" s="25"/>
      <c r="D206" s="25"/>
    </row>
    <row r="207" spans="1:4" x14ac:dyDescent="0.25">
      <c r="A207" s="25"/>
      <c r="B207" s="25"/>
      <c r="C207" s="25"/>
      <c r="D207" s="25"/>
    </row>
    <row r="208" spans="1:4" x14ac:dyDescent="0.25">
      <c r="A208" s="25"/>
      <c r="B208" s="25"/>
      <c r="C208" s="25"/>
      <c r="D208" s="25"/>
    </row>
    <row r="209" spans="1:4" x14ac:dyDescent="0.25">
      <c r="A209" s="25"/>
      <c r="B209" s="25"/>
      <c r="C209" s="25"/>
      <c r="D209" s="25"/>
    </row>
    <row r="210" spans="1:4" x14ac:dyDescent="0.25">
      <c r="A210" s="25"/>
      <c r="B210" s="25"/>
      <c r="C210" s="25"/>
      <c r="D210" s="25"/>
    </row>
    <row r="211" spans="1:4" x14ac:dyDescent="0.25">
      <c r="A211" s="25"/>
      <c r="B211" s="25"/>
      <c r="C211" s="25"/>
      <c r="D211" s="25"/>
    </row>
    <row r="212" spans="1:4" x14ac:dyDescent="0.25">
      <c r="A212" s="25"/>
      <c r="B212" s="25"/>
      <c r="C212" s="25"/>
      <c r="D212" s="25"/>
    </row>
    <row r="213" spans="1:4" x14ac:dyDescent="0.25">
      <c r="A213" s="25"/>
      <c r="B213" s="25"/>
      <c r="C213" s="25"/>
      <c r="D213" s="25"/>
    </row>
    <row r="214" spans="1:4" x14ac:dyDescent="0.25">
      <c r="A214" s="25"/>
      <c r="B214" s="25"/>
      <c r="C214" s="25"/>
      <c r="D214" s="25"/>
    </row>
    <row r="215" spans="1:4" x14ac:dyDescent="0.25">
      <c r="A215" s="25"/>
      <c r="B215" s="25"/>
      <c r="C215" s="25"/>
      <c r="D215" s="25"/>
    </row>
    <row r="216" spans="1:4" x14ac:dyDescent="0.25">
      <c r="A216" s="25"/>
      <c r="B216" s="25"/>
      <c r="C216" s="25"/>
      <c r="D216" s="25"/>
    </row>
    <row r="217" spans="1:4" x14ac:dyDescent="0.25">
      <c r="A217" s="25"/>
      <c r="B217" s="25"/>
      <c r="C217" s="25"/>
      <c r="D217" s="25"/>
    </row>
    <row r="218" spans="1:4" x14ac:dyDescent="0.25">
      <c r="A218" s="25"/>
      <c r="B218" s="25"/>
      <c r="C218" s="25"/>
      <c r="D218" s="25"/>
    </row>
    <row r="219" spans="1:4" x14ac:dyDescent="0.25">
      <c r="A219" s="25"/>
      <c r="B219" s="25"/>
      <c r="C219" s="25"/>
      <c r="D219" s="25"/>
    </row>
    <row r="220" spans="1:4" x14ac:dyDescent="0.25">
      <c r="A220" s="25"/>
      <c r="B220" s="25"/>
      <c r="C220" s="25"/>
      <c r="D220" s="25"/>
    </row>
    <row r="221" spans="1:4" x14ac:dyDescent="0.25">
      <c r="A221" s="25"/>
      <c r="B221" s="25"/>
      <c r="C221" s="25"/>
      <c r="D221" s="25"/>
    </row>
    <row r="222" spans="1:4" x14ac:dyDescent="0.25">
      <c r="A222" s="25"/>
      <c r="B222" s="25"/>
      <c r="C222" s="25"/>
      <c r="D222" s="25"/>
    </row>
    <row r="223" spans="1:4" x14ac:dyDescent="0.25">
      <c r="A223" s="25"/>
      <c r="B223" s="25"/>
      <c r="C223" s="25"/>
      <c r="D223" s="25"/>
    </row>
    <row r="224" spans="1:4" x14ac:dyDescent="0.25">
      <c r="A224" s="25"/>
      <c r="B224" s="25"/>
      <c r="C224" s="25"/>
      <c r="D224" s="25"/>
    </row>
    <row r="225" spans="1:4" x14ac:dyDescent="0.25">
      <c r="A225" s="25"/>
      <c r="B225" s="25"/>
      <c r="C225" s="25"/>
      <c r="D225" s="25"/>
    </row>
    <row r="226" spans="1:4" x14ac:dyDescent="0.25">
      <c r="A226" s="25"/>
      <c r="B226" s="25"/>
      <c r="C226" s="25"/>
      <c r="D226" s="25"/>
    </row>
    <row r="227" spans="1:4" x14ac:dyDescent="0.25">
      <c r="A227" s="25"/>
      <c r="B227" s="25"/>
      <c r="C227" s="25"/>
      <c r="D227" s="25"/>
    </row>
    <row r="228" spans="1:4" x14ac:dyDescent="0.25">
      <c r="A228" s="25"/>
      <c r="B228" s="25"/>
      <c r="C228" s="25"/>
      <c r="D228" s="25"/>
    </row>
    <row r="229" spans="1:4" x14ac:dyDescent="0.25">
      <c r="A229" s="25"/>
      <c r="B229" s="25"/>
      <c r="C229" s="25"/>
      <c r="D229" s="25"/>
    </row>
    <row r="230" spans="1:4" x14ac:dyDescent="0.25">
      <c r="A230" s="25"/>
      <c r="B230" s="25"/>
      <c r="C230" s="25"/>
      <c r="D230" s="25"/>
    </row>
    <row r="231" spans="1:4" x14ac:dyDescent="0.25">
      <c r="A231" s="25"/>
      <c r="B231" s="25"/>
      <c r="C231" s="25"/>
      <c r="D231" s="25"/>
    </row>
    <row r="232" spans="1:4" x14ac:dyDescent="0.25">
      <c r="A232" s="25"/>
      <c r="B232" s="25"/>
      <c r="C232" s="25"/>
      <c r="D232" s="25"/>
    </row>
    <row r="233" spans="1:4" x14ac:dyDescent="0.25">
      <c r="A233" s="25"/>
      <c r="B233" s="25"/>
      <c r="C233" s="25"/>
      <c r="D233" s="25"/>
    </row>
    <row r="234" spans="1:4" x14ac:dyDescent="0.25">
      <c r="A234" s="25"/>
      <c r="B234" s="25"/>
      <c r="C234" s="25"/>
      <c r="D234" s="25"/>
    </row>
    <row r="235" spans="1:4" x14ac:dyDescent="0.25">
      <c r="A235" s="25"/>
      <c r="B235" s="25"/>
      <c r="C235" s="25"/>
      <c r="D235" s="25"/>
    </row>
    <row r="236" spans="1:4" x14ac:dyDescent="0.25">
      <c r="A236" s="25"/>
      <c r="B236" s="25"/>
      <c r="C236" s="25"/>
      <c r="D236" s="25"/>
    </row>
    <row r="237" spans="1:4" x14ac:dyDescent="0.25">
      <c r="A237" s="25"/>
      <c r="B237" s="25"/>
      <c r="C237" s="25"/>
      <c r="D237" s="25"/>
    </row>
    <row r="238" spans="1:4" x14ac:dyDescent="0.25">
      <c r="A238" s="25"/>
      <c r="B238" s="25"/>
      <c r="C238" s="25"/>
      <c r="D238" s="25"/>
    </row>
    <row r="239" spans="1:4" x14ac:dyDescent="0.25">
      <c r="A239" s="25"/>
      <c r="B239" s="25"/>
      <c r="C239" s="25"/>
      <c r="D239" s="25"/>
    </row>
    <row r="240" spans="1:4" x14ac:dyDescent="0.25">
      <c r="A240" s="25"/>
      <c r="B240" s="25"/>
      <c r="C240" s="25"/>
      <c r="D240" s="25"/>
    </row>
    <row r="241" spans="1:4" x14ac:dyDescent="0.25">
      <c r="A241" s="25"/>
      <c r="B241" s="25"/>
      <c r="C241" s="25"/>
      <c r="D241" s="25"/>
    </row>
    <row r="242" spans="1:4" x14ac:dyDescent="0.25">
      <c r="A242" s="25"/>
      <c r="B242" s="25"/>
      <c r="C242" s="25"/>
      <c r="D242" s="25"/>
    </row>
    <row r="243" spans="1:4" x14ac:dyDescent="0.25">
      <c r="A243" s="25"/>
      <c r="B243" s="25"/>
      <c r="C243" s="25"/>
      <c r="D243" s="25"/>
    </row>
    <row r="244" spans="1:4" x14ac:dyDescent="0.25">
      <c r="A244" s="25"/>
      <c r="B244" s="25"/>
      <c r="C244" s="25"/>
      <c r="D244" s="25"/>
    </row>
    <row r="245" spans="1:4" x14ac:dyDescent="0.25">
      <c r="A245" s="25"/>
      <c r="B245" s="25"/>
      <c r="C245" s="25"/>
      <c r="D245" s="25"/>
    </row>
    <row r="246" spans="1:4" x14ac:dyDescent="0.25">
      <c r="A246" s="25"/>
      <c r="B246" s="25"/>
      <c r="C246" s="25"/>
      <c r="D246" s="25"/>
    </row>
    <row r="247" spans="1:4" x14ac:dyDescent="0.25">
      <c r="A247" s="25"/>
      <c r="B247" s="25"/>
      <c r="C247" s="25"/>
      <c r="D247" s="25"/>
    </row>
    <row r="248" spans="1:4" x14ac:dyDescent="0.25">
      <c r="A248" s="25"/>
      <c r="B248" s="25"/>
      <c r="C248" s="25"/>
      <c r="D248" s="25"/>
    </row>
    <row r="249" spans="1:4" x14ac:dyDescent="0.25">
      <c r="A249" s="25"/>
      <c r="B249" s="25"/>
      <c r="C249" s="25"/>
      <c r="D249" s="25"/>
    </row>
    <row r="250" spans="1:4" x14ac:dyDescent="0.25">
      <c r="A250" s="25"/>
      <c r="B250" s="25"/>
      <c r="C250" s="25"/>
      <c r="D250" s="25"/>
    </row>
    <row r="251" spans="1:4" x14ac:dyDescent="0.25">
      <c r="A251" s="25"/>
      <c r="B251" s="25"/>
      <c r="C251" s="25"/>
      <c r="D251" s="25"/>
    </row>
    <row r="252" spans="1:4" x14ac:dyDescent="0.25">
      <c r="A252" s="25"/>
      <c r="B252" s="25"/>
      <c r="C252" s="25"/>
      <c r="D252" s="25"/>
    </row>
    <row r="253" spans="1:4" x14ac:dyDescent="0.25">
      <c r="A253" s="25"/>
      <c r="B253" s="25"/>
      <c r="C253" s="25"/>
      <c r="D253" s="25"/>
    </row>
    <row r="254" spans="1:4" x14ac:dyDescent="0.25">
      <c r="A254" s="25"/>
      <c r="B254" s="25"/>
      <c r="C254" s="25"/>
      <c r="D254" s="25"/>
    </row>
    <row r="255" spans="1:4" x14ac:dyDescent="0.25">
      <c r="A255" s="25"/>
      <c r="B255" s="25"/>
      <c r="C255" s="25"/>
      <c r="D255" s="25"/>
    </row>
    <row r="256" spans="1:4" x14ac:dyDescent="0.25">
      <c r="A256" s="25"/>
      <c r="B256" s="25"/>
      <c r="C256" s="25"/>
      <c r="D256" s="25"/>
    </row>
    <row r="257" spans="1:4" x14ac:dyDescent="0.25">
      <c r="A257" s="25"/>
      <c r="B257" s="25"/>
      <c r="C257" s="25"/>
      <c r="D257" s="25"/>
    </row>
    <row r="258" spans="1:4" x14ac:dyDescent="0.25">
      <c r="A258" s="25"/>
      <c r="B258" s="25"/>
      <c r="C258" s="25"/>
      <c r="D258" s="25"/>
    </row>
    <row r="259" spans="1:4" x14ac:dyDescent="0.25">
      <c r="A259" s="25"/>
      <c r="B259" s="25"/>
      <c r="C259" s="25"/>
      <c r="D259" s="25"/>
    </row>
    <row r="260" spans="1:4" x14ac:dyDescent="0.25">
      <c r="A260" s="25"/>
      <c r="B260" s="25"/>
      <c r="C260" s="25"/>
      <c r="D260" s="25"/>
    </row>
    <row r="261" spans="1:4" x14ac:dyDescent="0.25">
      <c r="A261" s="25"/>
      <c r="B261" s="25"/>
      <c r="C261" s="25"/>
      <c r="D261" s="25"/>
    </row>
    <row r="262" spans="1:4" x14ac:dyDescent="0.25">
      <c r="A262" s="25"/>
      <c r="B262" s="25"/>
      <c r="C262" s="25"/>
      <c r="D262" s="25"/>
    </row>
    <row r="263" spans="1:4" x14ac:dyDescent="0.25">
      <c r="A263" s="25"/>
      <c r="B263" s="25"/>
      <c r="C263" s="25"/>
      <c r="D263" s="25"/>
    </row>
    <row r="264" spans="1:4" x14ac:dyDescent="0.25">
      <c r="A264" s="25"/>
      <c r="B264" s="25"/>
      <c r="C264" s="25"/>
      <c r="D264" s="25"/>
    </row>
    <row r="265" spans="1:4" x14ac:dyDescent="0.25">
      <c r="A265" s="25"/>
      <c r="B265" s="25"/>
      <c r="C265" s="25"/>
      <c r="D265" s="25"/>
    </row>
    <row r="266" spans="1:4" x14ac:dyDescent="0.25">
      <c r="A266" s="25"/>
      <c r="B266" s="25"/>
      <c r="C266" s="25"/>
      <c r="D266" s="25"/>
    </row>
    <row r="267" spans="1:4" x14ac:dyDescent="0.25">
      <c r="A267" s="25"/>
      <c r="B267" s="25"/>
      <c r="C267" s="25"/>
      <c r="D267" s="25"/>
    </row>
    <row r="268" spans="1:4" x14ac:dyDescent="0.25">
      <c r="A268" s="25"/>
      <c r="B268" s="25"/>
      <c r="C268" s="25"/>
      <c r="D268" s="25"/>
    </row>
    <row r="269" spans="1:4" x14ac:dyDescent="0.25">
      <c r="A269" s="25"/>
      <c r="B269" s="25"/>
      <c r="C269" s="25"/>
      <c r="D269" s="25"/>
    </row>
    <row r="270" spans="1:4" x14ac:dyDescent="0.25">
      <c r="A270" s="25"/>
      <c r="B270" s="25"/>
      <c r="C270" s="25"/>
      <c r="D270" s="25"/>
    </row>
    <row r="271" spans="1:4" x14ac:dyDescent="0.25">
      <c r="A271" s="25"/>
      <c r="B271" s="25"/>
      <c r="C271" s="25"/>
      <c r="D271" s="25"/>
    </row>
    <row r="272" spans="1:4" x14ac:dyDescent="0.25">
      <c r="A272" s="25"/>
      <c r="B272" s="25"/>
      <c r="C272" s="25"/>
      <c r="D272" s="25"/>
    </row>
    <row r="273" spans="1:4" x14ac:dyDescent="0.25">
      <c r="A273" s="25"/>
      <c r="B273" s="25"/>
      <c r="C273" s="25"/>
      <c r="D273" s="25"/>
    </row>
    <row r="274" spans="1:4" x14ac:dyDescent="0.25">
      <c r="A274" s="25"/>
      <c r="B274" s="25"/>
      <c r="C274" s="25"/>
      <c r="D274" s="25"/>
    </row>
    <row r="275" spans="1:4" x14ac:dyDescent="0.25">
      <c r="A275" s="25"/>
      <c r="B275" s="25"/>
      <c r="C275" s="25"/>
      <c r="D275" s="25"/>
    </row>
    <row r="276" spans="1:4" x14ac:dyDescent="0.25">
      <c r="A276" s="25"/>
      <c r="B276" s="25"/>
      <c r="C276" s="25"/>
      <c r="D276" s="25"/>
    </row>
    <row r="277" spans="1:4" x14ac:dyDescent="0.25">
      <c r="A277" s="25"/>
      <c r="B277" s="25"/>
      <c r="C277" s="25"/>
      <c r="D277" s="25"/>
    </row>
    <row r="278" spans="1:4" x14ac:dyDescent="0.25">
      <c r="A278" s="25"/>
      <c r="B278" s="25"/>
      <c r="C278" s="25"/>
      <c r="D278" s="25"/>
    </row>
    <row r="279" spans="1:4" x14ac:dyDescent="0.25">
      <c r="A279" s="25"/>
      <c r="B279" s="25"/>
      <c r="C279" s="25"/>
      <c r="D279" s="25"/>
    </row>
    <row r="280" spans="1:4" x14ac:dyDescent="0.25">
      <c r="A280" s="25"/>
      <c r="B280" s="25"/>
      <c r="C280" s="25"/>
      <c r="D280" s="25"/>
    </row>
    <row r="281" spans="1:4" x14ac:dyDescent="0.25">
      <c r="A281" s="25"/>
      <c r="B281" s="25"/>
      <c r="C281" s="25"/>
      <c r="D281" s="25"/>
    </row>
    <row r="282" spans="1:4" x14ac:dyDescent="0.25">
      <c r="A282" s="25"/>
      <c r="B282" s="25"/>
      <c r="C282" s="25"/>
      <c r="D282" s="25"/>
    </row>
    <row r="283" spans="1:4" x14ac:dyDescent="0.25">
      <c r="A283" s="25"/>
      <c r="B283" s="25"/>
      <c r="C283" s="25"/>
      <c r="D283" s="25"/>
    </row>
    <row r="284" spans="1:4" x14ac:dyDescent="0.25">
      <c r="A284" s="25"/>
      <c r="B284" s="25"/>
      <c r="C284" s="25"/>
      <c r="D284" s="25"/>
    </row>
    <row r="285" spans="1:4" x14ac:dyDescent="0.25">
      <c r="A285" s="25"/>
      <c r="B285" s="25"/>
      <c r="C285" s="25"/>
      <c r="D285" s="25"/>
    </row>
    <row r="286" spans="1:4" x14ac:dyDescent="0.25">
      <c r="A286" s="25"/>
      <c r="B286" s="25"/>
      <c r="C286" s="25"/>
      <c r="D286" s="25"/>
    </row>
    <row r="287" spans="1:4" x14ac:dyDescent="0.25">
      <c r="A287" s="25"/>
      <c r="B287" s="25"/>
      <c r="C287" s="25"/>
      <c r="D287" s="25"/>
    </row>
    <row r="288" spans="1:4" x14ac:dyDescent="0.25">
      <c r="A288" s="25"/>
      <c r="B288" s="25"/>
      <c r="C288" s="25"/>
      <c r="D288" s="25"/>
    </row>
    <row r="289" spans="1:4" x14ac:dyDescent="0.25">
      <c r="A289" s="25"/>
      <c r="B289" s="25"/>
      <c r="C289" s="25"/>
      <c r="D289" s="25"/>
    </row>
    <row r="290" spans="1:4" x14ac:dyDescent="0.25">
      <c r="A290" s="25"/>
      <c r="B290" s="25"/>
      <c r="C290" s="25"/>
      <c r="D290" s="25"/>
    </row>
    <row r="291" spans="1:4" x14ac:dyDescent="0.25">
      <c r="A291" s="25"/>
      <c r="B291" s="25"/>
      <c r="C291" s="25"/>
      <c r="D291" s="25"/>
    </row>
    <row r="292" spans="1:4" x14ac:dyDescent="0.25">
      <c r="A292" s="25"/>
      <c r="B292" s="25"/>
      <c r="C292" s="25"/>
      <c r="D292" s="25"/>
    </row>
    <row r="293" spans="1:4" x14ac:dyDescent="0.25">
      <c r="A293" s="25"/>
      <c r="B293" s="25"/>
      <c r="C293" s="25"/>
      <c r="D293" s="25"/>
    </row>
    <row r="294" spans="1:4" x14ac:dyDescent="0.25">
      <c r="A294" s="25"/>
      <c r="B294" s="25"/>
      <c r="C294" s="25"/>
      <c r="D294" s="25"/>
    </row>
    <row r="295" spans="1:4" x14ac:dyDescent="0.25">
      <c r="A295" s="25"/>
      <c r="B295" s="25"/>
      <c r="C295" s="25"/>
      <c r="D295" s="25"/>
    </row>
    <row r="296" spans="1:4" x14ac:dyDescent="0.25">
      <c r="A296" s="25"/>
      <c r="B296" s="25"/>
      <c r="C296" s="25"/>
      <c r="D296" s="25"/>
    </row>
    <row r="297" spans="1:4" x14ac:dyDescent="0.25">
      <c r="A297" s="25"/>
      <c r="B297" s="25"/>
      <c r="C297" s="25"/>
      <c r="D297" s="25"/>
    </row>
    <row r="298" spans="1:4" x14ac:dyDescent="0.25">
      <c r="A298" s="25"/>
      <c r="B298" s="25"/>
      <c r="C298" s="25"/>
      <c r="D298" s="25"/>
    </row>
    <row r="299" spans="1:4" x14ac:dyDescent="0.25">
      <c r="A299" s="25"/>
      <c r="B299" s="25"/>
      <c r="C299" s="25"/>
      <c r="D299" s="25"/>
    </row>
    <row r="300" spans="1:4" x14ac:dyDescent="0.25">
      <c r="A300" s="25"/>
      <c r="B300" s="25"/>
      <c r="C300" s="25"/>
      <c r="D300" s="25"/>
    </row>
    <row r="301" spans="1:4" x14ac:dyDescent="0.25">
      <c r="A301" s="25"/>
      <c r="B301" s="25"/>
      <c r="C301" s="25"/>
      <c r="D301" s="25"/>
    </row>
    <row r="302" spans="1:4" x14ac:dyDescent="0.25">
      <c r="A302" s="25"/>
      <c r="B302" s="25"/>
      <c r="C302" s="25"/>
      <c r="D302" s="25"/>
    </row>
    <row r="303" spans="1:4" x14ac:dyDescent="0.25">
      <c r="A303" s="25"/>
      <c r="B303" s="25"/>
      <c r="C303" s="25"/>
      <c r="D303" s="25"/>
    </row>
    <row r="304" spans="1:4" x14ac:dyDescent="0.25">
      <c r="A304" s="25"/>
      <c r="B304" s="25"/>
      <c r="C304" s="25"/>
      <c r="D304" s="25"/>
    </row>
    <row r="305" spans="1:4" x14ac:dyDescent="0.25">
      <c r="A305" s="25"/>
      <c r="B305" s="25"/>
      <c r="C305" s="25"/>
      <c r="D305" s="25"/>
    </row>
    <row r="306" spans="1:4" x14ac:dyDescent="0.25">
      <c r="A306" s="25"/>
      <c r="B306" s="25"/>
      <c r="C306" s="25"/>
      <c r="D306" s="25"/>
    </row>
    <row r="307" spans="1:4" x14ac:dyDescent="0.25">
      <c r="A307" s="25"/>
      <c r="B307" s="25"/>
      <c r="C307" s="25"/>
      <c r="D307" s="25"/>
    </row>
    <row r="308" spans="1:4" x14ac:dyDescent="0.25">
      <c r="A308" s="25"/>
      <c r="B308" s="25"/>
      <c r="C308" s="25"/>
      <c r="D308" s="25"/>
    </row>
    <row r="309" spans="1:4" x14ac:dyDescent="0.25">
      <c r="A309" s="25"/>
      <c r="B309" s="25"/>
      <c r="C309" s="25"/>
      <c r="D309" s="25"/>
    </row>
    <row r="310" spans="1:4" x14ac:dyDescent="0.25">
      <c r="A310" s="25"/>
      <c r="B310" s="25"/>
      <c r="C310" s="25"/>
      <c r="D310" s="25"/>
    </row>
    <row r="311" spans="1:4" x14ac:dyDescent="0.25">
      <c r="A311" s="25"/>
      <c r="B311" s="25"/>
      <c r="C311" s="25"/>
      <c r="D311" s="25"/>
    </row>
    <row r="312" spans="1:4" x14ac:dyDescent="0.25">
      <c r="A312" s="25"/>
      <c r="B312" s="25"/>
      <c r="C312" s="25"/>
      <c r="D312" s="25"/>
    </row>
    <row r="313" spans="1:4" x14ac:dyDescent="0.25">
      <c r="A313" s="25"/>
      <c r="B313" s="25"/>
      <c r="C313" s="25"/>
      <c r="D313" s="25"/>
    </row>
    <row r="314" spans="1:4" x14ac:dyDescent="0.25">
      <c r="A314" s="25"/>
      <c r="B314" s="25"/>
      <c r="C314" s="25"/>
      <c r="D314" s="25"/>
    </row>
    <row r="315" spans="1:4" x14ac:dyDescent="0.25">
      <c r="A315" s="25"/>
      <c r="B315" s="25"/>
      <c r="C315" s="25"/>
      <c r="D315" s="25"/>
    </row>
    <row r="316" spans="1:4" x14ac:dyDescent="0.25">
      <c r="A316" s="25"/>
      <c r="B316" s="25"/>
      <c r="C316" s="25"/>
      <c r="D316" s="25"/>
    </row>
    <row r="317" spans="1:4" x14ac:dyDescent="0.25">
      <c r="A317" s="25"/>
      <c r="B317" s="25"/>
      <c r="C317" s="25"/>
      <c r="D317" s="25"/>
    </row>
    <row r="318" spans="1:4" x14ac:dyDescent="0.25">
      <c r="A318" s="25"/>
      <c r="B318" s="25"/>
      <c r="C318" s="25"/>
      <c r="D318" s="25"/>
    </row>
    <row r="319" spans="1:4" x14ac:dyDescent="0.25">
      <c r="A319" s="25"/>
      <c r="B319" s="25"/>
      <c r="C319" s="25"/>
      <c r="D319" s="25"/>
    </row>
    <row r="320" spans="1:4" x14ac:dyDescent="0.25">
      <c r="A320" s="25"/>
      <c r="B320" s="25"/>
      <c r="C320" s="25"/>
      <c r="D320" s="25"/>
    </row>
    <row r="321" spans="1:4" x14ac:dyDescent="0.25">
      <c r="A321" s="25"/>
      <c r="B321" s="25"/>
      <c r="C321" s="25"/>
      <c r="D321" s="25"/>
    </row>
    <row r="322" spans="1:4" x14ac:dyDescent="0.25">
      <c r="A322" s="25"/>
      <c r="B322" s="25"/>
      <c r="C322" s="25"/>
      <c r="D322" s="25"/>
    </row>
    <row r="323" spans="1:4" x14ac:dyDescent="0.25">
      <c r="A323" s="25"/>
      <c r="B323" s="25"/>
      <c r="C323" s="25"/>
      <c r="D323" s="25"/>
    </row>
    <row r="324" spans="1:4" x14ac:dyDescent="0.25">
      <c r="A324" s="25"/>
      <c r="B324" s="25"/>
      <c r="C324" s="25"/>
      <c r="D324" s="25"/>
    </row>
    <row r="325" spans="1:4" x14ac:dyDescent="0.25">
      <c r="A325" s="25"/>
      <c r="B325" s="25"/>
      <c r="C325" s="25"/>
      <c r="D325" s="25"/>
    </row>
    <row r="326" spans="1:4" x14ac:dyDescent="0.25">
      <c r="A326" s="25"/>
      <c r="B326" s="25"/>
      <c r="C326" s="25"/>
      <c r="D326" s="25"/>
    </row>
    <row r="327" spans="1:4" x14ac:dyDescent="0.25">
      <c r="A327" s="25"/>
      <c r="B327" s="25"/>
      <c r="C327" s="25"/>
      <c r="D327" s="25"/>
    </row>
    <row r="328" spans="1:4" x14ac:dyDescent="0.25">
      <c r="A328" s="25"/>
      <c r="B328" s="25"/>
      <c r="C328" s="25"/>
      <c r="D328" s="25"/>
    </row>
    <row r="329" spans="1:4" x14ac:dyDescent="0.25">
      <c r="A329" s="25"/>
      <c r="B329" s="25"/>
      <c r="C329" s="25"/>
      <c r="D329" s="25"/>
    </row>
    <row r="330" spans="1:4" x14ac:dyDescent="0.25">
      <c r="A330" s="25"/>
      <c r="B330" s="25"/>
      <c r="C330" s="25"/>
      <c r="D330" s="25"/>
    </row>
    <row r="331" spans="1:4" x14ac:dyDescent="0.25">
      <c r="A331" s="25"/>
      <c r="B331" s="25"/>
      <c r="C331" s="25"/>
      <c r="D331" s="25"/>
    </row>
    <row r="332" spans="1:4" x14ac:dyDescent="0.25">
      <c r="A332" s="25"/>
      <c r="B332" s="25"/>
      <c r="C332" s="25"/>
      <c r="D332" s="25"/>
    </row>
    <row r="333" spans="1:4" x14ac:dyDescent="0.25">
      <c r="A333" s="25"/>
      <c r="B333" s="25"/>
      <c r="C333" s="25"/>
      <c r="D333" s="25"/>
    </row>
    <row r="334" spans="1:4" x14ac:dyDescent="0.25">
      <c r="A334" s="25"/>
      <c r="B334" s="25"/>
      <c r="C334" s="25"/>
      <c r="D334" s="25"/>
    </row>
    <row r="335" spans="1:4" x14ac:dyDescent="0.25">
      <c r="A335" s="25"/>
      <c r="B335" s="25"/>
      <c r="C335" s="25"/>
      <c r="D335" s="25"/>
    </row>
    <row r="336" spans="1:4" x14ac:dyDescent="0.25">
      <c r="A336" s="25"/>
      <c r="B336" s="25"/>
      <c r="C336" s="25"/>
      <c r="D336" s="25"/>
    </row>
    <row r="337" spans="1:4" x14ac:dyDescent="0.25">
      <c r="A337" s="25"/>
      <c r="B337" s="25"/>
      <c r="C337" s="25"/>
      <c r="D337" s="25"/>
    </row>
    <row r="338" spans="1:4" x14ac:dyDescent="0.25">
      <c r="A338" s="25"/>
      <c r="B338" s="25"/>
      <c r="C338" s="25"/>
      <c r="D338" s="25"/>
    </row>
    <row r="339" spans="1:4" x14ac:dyDescent="0.25">
      <c r="A339" s="25"/>
      <c r="B339" s="25"/>
      <c r="C339" s="25"/>
      <c r="D339" s="25"/>
    </row>
    <row r="340" spans="1:4" x14ac:dyDescent="0.25">
      <c r="A340" s="25"/>
      <c r="B340" s="25"/>
      <c r="C340" s="25"/>
      <c r="D340" s="25"/>
    </row>
    <row r="341" spans="1:4" x14ac:dyDescent="0.25">
      <c r="A341" s="25"/>
      <c r="B341" s="25"/>
      <c r="C341" s="25"/>
      <c r="D341" s="25"/>
    </row>
    <row r="342" spans="1:4" x14ac:dyDescent="0.25">
      <c r="A342" s="25"/>
      <c r="B342" s="25"/>
      <c r="C342" s="25"/>
      <c r="D342" s="25"/>
    </row>
    <row r="343" spans="1:4" x14ac:dyDescent="0.25">
      <c r="A343" s="25"/>
      <c r="B343" s="25"/>
      <c r="C343" s="25"/>
      <c r="D343" s="25"/>
    </row>
    <row r="344" spans="1:4" x14ac:dyDescent="0.25">
      <c r="A344" s="25"/>
      <c r="B344" s="25"/>
      <c r="C344" s="25"/>
      <c r="D344" s="25"/>
    </row>
    <row r="345" spans="1:4" x14ac:dyDescent="0.25">
      <c r="A345" s="25"/>
      <c r="B345" s="25"/>
      <c r="C345" s="25"/>
      <c r="D345" s="25"/>
    </row>
    <row r="346" spans="1:4" x14ac:dyDescent="0.25">
      <c r="A346" s="25"/>
      <c r="B346" s="25"/>
      <c r="C346" s="25"/>
      <c r="D346" s="25"/>
    </row>
    <row r="347" spans="1:4" x14ac:dyDescent="0.25">
      <c r="A347" s="25"/>
      <c r="B347" s="25"/>
      <c r="C347" s="25"/>
      <c r="D347" s="25"/>
    </row>
    <row r="348" spans="1:4" x14ac:dyDescent="0.25">
      <c r="A348" s="25"/>
      <c r="B348" s="25"/>
      <c r="C348" s="25"/>
      <c r="D348" s="25"/>
    </row>
    <row r="349" spans="1:4" x14ac:dyDescent="0.25">
      <c r="A349" s="25"/>
      <c r="B349" s="25"/>
      <c r="C349" s="25"/>
      <c r="D349" s="25"/>
    </row>
    <row r="350" spans="1:4" x14ac:dyDescent="0.25">
      <c r="A350" s="25"/>
      <c r="B350" s="25"/>
      <c r="C350" s="25"/>
      <c r="D350" s="25"/>
    </row>
    <row r="351" spans="1:4" x14ac:dyDescent="0.25">
      <c r="A351" s="25"/>
      <c r="B351" s="25"/>
      <c r="C351" s="25"/>
      <c r="D351" s="25"/>
    </row>
    <row r="352" spans="1:4" x14ac:dyDescent="0.25">
      <c r="A352" s="25"/>
      <c r="B352" s="25"/>
      <c r="C352" s="25"/>
      <c r="D352" s="25"/>
    </row>
    <row r="353" spans="1:4" x14ac:dyDescent="0.25">
      <c r="A353" s="25"/>
      <c r="B353" s="25"/>
      <c r="C353" s="25"/>
      <c r="D353" s="25"/>
    </row>
    <row r="354" spans="1:4" x14ac:dyDescent="0.25">
      <c r="A354" s="25"/>
      <c r="B354" s="25"/>
      <c r="C354" s="25"/>
      <c r="D354" s="25"/>
    </row>
    <row r="355" spans="1:4" x14ac:dyDescent="0.25">
      <c r="A355" s="25"/>
      <c r="B355" s="25"/>
      <c r="C355" s="25"/>
      <c r="D355" s="25"/>
    </row>
    <row r="356" spans="1:4" x14ac:dyDescent="0.25">
      <c r="A356" s="25"/>
      <c r="B356" s="25"/>
      <c r="C356" s="25"/>
      <c r="D356" s="25"/>
    </row>
    <row r="357" spans="1:4" x14ac:dyDescent="0.25">
      <c r="A357" s="25"/>
    </row>
    <row r="358" spans="1:4" x14ac:dyDescent="0.25">
      <c r="A358" s="25"/>
    </row>
    <row r="359" spans="1:4" x14ac:dyDescent="0.25">
      <c r="A359" s="25"/>
    </row>
    <row r="360" spans="1:4" x14ac:dyDescent="0.25">
      <c r="A360" s="25"/>
    </row>
    <row r="361" spans="1:4" x14ac:dyDescent="0.25">
      <c r="A361" s="25"/>
    </row>
    <row r="362" spans="1:4" x14ac:dyDescent="0.25">
      <c r="A362" s="25"/>
    </row>
    <row r="363" spans="1:4" x14ac:dyDescent="0.25">
      <c r="A363" s="25"/>
    </row>
    <row r="364" spans="1:4" x14ac:dyDescent="0.25">
      <c r="A364" s="25"/>
    </row>
    <row r="365" spans="1:4" x14ac:dyDescent="0.25">
      <c r="A365" s="25"/>
    </row>
    <row r="366" spans="1:4" x14ac:dyDescent="0.25">
      <c r="A366" s="25"/>
    </row>
    <row r="367" spans="1:4" x14ac:dyDescent="0.25">
      <c r="A367" s="25"/>
    </row>
    <row r="368" spans="1:4" x14ac:dyDescent="0.25">
      <c r="A368" s="25"/>
    </row>
    <row r="369" spans="1:1" x14ac:dyDescent="0.25">
      <c r="A369" s="25"/>
    </row>
  </sheetData>
  <sheetProtection password="F716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AL104"/>
  <sheetViews>
    <sheetView showGridLines="0" showRowColHeaders="0" tabSelected="1" workbookViewId="0">
      <pane ySplit="1" topLeftCell="A2" activePane="bottomLeft" state="frozen"/>
      <selection pane="bottomLeft" sqref="A1:L1"/>
    </sheetView>
  </sheetViews>
  <sheetFormatPr defaultRowHeight="15" x14ac:dyDescent="0.25"/>
  <cols>
    <col min="1" max="1" width="28.140625" customWidth="1"/>
    <col min="2" max="2" width="29.42578125" customWidth="1"/>
    <col min="3" max="3" width="10.85546875" bestFit="1" customWidth="1"/>
    <col min="4" max="4" width="37" customWidth="1"/>
    <col min="6" max="6" width="28.42578125" bestFit="1" customWidth="1"/>
    <col min="8" max="8" width="27.42578125" bestFit="1" customWidth="1"/>
    <col min="10" max="10" width="22" bestFit="1" customWidth="1"/>
    <col min="12" max="12" width="25.140625" bestFit="1" customWidth="1"/>
    <col min="14" max="14" width="30.85546875" bestFit="1" customWidth="1"/>
    <col min="15" max="15" width="14.5703125" bestFit="1" customWidth="1"/>
    <col min="16" max="16" width="25.42578125" bestFit="1" customWidth="1"/>
    <col min="17" max="17" width="15.85546875" bestFit="1" customWidth="1"/>
    <col min="18" max="18" width="32.28515625" bestFit="1" customWidth="1"/>
    <col min="19" max="19" width="16.140625" bestFit="1" customWidth="1"/>
    <col min="20" max="20" width="20.7109375" bestFit="1" customWidth="1"/>
    <col min="22" max="22" width="25.140625" bestFit="1" customWidth="1"/>
    <col min="24" max="24" width="23" bestFit="1" customWidth="1"/>
    <col min="26" max="26" width="21" bestFit="1" customWidth="1"/>
    <col min="28" max="28" width="24.140625" bestFit="1" customWidth="1"/>
    <col min="30" max="30" width="25.140625" bestFit="1" customWidth="1"/>
    <col min="32" max="32" width="24.42578125" bestFit="1" customWidth="1"/>
    <col min="34" max="34" width="23" bestFit="1" customWidth="1"/>
    <col min="36" max="36" width="25.42578125" bestFit="1" customWidth="1"/>
    <col min="38" max="38" width="26.5703125" bestFit="1" customWidth="1"/>
  </cols>
  <sheetData>
    <row r="1" spans="1:38" s="29" customFormat="1" ht="23.1" customHeight="1" x14ac:dyDescent="0.25">
      <c r="A1" s="173" t="s">
        <v>548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38" s="29" customFormat="1" x14ac:dyDescent="0.25"/>
    <row r="3" spans="1:38" s="29" customFormat="1" ht="15" customHeight="1" x14ac:dyDescent="0.25">
      <c r="B3" s="174" t="s">
        <v>111</v>
      </c>
      <c r="D3" s="176" t="s">
        <v>85</v>
      </c>
      <c r="F3" s="178" t="s">
        <v>112</v>
      </c>
      <c r="H3" s="180" t="s">
        <v>108</v>
      </c>
      <c r="J3" s="171" t="s">
        <v>113</v>
      </c>
      <c r="L3" s="172" t="s">
        <v>114</v>
      </c>
      <c r="N3" s="106"/>
      <c r="P3" s="109"/>
      <c r="R3" s="112"/>
      <c r="T3" s="115"/>
      <c r="V3" s="117"/>
      <c r="X3" s="120"/>
      <c r="Z3" s="123"/>
      <c r="AB3" s="125"/>
      <c r="AD3" s="127"/>
      <c r="AF3" s="129"/>
      <c r="AH3" s="131"/>
      <c r="AJ3" s="134"/>
      <c r="AL3" s="132"/>
    </row>
    <row r="4" spans="1:38" s="29" customFormat="1" ht="21" customHeight="1" x14ac:dyDescent="0.35">
      <c r="B4" s="175"/>
      <c r="C4" s="30"/>
      <c r="D4" s="177"/>
      <c r="E4" s="30"/>
      <c r="F4" s="179"/>
      <c r="G4" s="30"/>
      <c r="H4" s="181"/>
      <c r="I4" s="30"/>
      <c r="J4" s="171"/>
      <c r="K4" s="30"/>
      <c r="L4" s="172"/>
      <c r="M4" s="30"/>
      <c r="N4" s="107" t="s">
        <v>380</v>
      </c>
      <c r="P4" s="110" t="s">
        <v>381</v>
      </c>
      <c r="R4" s="113" t="s">
        <v>492</v>
      </c>
      <c r="T4" s="116" t="s">
        <v>491</v>
      </c>
      <c r="V4" s="118" t="s">
        <v>489</v>
      </c>
      <c r="X4" s="121" t="s">
        <v>490</v>
      </c>
      <c r="Z4" s="124" t="s">
        <v>537</v>
      </c>
      <c r="AB4" s="126" t="s">
        <v>538</v>
      </c>
      <c r="AD4" s="128" t="s">
        <v>539</v>
      </c>
      <c r="AF4" s="130" t="s">
        <v>540</v>
      </c>
      <c r="AH4" s="114" t="s">
        <v>541</v>
      </c>
      <c r="AJ4" s="135" t="s">
        <v>545</v>
      </c>
      <c r="AL4" s="133" t="s">
        <v>381</v>
      </c>
    </row>
    <row r="5" spans="1:38" s="29" customFormat="1" ht="37.5" customHeight="1" x14ac:dyDescent="0.45">
      <c r="B5" s="101">
        <f>COUNTIF('Product Master'!A:A,"P*")-1</f>
        <v>15</v>
      </c>
      <c r="C5" s="30"/>
      <c r="D5" s="102">
        <f>SUM('Daily Sales Entry'!J:J)</f>
        <v>284700</v>
      </c>
      <c r="E5" s="30"/>
      <c r="F5" s="169">
        <f>SUM('Stock Purchase'!H:H)</f>
        <v>1995000</v>
      </c>
      <c r="G5" s="30"/>
      <c r="H5" s="170">
        <f>SUM(Inventory!Q:Q)</f>
        <v>1813300</v>
      </c>
      <c r="I5" s="30"/>
      <c r="J5" s="101">
        <f>COUNTIF(Inventory!R:R,"Low Stock")</f>
        <v>0</v>
      </c>
      <c r="K5" s="30"/>
      <c r="L5" s="103">
        <f>COUNTIF(Inventory!R:R,"Out of Stock")</f>
        <v>0</v>
      </c>
      <c r="N5" s="108">
        <f>SUM(Expenses!E:E)</f>
        <v>42500</v>
      </c>
      <c r="P5" s="111">
        <f>D5-N5</f>
        <v>242200</v>
      </c>
      <c r="R5" s="150">
        <f ca="1">SUMPRODUCT(('Daily Sales Entry'!$A$2:$A$1000=TODAY())*('Daily Sales Entry'!$G$2:$G$1000&gt;0))</f>
        <v>0</v>
      </c>
      <c r="S5" s="149"/>
      <c r="T5" s="151">
        <f ca="1">SUMIFS('Daily Sales Entry'!G:G,'Daily Sales Entry'!A:A,TODAY())</f>
        <v>0</v>
      </c>
      <c r="V5" s="119">
        <f ca="1">SUMIF('Daily Sales Entry'!A:A,TODAY(),'Daily Sales Entry'!L:L)</f>
        <v>0</v>
      </c>
      <c r="W5" s="92"/>
      <c r="X5" s="122">
        <f ca="1">SUMIF('Daily Sales Entry'!A:A,TODAY(),'Daily Sales Entry'!M:M)</f>
        <v>0</v>
      </c>
      <c r="Z5" s="140">
        <f ca="1">SUMIFS('Daily Sales Entry'!J:J,'Daily Sales Entry'!A:A,TODAY())</f>
        <v>0</v>
      </c>
      <c r="AB5" s="141">
        <f ca="1">SUMIFS('Daily Sales Entry'!J:J,'Daily Sales Entry'!A:A,TODAY()-1)</f>
        <v>0</v>
      </c>
      <c r="AD5" s="142">
        <f ca="1">SUMIFS('Daily Sales Entry'!J:J,'Daily Sales Entry'!A:A,"&gt;="&amp;TODAY()-WEEKDAY(TODAY(),2)+1,'Daily Sales Entry'!A:A,"&lt;"&amp;TODAY()+1)</f>
        <v>30000</v>
      </c>
      <c r="AF5" s="143">
        <f ca="1">SUMIFS('Daily Sales Entry'!J:J,'Daily Sales Entry'!A:A,"&gt;="&amp;EOMONTH(TODAY(),-1)+1,'Daily Sales Entry'!A:A,"&lt;"&amp;EOMONTH(TODAY(),0)+1)</f>
        <v>0</v>
      </c>
      <c r="AG5" s="92"/>
      <c r="AH5" s="144">
        <f ca="1">SUMIFS('Daily Sales Entry'!M:M,'Daily Sales Entry'!A:A,TODAY())</f>
        <v>0</v>
      </c>
      <c r="AI5" s="92"/>
      <c r="AJ5" s="145">
        <f>SUM('Daily Sales Entry'!M:M)</f>
        <v>80300</v>
      </c>
      <c r="AK5" s="92"/>
      <c r="AL5" s="146">
        <f>AJ5-N5</f>
        <v>37800</v>
      </c>
    </row>
    <row r="6" spans="1:38" s="29" customFormat="1" ht="15" customHeight="1" x14ac:dyDescent="0.25">
      <c r="AJ6" s="136"/>
      <c r="AL6" s="104"/>
    </row>
    <row r="7" spans="1:38" s="29" customFormat="1" ht="21" x14ac:dyDescent="0.35">
      <c r="F7" s="28"/>
      <c r="I7" s="25"/>
      <c r="AJ7" s="137" t="s">
        <v>546</v>
      </c>
      <c r="AL7" s="105" t="s">
        <v>547</v>
      </c>
    </row>
    <row r="8" spans="1:38" s="29" customFormat="1" ht="28.5" x14ac:dyDescent="0.45">
      <c r="AJ8" s="147">
        <f>IFERROR(AJ5/D5,0)</f>
        <v>0.28205128205128205</v>
      </c>
      <c r="AL8" s="148">
        <f>IFERROR(AL5/D5,0)</f>
        <v>0.13277133825079029</v>
      </c>
    </row>
    <row r="9" spans="1:38" s="25" customFormat="1" x14ac:dyDescent="0.25"/>
    <row r="10" spans="1:38" s="25" customFormat="1" ht="15.75" x14ac:dyDescent="0.25">
      <c r="B10" s="167" t="s">
        <v>1</v>
      </c>
      <c r="C10" s="167" t="s">
        <v>99</v>
      </c>
      <c r="N10" s="66"/>
      <c r="O10" s="66"/>
      <c r="P10" s="66"/>
      <c r="Q10" s="66"/>
      <c r="R10" s="167" t="s">
        <v>7</v>
      </c>
      <c r="S10" s="167" t="s">
        <v>115</v>
      </c>
      <c r="V10" s="167" t="s">
        <v>95</v>
      </c>
      <c r="W10" s="167" t="s">
        <v>543</v>
      </c>
      <c r="X10" s="167" t="s">
        <v>544</v>
      </c>
    </row>
    <row r="11" spans="1:38" s="25" customFormat="1" x14ac:dyDescent="0.25">
      <c r="B11" s="96" t="s">
        <v>394</v>
      </c>
      <c r="C11" s="50">
        <f>SUMIF('Daily Sales Entry'!$D:$D,B11,'Daily Sales Entry'!$G:$G)</f>
        <v>27</v>
      </c>
      <c r="P11" s="66"/>
      <c r="R11" s="32" t="s">
        <v>116</v>
      </c>
      <c r="S11" s="32">
        <f>COUNTIF(Inventory!R:R,"In Stock")</f>
        <v>15</v>
      </c>
      <c r="V11" s="98">
        <f ca="1">TODAY()-6</f>
        <v>46261</v>
      </c>
      <c r="W11" s="32" t="str">
        <f ca="1">TEXT(V11,"ddd")</f>
        <v>Thu</v>
      </c>
      <c r="X11" s="73">
        <f ca="1">SUMIFS('Daily Sales Entry'!J:J,'Daily Sales Entry'!A:A,V11)</f>
        <v>0</v>
      </c>
    </row>
    <row r="12" spans="1:38" s="25" customFormat="1" x14ac:dyDescent="0.25">
      <c r="B12" s="96" t="s">
        <v>398</v>
      </c>
      <c r="C12" s="50">
        <f>SUMIF('Daily Sales Entry'!$D:$D,B12,'Daily Sales Entry'!$G:$G)</f>
        <v>19</v>
      </c>
      <c r="P12" s="66"/>
      <c r="R12" s="32" t="s">
        <v>117</v>
      </c>
      <c r="S12" s="32">
        <f>COUNTIF(Inventory!R:R,"Low Stock")</f>
        <v>0</v>
      </c>
      <c r="T12" s="29"/>
      <c r="V12" s="98">
        <f ca="1">V11+1</f>
        <v>46262</v>
      </c>
      <c r="W12" s="32" t="str">
        <f t="shared" ref="W12:W17" ca="1" si="0">TEXT(V12,"ddd")</f>
        <v>Fri</v>
      </c>
      <c r="X12" s="73">
        <f ca="1">SUMIFS('Daily Sales Entry'!J:J,'Daily Sales Entry'!A:A,V12)</f>
        <v>0</v>
      </c>
    </row>
    <row r="13" spans="1:38" s="25" customFormat="1" x14ac:dyDescent="0.25">
      <c r="B13" s="95" t="s">
        <v>393</v>
      </c>
      <c r="C13" s="50">
        <f>SUMIF('Daily Sales Entry'!$D:$D,B13,'Daily Sales Entry'!$G:$G)</f>
        <v>16</v>
      </c>
      <c r="P13" s="66"/>
      <c r="R13" s="32" t="s">
        <v>118</v>
      </c>
      <c r="S13" s="32">
        <f>COUNTIF(Inventory!R:R,"Out of Stock")</f>
        <v>0</v>
      </c>
      <c r="V13" s="98">
        <f t="shared" ref="V13:V15" ca="1" si="1">V12+1</f>
        <v>46263</v>
      </c>
      <c r="W13" s="32" t="str">
        <f t="shared" ca="1" si="0"/>
        <v>Sat</v>
      </c>
      <c r="X13" s="73">
        <f ca="1">SUMIFS('Daily Sales Entry'!J:J,'Daily Sales Entry'!A:A,V13)</f>
        <v>0</v>
      </c>
    </row>
    <row r="14" spans="1:38" s="25" customFormat="1" x14ac:dyDescent="0.25">
      <c r="B14" s="95" t="s">
        <v>395</v>
      </c>
      <c r="C14" s="50">
        <f>SUMIF('Daily Sales Entry'!$D:$D,B14,'Daily Sales Entry'!$G:$G)</f>
        <v>8</v>
      </c>
      <c r="V14" s="98">
        <f t="shared" ca="1" si="1"/>
        <v>46264</v>
      </c>
      <c r="W14" s="32" t="str">
        <f t="shared" ca="1" si="0"/>
        <v>Sun</v>
      </c>
      <c r="X14" s="73">
        <f ca="1">SUMIFS('Daily Sales Entry'!J:J,'Daily Sales Entry'!A:A,V14)</f>
        <v>0</v>
      </c>
    </row>
    <row r="15" spans="1:38" s="25" customFormat="1" x14ac:dyDescent="0.25">
      <c r="B15" s="96" t="s">
        <v>396</v>
      </c>
      <c r="C15" s="50">
        <f>SUMIF('Daily Sales Entry'!$D:$D,B15,'Daily Sales Entry'!$G:$G)</f>
        <v>7</v>
      </c>
      <c r="V15" s="98">
        <f t="shared" ca="1" si="1"/>
        <v>46265</v>
      </c>
      <c r="W15" s="32" t="str">
        <f t="shared" ca="1" si="0"/>
        <v>Mon</v>
      </c>
      <c r="X15" s="73">
        <f ca="1">SUMIFS('Daily Sales Entry'!J:J,'Daily Sales Entry'!A:A,V15)</f>
        <v>30000</v>
      </c>
    </row>
    <row r="16" spans="1:38" s="25" customFormat="1" x14ac:dyDescent="0.25">
      <c r="B16" s="97" t="s">
        <v>400</v>
      </c>
      <c r="C16" s="50">
        <f>SUMIF('Daily Sales Entry'!$D:$D,B16,'Daily Sales Entry'!$G:$G)</f>
        <v>7</v>
      </c>
      <c r="V16" s="98">
        <f ca="1">V15+1</f>
        <v>46266</v>
      </c>
      <c r="W16" s="32" t="str">
        <f t="shared" ca="1" si="0"/>
        <v>Tue</v>
      </c>
      <c r="X16" s="73">
        <f ca="1">SUMIFS('Daily Sales Entry'!J:J,'Daily Sales Entry'!A:A,V16)</f>
        <v>0</v>
      </c>
    </row>
    <row r="17" spans="2:24" s="25" customFormat="1" x14ac:dyDescent="0.25">
      <c r="B17" s="96" t="s">
        <v>468</v>
      </c>
      <c r="C17" s="50">
        <f>SUMIF('Daily Sales Entry'!$D:$D,B17,'Daily Sales Entry'!$G:$G)</f>
        <v>7</v>
      </c>
      <c r="V17" s="98">
        <f ca="1">V16+1</f>
        <v>46267</v>
      </c>
      <c r="W17" s="32" t="str">
        <f t="shared" ca="1" si="0"/>
        <v>Wed</v>
      </c>
      <c r="X17" s="73">
        <f ca="1">SUMIFS('Daily Sales Entry'!J:J,'Daily Sales Entry'!A:A,V17)</f>
        <v>0</v>
      </c>
    </row>
    <row r="18" spans="2:24" s="25" customFormat="1" x14ac:dyDescent="0.25">
      <c r="B18" s="97" t="s">
        <v>401</v>
      </c>
      <c r="C18" s="50">
        <f>SUMIF('Daily Sales Entry'!$D:$D,B18,'Daily Sales Entry'!$G:$G)</f>
        <v>5</v>
      </c>
    </row>
    <row r="19" spans="2:24" s="25" customFormat="1" x14ac:dyDescent="0.25">
      <c r="B19" s="95" t="s">
        <v>469</v>
      </c>
      <c r="C19" s="50">
        <f>SUMIF('Daily Sales Entry'!$D:$D,B19,'Daily Sales Entry'!$G:$G)</f>
        <v>5</v>
      </c>
    </row>
    <row r="20" spans="2:24" s="25" customFormat="1" x14ac:dyDescent="0.25">
      <c r="B20" s="95" t="s">
        <v>397</v>
      </c>
      <c r="C20" s="50">
        <f>SUMIF('Daily Sales Entry'!$D:$D,B20,'Daily Sales Entry'!$G:$G)</f>
        <v>3</v>
      </c>
    </row>
    <row r="21" spans="2:24" s="25" customFormat="1" x14ac:dyDescent="0.25">
      <c r="B21" s="97" t="s">
        <v>399</v>
      </c>
      <c r="C21" s="50">
        <f>SUMIF('Daily Sales Entry'!$D:$D,B21,'Daily Sales Entry'!$G:$G)</f>
        <v>3</v>
      </c>
    </row>
    <row r="22" spans="2:24" s="25" customFormat="1" ht="18.75" x14ac:dyDescent="0.3">
      <c r="B22" s="95" t="s">
        <v>429</v>
      </c>
      <c r="C22" s="50">
        <f>SUMIF('Daily Sales Entry'!$D:$D,B22,'Daily Sales Entry'!$G:$G)</f>
        <v>0</v>
      </c>
      <c r="J22" s="138" t="s">
        <v>122</v>
      </c>
      <c r="N22" s="138" t="s">
        <v>123</v>
      </c>
      <c r="P22" s="93"/>
    </row>
    <row r="23" spans="2:24" s="25" customFormat="1" ht="15.75" x14ac:dyDescent="0.25">
      <c r="B23" s="96" t="s">
        <v>402</v>
      </c>
      <c r="C23" s="50">
        <f>SUMIF('Daily Sales Entry'!$D:$D,B23,'Daily Sales Entry'!$G:$G)</f>
        <v>0</v>
      </c>
      <c r="I23" s="167" t="s">
        <v>86</v>
      </c>
      <c r="J23" s="167" t="s">
        <v>119</v>
      </c>
      <c r="K23" s="167" t="s">
        <v>120</v>
      </c>
      <c r="L23" s="167" t="s">
        <v>121</v>
      </c>
      <c r="N23" s="167" t="s">
        <v>1</v>
      </c>
      <c r="O23" s="167" t="s">
        <v>107</v>
      </c>
      <c r="P23" s="167" t="s">
        <v>110</v>
      </c>
      <c r="Q23" s="167" t="s">
        <v>7</v>
      </c>
      <c r="S23" s="167" t="s">
        <v>2</v>
      </c>
      <c r="T23" s="167" t="s">
        <v>85</v>
      </c>
    </row>
    <row r="24" spans="2:24" s="25" customFormat="1" x14ac:dyDescent="0.25">
      <c r="B24" s="95" t="s">
        <v>403</v>
      </c>
      <c r="C24" s="50">
        <f>SUMIF('Daily Sales Entry'!$D:$D,B24,'Daily Sales Entry'!$G:$G)</f>
        <v>0</v>
      </c>
      <c r="I24" s="50">
        <f>'Daily Sales Entry'!B10</f>
        <v>4</v>
      </c>
      <c r="J24" s="50" t="str">
        <f>'Daily Sales Entry'!D10</f>
        <v>Shaki</v>
      </c>
      <c r="K24" s="50">
        <f>'Daily Sales Entry'!G10</f>
        <v>15</v>
      </c>
      <c r="L24" s="79">
        <f>'Daily Sales Entry'!J10</f>
        <v>18000</v>
      </c>
      <c r="N24" s="96" t="s">
        <v>394</v>
      </c>
      <c r="O24" s="50">
        <f>IF(N24="","",IFERROR(VLOOKUP(N24,Inventory!$B:$R,12,FALSE),0))</f>
        <v>21</v>
      </c>
      <c r="P24" s="50">
        <f>IF(N24="","",IFERROR(VLOOKUP(N24,Inventory!$B:$R,15,FALSE),0))</f>
        <v>20</v>
      </c>
      <c r="Q24" s="77" t="str">
        <f t="shared" ref="Q24:Q55" si="2">IF(N24="","",IFERROR(IF(O24=0,"Out of Stock",IF(O24&lt;=P24,"Low Stock","In Stock")),"Out of Stock"))</f>
        <v>In Stock</v>
      </c>
      <c r="S24" s="99" t="s">
        <v>12</v>
      </c>
      <c r="T24" s="50">
        <f>SUMIF('Daily Sales Entry'!$E:$E,S24,'Daily Sales Entry'!$G:$G)</f>
        <v>80</v>
      </c>
    </row>
    <row r="25" spans="2:24" s="25" customFormat="1" x14ac:dyDescent="0.25">
      <c r="B25" s="96" t="s">
        <v>404</v>
      </c>
      <c r="C25" s="50">
        <f>SUMIF('Daily Sales Entry'!$D:$D,B25,'Daily Sales Entry'!$G:$G)</f>
        <v>0</v>
      </c>
      <c r="I25" s="50">
        <f>'Daily Sales Entry'!B11</f>
        <v>4</v>
      </c>
      <c r="J25" s="50" t="str">
        <f>'Daily Sales Entry'!D11</f>
        <v>Moin Moin</v>
      </c>
      <c r="K25" s="50">
        <f>'Daily Sales Entry'!G11</f>
        <v>13</v>
      </c>
      <c r="L25" s="79">
        <f>'Daily Sales Entry'!J11</f>
        <v>10400</v>
      </c>
      <c r="N25" s="95" t="s">
        <v>393</v>
      </c>
      <c r="O25" s="50">
        <f>IF(N25="","",IFERROR(VLOOKUP(N25,Inventory!$B:$R,12,FALSE),0))</f>
        <v>69</v>
      </c>
      <c r="P25" s="50">
        <f>IF(N25="","",IFERROR(VLOOKUP(N25,Inventory!$B:$R,15,FALSE),0))</f>
        <v>20</v>
      </c>
      <c r="Q25" s="77" t="str">
        <f t="shared" si="2"/>
        <v>In Stock</v>
      </c>
      <c r="S25" s="99" t="s">
        <v>472</v>
      </c>
      <c r="T25" s="50">
        <f>SUMIF('Daily Sales Entry'!$E:$E,S25,'Daily Sales Entry'!$G:$G)</f>
        <v>20</v>
      </c>
    </row>
    <row r="26" spans="2:24" s="25" customFormat="1" x14ac:dyDescent="0.25">
      <c r="B26" s="95" t="s">
        <v>405</v>
      </c>
      <c r="C26" s="50">
        <f>SUMIF('Daily Sales Entry'!$D:$D,B26,'Daily Sales Entry'!$G:$G)</f>
        <v>0</v>
      </c>
      <c r="I26" s="50">
        <f>'Daily Sales Entry'!B5</f>
        <v>1</v>
      </c>
      <c r="J26" s="50" t="str">
        <f>'Daily Sales Entry'!D5</f>
        <v>Semovita</v>
      </c>
      <c r="K26" s="50">
        <f>'Daily Sales Entry'!G5</f>
        <v>7</v>
      </c>
      <c r="L26" s="79">
        <f>'Daily Sales Entry'!J5</f>
        <v>4900</v>
      </c>
      <c r="N26" s="96" t="s">
        <v>396</v>
      </c>
      <c r="O26" s="50">
        <f>IF(N26="","",IFERROR(VLOOKUP(N26,Inventory!$B:$R,12,FALSE),0))</f>
        <v>43</v>
      </c>
      <c r="P26" s="50">
        <f>IF(N26="","",IFERROR(VLOOKUP(N26,Inventory!$B:$R,15,FALSE),0))</f>
        <v>20</v>
      </c>
      <c r="Q26" s="77" t="str">
        <f t="shared" si="2"/>
        <v>In Stock</v>
      </c>
      <c r="S26" s="99" t="s">
        <v>470</v>
      </c>
      <c r="T26" s="50">
        <f>SUMIF('Daily Sales Entry'!$E:$E,S26,'Daily Sales Entry'!$G:$G)</f>
        <v>27</v>
      </c>
    </row>
    <row r="27" spans="2:24" s="25" customFormat="1" x14ac:dyDescent="0.25">
      <c r="B27" s="96" t="s">
        <v>406</v>
      </c>
      <c r="C27" s="50">
        <f>SUMIF('Daily Sales Entry'!$D:$D,B27,'Daily Sales Entry'!$G:$G)</f>
        <v>0</v>
      </c>
      <c r="I27" s="50">
        <f>'Daily Sales Entry'!B7</f>
        <v>1</v>
      </c>
      <c r="J27" s="50" t="str">
        <f>'Daily Sales Entry'!D7</f>
        <v>Moin Moin</v>
      </c>
      <c r="K27" s="50">
        <f>'Daily Sales Entry'!G7</f>
        <v>6</v>
      </c>
      <c r="L27" s="79">
        <f>'Daily Sales Entry'!J7</f>
        <v>4800</v>
      </c>
      <c r="N27" s="95" t="s">
        <v>395</v>
      </c>
      <c r="O27" s="50">
        <f>IF(N27="","",IFERROR(VLOOKUP(N27,Inventory!$B:$R,12,FALSE),0))</f>
        <v>42</v>
      </c>
      <c r="P27" s="50">
        <f>IF(N27="","",IFERROR(VLOOKUP(N27,Inventory!$B:$R,15,FALSE),0))</f>
        <v>20</v>
      </c>
      <c r="Q27" s="77" t="str">
        <f t="shared" si="2"/>
        <v>In Stock</v>
      </c>
      <c r="S27" s="99" t="s">
        <v>8</v>
      </c>
      <c r="T27" s="50">
        <f>SUMIF('Daily Sales Entry'!$E:$E,S27,'Daily Sales Entry'!$G:$G)</f>
        <v>0</v>
      </c>
    </row>
    <row r="28" spans="2:24" s="25" customFormat="1" x14ac:dyDescent="0.25">
      <c r="B28" s="95" t="s">
        <v>407</v>
      </c>
      <c r="C28" s="50">
        <f>SUMIF('Daily Sales Entry'!$D:$D,B28,'Daily Sales Entry'!$G:$G)</f>
        <v>0</v>
      </c>
      <c r="I28" s="50">
        <f>'Daily Sales Entry'!B9</f>
        <v>3</v>
      </c>
      <c r="J28" s="50" t="str">
        <f>'Daily Sales Entry'!D9</f>
        <v>Beef</v>
      </c>
      <c r="K28" s="50">
        <f>'Daily Sales Entry'!G9</f>
        <v>6</v>
      </c>
      <c r="L28" s="79">
        <f>'Daily Sales Entry'!J9</f>
        <v>6000</v>
      </c>
      <c r="N28" s="95" t="s">
        <v>397</v>
      </c>
      <c r="O28" s="50">
        <f>IF(N28="","",IFERROR(VLOOKUP(N28,Inventory!$B:$R,12,FALSE),0))</f>
        <v>47</v>
      </c>
      <c r="P28" s="50">
        <f>IF(N28="","",IFERROR(VLOOKUP(N28,Inventory!$B:$R,15,FALSE),0))</f>
        <v>20</v>
      </c>
      <c r="Q28" s="77" t="str">
        <f t="shared" si="2"/>
        <v>In Stock</v>
      </c>
      <c r="S28" s="100" t="s">
        <v>9</v>
      </c>
      <c r="T28" s="50">
        <f>SUMIF('Daily Sales Entry'!$E:$E,S28,'Daily Sales Entry'!$G:$G)</f>
        <v>0</v>
      </c>
    </row>
    <row r="29" spans="2:24" s="25" customFormat="1" x14ac:dyDescent="0.25">
      <c r="B29" s="96" t="s">
        <v>408</v>
      </c>
      <c r="C29" s="50">
        <f>SUMIF('Daily Sales Entry'!$D:$D,B29,'Daily Sales Entry'!$G:$G)</f>
        <v>0</v>
      </c>
      <c r="I29" s="50">
        <f>'Daily Sales Entry'!B2</f>
        <v>1</v>
      </c>
      <c r="J29" s="50" t="str">
        <f>'Daily Sales Entry'!D2</f>
        <v>Beef</v>
      </c>
      <c r="K29" s="50">
        <f>'Daily Sales Entry'!G2</f>
        <v>5</v>
      </c>
      <c r="L29" s="79">
        <f>'Daily Sales Entry'!J2</f>
        <v>5000</v>
      </c>
      <c r="N29" s="96" t="s">
        <v>398</v>
      </c>
      <c r="O29" s="50">
        <f>IF(N29="","",IFERROR(VLOOKUP(N29,Inventory!$B:$R,12,FALSE),0))</f>
        <v>31</v>
      </c>
      <c r="P29" s="50">
        <f>IF(N29="","",IFERROR(VLOOKUP(N29,Inventory!$B:$R,15,FALSE),0))</f>
        <v>20</v>
      </c>
      <c r="Q29" s="77" t="str">
        <f t="shared" si="2"/>
        <v>In Stock</v>
      </c>
      <c r="S29" s="99" t="s">
        <v>10</v>
      </c>
      <c r="T29" s="50">
        <f>SUMIF('Daily Sales Entry'!$E:$E,S29,'Daily Sales Entry'!$G:$G)</f>
        <v>0</v>
      </c>
    </row>
    <row r="30" spans="2:24" s="25" customFormat="1" x14ac:dyDescent="0.25">
      <c r="B30" s="95" t="s">
        <v>409</v>
      </c>
      <c r="C30" s="50">
        <f>SUMIF('Daily Sales Entry'!$D:$D,B30,'Daily Sales Entry'!$G:$G)</f>
        <v>0</v>
      </c>
      <c r="I30" s="50">
        <f>'Daily Sales Entry'!B3</f>
        <v>1</v>
      </c>
      <c r="J30" s="50" t="str">
        <f>'Daily Sales Entry'!D3</f>
        <v>Shaki</v>
      </c>
      <c r="K30" s="50">
        <f>'Daily Sales Entry'!G3</f>
        <v>4</v>
      </c>
      <c r="L30" s="79">
        <f>'Daily Sales Entry'!J3</f>
        <v>4800</v>
      </c>
      <c r="N30" s="95" t="s">
        <v>433</v>
      </c>
      <c r="O30" s="50">
        <f>IF(N30="","",IFERROR(VLOOKUP(N30,Inventory!$B:$R,12,FALSE),0))</f>
        <v>0</v>
      </c>
      <c r="P30" s="50">
        <f>IF(N30="","",IFERROR(VLOOKUP(N30,Inventory!$B:$R,15,FALSE),0))</f>
        <v>0</v>
      </c>
      <c r="Q30" s="77" t="str">
        <f t="shared" si="2"/>
        <v>Out of Stock</v>
      </c>
      <c r="S30" s="100" t="s">
        <v>11</v>
      </c>
      <c r="T30" s="50">
        <f>SUMIF('Daily Sales Entry'!$E:$E,S30,'Daily Sales Entry'!$G:$G)</f>
        <v>0</v>
      </c>
    </row>
    <row r="31" spans="2:24" s="25" customFormat="1" x14ac:dyDescent="0.25">
      <c r="B31" s="96" t="s">
        <v>410</v>
      </c>
      <c r="C31" s="50">
        <f>SUMIF('Daily Sales Entry'!$D:$D,B31,'Daily Sales Entry'!$G:$G)</f>
        <v>0</v>
      </c>
      <c r="I31" s="50">
        <f>'Daily Sales Entry'!B4</f>
        <v>1</v>
      </c>
      <c r="J31" s="50" t="str">
        <f>'Daily Sales Entry'!D4</f>
        <v>Cow leg</v>
      </c>
      <c r="K31" s="50">
        <f>'Daily Sales Entry'!G4</f>
        <v>4</v>
      </c>
      <c r="L31" s="79">
        <f>'Daily Sales Entry'!J4</f>
        <v>6000</v>
      </c>
      <c r="N31" s="95" t="s">
        <v>437</v>
      </c>
      <c r="O31" s="50">
        <f>IF(N31="","",IFERROR(VLOOKUP(N31,Inventory!$B:$R,12,FALSE),0))</f>
        <v>0</v>
      </c>
      <c r="P31" s="50">
        <f>IF(N31="","",IFERROR(VLOOKUP(N31,Inventory!$B:$R,15,FALSE),0))</f>
        <v>0</v>
      </c>
      <c r="Q31" s="77" t="str">
        <f t="shared" si="2"/>
        <v>Out of Stock</v>
      </c>
      <c r="S31" s="100" t="s">
        <v>13</v>
      </c>
      <c r="T31" s="50">
        <f>SUMIF('Daily Sales Entry'!$E:$E,S31,'Daily Sales Entry'!$G:$G)</f>
        <v>0</v>
      </c>
    </row>
    <row r="32" spans="2:24" s="25" customFormat="1" x14ac:dyDescent="0.25">
      <c r="B32" s="95" t="s">
        <v>411</v>
      </c>
      <c r="C32" s="50">
        <f>SUMIF('Daily Sales Entry'!$D:$D,B32,'Daily Sales Entry'!$G:$G)</f>
        <v>0</v>
      </c>
      <c r="I32" s="50">
        <f>'Daily Sales Entry'!B8</f>
        <v>2</v>
      </c>
      <c r="J32" s="50" t="str">
        <f>'Daily Sales Entry'!D8</f>
        <v>Cow leg</v>
      </c>
      <c r="K32" s="50">
        <f>'Daily Sales Entry'!G8</f>
        <v>4</v>
      </c>
      <c r="L32" s="79">
        <f>'Daily Sales Entry'!J8</f>
        <v>6000</v>
      </c>
      <c r="N32" s="96" t="s">
        <v>462</v>
      </c>
      <c r="O32" s="50">
        <f>IF(N32="","",IFERROR(VLOOKUP(N32,Inventory!$B:$R,12,FALSE),0))</f>
        <v>0</v>
      </c>
      <c r="P32" s="50">
        <f>IF(N32="","",IFERROR(VLOOKUP(N32,Inventory!$B:$R,15,FALSE),0))</f>
        <v>0</v>
      </c>
      <c r="Q32" s="77" t="str">
        <f t="shared" si="2"/>
        <v>Out of Stock</v>
      </c>
      <c r="S32" s="99" t="s">
        <v>14</v>
      </c>
      <c r="T32" s="50">
        <f>SUMIF('Daily Sales Entry'!$E:$E,S32,'Daily Sales Entry'!$G:$G)</f>
        <v>0</v>
      </c>
    </row>
    <row r="33" spans="2:20" s="25" customFormat="1" x14ac:dyDescent="0.25">
      <c r="B33" s="96" t="s">
        <v>412</v>
      </c>
      <c r="C33" s="50">
        <f>SUMIF('Daily Sales Entry'!$D:$D,B33,'Daily Sales Entry'!$G:$G)</f>
        <v>0</v>
      </c>
      <c r="I33" s="50">
        <f>'Daily Sales Entry'!B6</f>
        <v>1</v>
      </c>
      <c r="J33" s="50" t="str">
        <f>'Daily Sales Entry'!D6</f>
        <v>Eba</v>
      </c>
      <c r="K33" s="50">
        <f>'Daily Sales Entry'!G6</f>
        <v>3</v>
      </c>
      <c r="L33" s="79">
        <f>'Daily Sales Entry'!J6</f>
        <v>1500</v>
      </c>
      <c r="N33" s="95" t="s">
        <v>463</v>
      </c>
      <c r="O33" s="50">
        <f>IF(N33="","",IFERROR(VLOOKUP(N33,Inventory!$B:$R,12,FALSE),0))</f>
        <v>0</v>
      </c>
      <c r="P33" s="50">
        <f>IF(N33="","",IFERROR(VLOOKUP(N33,Inventory!$B:$R,15,FALSE),0))</f>
        <v>0</v>
      </c>
      <c r="Q33" s="77" t="str">
        <f t="shared" si="2"/>
        <v>Out of Stock</v>
      </c>
      <c r="S33" s="100" t="s">
        <v>15</v>
      </c>
      <c r="T33" s="50">
        <f>SUMIF('Daily Sales Entry'!$E:$E,S33,'Daily Sales Entry'!$G:$G)</f>
        <v>0</v>
      </c>
    </row>
    <row r="34" spans="2:20" s="25" customFormat="1" x14ac:dyDescent="0.25">
      <c r="B34" s="95" t="s">
        <v>413</v>
      </c>
      <c r="C34" s="50">
        <f>SUMIF('Daily Sales Entry'!$D:$D,B34,'Daily Sales Entry'!$G:$G)</f>
        <v>0</v>
      </c>
      <c r="I34" s="50">
        <f>'Daily Sales Entry'!B12</f>
        <v>5</v>
      </c>
      <c r="J34" s="50" t="str">
        <f>'Daily Sales Entry'!D12</f>
        <v>Meat Pie</v>
      </c>
      <c r="K34" s="50">
        <f>'Daily Sales Entry'!G12</f>
        <v>3</v>
      </c>
      <c r="L34" s="79">
        <f>'Daily Sales Entry'!J12</f>
        <v>2700</v>
      </c>
      <c r="N34" s="96" t="s">
        <v>466</v>
      </c>
      <c r="O34" s="50">
        <f>IF(N34="","",IFERROR(VLOOKUP(N34,Inventory!$B:$R,12,FALSE),0))</f>
        <v>45</v>
      </c>
      <c r="P34" s="50">
        <f>IF(N34="","",IFERROR(VLOOKUP(N34,Inventory!$B:$R,15,FALSE),0))</f>
        <v>20</v>
      </c>
      <c r="Q34" s="77" t="str">
        <f t="shared" si="2"/>
        <v>In Stock</v>
      </c>
      <c r="S34" s="99" t="s">
        <v>16</v>
      </c>
      <c r="T34" s="50">
        <f>SUMIF('Daily Sales Entry'!$E:$E,S34,'Daily Sales Entry'!$G:$G)</f>
        <v>0</v>
      </c>
    </row>
    <row r="35" spans="2:20" s="25" customFormat="1" x14ac:dyDescent="0.25">
      <c r="B35" s="96" t="s">
        <v>414</v>
      </c>
      <c r="C35" s="50">
        <f>SUMIF('Daily Sales Entry'!$D:$D,B35,'Daily Sales Entry'!$G:$G)</f>
        <v>0</v>
      </c>
      <c r="I35" s="50">
        <f>'Daily Sales Entry'!B13</f>
        <v>5</v>
      </c>
      <c r="J35" s="50" t="str">
        <f>'Daily Sales Entry'!D13</f>
        <v>Chicken Pie</v>
      </c>
      <c r="K35" s="50">
        <f>'Daily Sales Entry'!G13</f>
        <v>7</v>
      </c>
      <c r="L35" s="79">
        <f>'Daily Sales Entry'!J13</f>
        <v>7000</v>
      </c>
      <c r="N35" s="95" t="s">
        <v>467</v>
      </c>
      <c r="O35" s="50">
        <f>IF(N35="","",IFERROR(VLOOKUP(N35,Inventory!$B:$R,12,FALSE),0))</f>
        <v>45</v>
      </c>
      <c r="P35" s="50">
        <f>IF(N35="","",IFERROR(VLOOKUP(N35,Inventory!$B:$R,15,FALSE),0))</f>
        <v>20</v>
      </c>
      <c r="Q35" s="77" t="str">
        <f t="shared" si="2"/>
        <v>In Stock</v>
      </c>
      <c r="S35" s="100" t="s">
        <v>17</v>
      </c>
      <c r="T35" s="50">
        <f>SUMIF('Daily Sales Entry'!$E:$E,S35,'Daily Sales Entry'!$G:$G)</f>
        <v>0</v>
      </c>
    </row>
    <row r="36" spans="2:20" s="25" customFormat="1" x14ac:dyDescent="0.25">
      <c r="B36" s="95" t="s">
        <v>415</v>
      </c>
      <c r="C36" s="50">
        <f>SUMIF('Daily Sales Entry'!$D:$D,B36,'Daily Sales Entry'!$G:$G)</f>
        <v>0</v>
      </c>
      <c r="I36" s="50">
        <f>'Daily Sales Entry'!B14</f>
        <v>5</v>
      </c>
      <c r="J36" s="50" t="str">
        <f>'Daily Sales Entry'!D14</f>
        <v>Beef Roll</v>
      </c>
      <c r="K36" s="50">
        <f>'Daily Sales Entry'!G14</f>
        <v>5</v>
      </c>
      <c r="L36" s="79">
        <f>'Daily Sales Entry'!J14</f>
        <v>3500</v>
      </c>
      <c r="N36" s="95" t="s">
        <v>469</v>
      </c>
      <c r="O36" s="50">
        <f>IF(N36="","",IFERROR(VLOOKUP(N36,Inventory!$B:$R,12,FALSE),0))</f>
        <v>65</v>
      </c>
      <c r="P36" s="50">
        <f>IF(N36="","",IFERROR(VLOOKUP(N36,Inventory!$B:$R,15,FALSE),0))</f>
        <v>10</v>
      </c>
      <c r="Q36" s="77" t="str">
        <f t="shared" si="2"/>
        <v>In Stock</v>
      </c>
      <c r="S36" s="99" t="s">
        <v>18</v>
      </c>
      <c r="T36" s="50">
        <f>SUMIF('Daily Sales Entry'!$E:$E,S36,'Daily Sales Entry'!$G:$G)</f>
        <v>0</v>
      </c>
    </row>
    <row r="37" spans="2:20" s="25" customFormat="1" x14ac:dyDescent="0.25">
      <c r="B37" s="96" t="s">
        <v>416</v>
      </c>
      <c r="C37" s="50">
        <f>SUMIF('Daily Sales Entry'!$D:$D,B37,'Daily Sales Entry'!$G:$G)</f>
        <v>0</v>
      </c>
      <c r="I37" s="50">
        <f>'Daily Sales Entry'!B15</f>
        <v>6</v>
      </c>
      <c r="J37" s="50" t="str">
        <f>'Daily Sales Entry'!D15</f>
        <v>Pet Lucozade Boost</v>
      </c>
      <c r="K37" s="50">
        <f>'Daily Sales Entry'!G15</f>
        <v>5</v>
      </c>
      <c r="L37" s="79">
        <f>'Daily Sales Entry'!J15</f>
        <v>100000</v>
      </c>
      <c r="N37" s="96" t="s">
        <v>468</v>
      </c>
      <c r="O37" s="50">
        <f>IF(N37="","",IFERROR(VLOOKUP(N37,Inventory!$B:$R,12,FALSE),0))</f>
        <v>63</v>
      </c>
      <c r="P37" s="50">
        <f>IF(N37="","",IFERROR(VLOOKUP(N37,Inventory!$B:$R,15,FALSE),0))</f>
        <v>10</v>
      </c>
      <c r="Q37" s="77" t="str">
        <f t="shared" si="2"/>
        <v>In Stock</v>
      </c>
      <c r="S37" s="100" t="s">
        <v>34</v>
      </c>
      <c r="T37" s="50">
        <f>SUMIF('Daily Sales Entry'!$E:$E,S37,'Daily Sales Entry'!$G:$G)</f>
        <v>0</v>
      </c>
    </row>
    <row r="38" spans="2:20" s="25" customFormat="1" x14ac:dyDescent="0.25">
      <c r="B38" s="95" t="s">
        <v>417</v>
      </c>
      <c r="C38" s="50">
        <f>SUMIF('Daily Sales Entry'!$D:$D,B38,'Daily Sales Entry'!$G:$G)</f>
        <v>0</v>
      </c>
      <c r="I38" s="50">
        <f>'Daily Sales Entry'!B16</f>
        <v>6</v>
      </c>
      <c r="J38" s="50" t="str">
        <f>'Daily Sales Entry'!D16</f>
        <v>Eva Water 0.75Cl</v>
      </c>
      <c r="K38" s="50">
        <f>'Daily Sales Entry'!G16</f>
        <v>7</v>
      </c>
      <c r="L38" s="79">
        <f>'Daily Sales Entry'!J16</f>
        <v>59500</v>
      </c>
      <c r="N38" s="96" t="s">
        <v>422</v>
      </c>
      <c r="O38" s="50">
        <f>IF(N38="","",IFERROR(VLOOKUP(N38,Inventory!$B:$R,12,FALSE),0))</f>
        <v>0</v>
      </c>
      <c r="P38" s="50">
        <f>IF(N38="","",IFERROR(VLOOKUP(N38,Inventory!$B:$R,15,FALSE),0))</f>
        <v>0</v>
      </c>
      <c r="Q38" s="77" t="str">
        <f t="shared" si="2"/>
        <v>Out of Stock</v>
      </c>
      <c r="S38" s="100" t="s">
        <v>471</v>
      </c>
      <c r="T38" s="50">
        <f>SUMIF('Daily Sales Entry'!$E:$E,S38,'Daily Sales Entry'!$G:$G)</f>
        <v>0</v>
      </c>
    </row>
    <row r="39" spans="2:20" s="25" customFormat="1" ht="15" customHeight="1" x14ac:dyDescent="0.35">
      <c r="B39" s="96" t="s">
        <v>418</v>
      </c>
      <c r="C39" s="50">
        <f>SUMIF('Daily Sales Entry'!$D:$D,B39,'Daily Sales Entry'!$G:$G)</f>
        <v>0</v>
      </c>
      <c r="G39" s="94"/>
      <c r="I39" s="50">
        <f>'Daily Sales Entry'!B17</f>
        <v>6</v>
      </c>
      <c r="J39" s="50" t="str">
        <f>'Daily Sales Entry'!D17</f>
        <v>Beef</v>
      </c>
      <c r="K39" s="50">
        <f>'Daily Sales Entry'!G17</f>
        <v>5</v>
      </c>
      <c r="L39" s="79">
        <f>'Daily Sales Entry'!J17</f>
        <v>5000</v>
      </c>
      <c r="N39" s="97" t="s">
        <v>399</v>
      </c>
      <c r="O39" s="50">
        <f>IF(N39="","",IFERROR(VLOOKUP(N39,Inventory!$B:$R,12,FALSE),0))</f>
        <v>47</v>
      </c>
      <c r="P39" s="50">
        <f>IF(N39="","",IFERROR(VLOOKUP(N39,Inventory!$B:$R,15,FALSE),0))</f>
        <v>20</v>
      </c>
      <c r="Q39" s="77" t="str">
        <f t="shared" si="2"/>
        <v>In Stock</v>
      </c>
      <c r="S39" s="100" t="s">
        <v>473</v>
      </c>
      <c r="T39" s="50">
        <f>SUMIF('Daily Sales Entry'!$E:$E,S39,'Daily Sales Entry'!$G:$G)</f>
        <v>0</v>
      </c>
    </row>
    <row r="40" spans="2:20" s="25" customFormat="1" x14ac:dyDescent="0.25">
      <c r="B40" s="95" t="s">
        <v>419</v>
      </c>
      <c r="C40" s="50">
        <f>SUMIF('Daily Sales Entry'!$D:$D,B40,'Daily Sales Entry'!$G:$G)</f>
        <v>0</v>
      </c>
      <c r="I40" s="50">
        <f>'Daily Sales Entry'!B18</f>
        <v>6</v>
      </c>
      <c r="J40" s="50" t="str">
        <f>'Daily Sales Entry'!D18</f>
        <v>Shaki</v>
      </c>
      <c r="K40" s="50">
        <f>'Daily Sales Entry'!G18</f>
        <v>8</v>
      </c>
      <c r="L40" s="79">
        <f>'Daily Sales Entry'!J18</f>
        <v>9600</v>
      </c>
      <c r="N40" s="97" t="s">
        <v>400</v>
      </c>
      <c r="O40" s="50">
        <f>IF(N40="","",IFERROR(VLOOKUP(N40,Inventory!$B:$R,12,FALSE),0))</f>
        <v>43</v>
      </c>
      <c r="P40" s="50">
        <f>IF(N40="","",IFERROR(VLOOKUP(N40,Inventory!$B:$R,15,FALSE),0))</f>
        <v>20</v>
      </c>
      <c r="Q40" s="77" t="str">
        <f t="shared" si="2"/>
        <v>In Stock</v>
      </c>
    </row>
    <row r="41" spans="2:20" s="25" customFormat="1" x14ac:dyDescent="0.25">
      <c r="B41" s="96" t="s">
        <v>420</v>
      </c>
      <c r="C41" s="50">
        <f>SUMIF('Daily Sales Entry'!$D:$D,B41,'Daily Sales Entry'!$G:$G)</f>
        <v>0</v>
      </c>
      <c r="I41" s="50">
        <f>'Daily Sales Entry'!B19</f>
        <v>7</v>
      </c>
      <c r="J41" s="50" t="str">
        <f>'Daily Sales Entry'!D19</f>
        <v>Lucozade Sport Pet 50cl</v>
      </c>
      <c r="K41" s="50">
        <f>'Daily Sales Entry'!G19</f>
        <v>5</v>
      </c>
      <c r="L41" s="79">
        <f>'Daily Sales Entry'!J19</f>
        <v>7500</v>
      </c>
      <c r="N41" s="97" t="s">
        <v>401</v>
      </c>
      <c r="O41" s="50">
        <f>IF(N41="","",IFERROR(VLOOKUP(N41,Inventory!$B:$R,12,FALSE),0))</f>
        <v>45</v>
      </c>
      <c r="P41" s="50">
        <f>IF(N41="","",IFERROR(VLOOKUP(N41,Inventory!$B:$R,15,FALSE),0))</f>
        <v>20</v>
      </c>
      <c r="Q41" s="77" t="str">
        <f t="shared" si="2"/>
        <v>In Stock</v>
      </c>
    </row>
    <row r="42" spans="2:20" s="25" customFormat="1" x14ac:dyDescent="0.25">
      <c r="B42" s="95" t="s">
        <v>421</v>
      </c>
      <c r="C42" s="50">
        <f>SUMIF('Daily Sales Entry'!$D:$D,B42,'Daily Sales Entry'!$G:$G)</f>
        <v>0</v>
      </c>
      <c r="I42" s="50">
        <f>'Daily Sales Entry'!B20</f>
        <v>7</v>
      </c>
      <c r="J42" s="50" t="str">
        <f>'Daily Sales Entry'!D20</f>
        <v>FAB Energy Drinks</v>
      </c>
      <c r="K42" s="50">
        <f>'Daily Sales Entry'!G20</f>
        <v>5</v>
      </c>
      <c r="L42" s="79">
        <f>'Daily Sales Entry'!J20</f>
        <v>7500</v>
      </c>
      <c r="N42" s="96" t="s">
        <v>402</v>
      </c>
      <c r="O42" s="50">
        <f>IF(N42="","",IFERROR(VLOOKUP(N42,Inventory!$B:$R,12,FALSE),0))</f>
        <v>0</v>
      </c>
      <c r="P42" s="50">
        <f>IF(N42="","",IFERROR(VLOOKUP(N42,Inventory!$B:$R,15,FALSE),0))</f>
        <v>0</v>
      </c>
      <c r="Q42" s="77" t="str">
        <f t="shared" si="2"/>
        <v>Out of Stock</v>
      </c>
    </row>
    <row r="43" spans="2:20" s="25" customFormat="1" x14ac:dyDescent="0.25">
      <c r="B43" s="96" t="s">
        <v>422</v>
      </c>
      <c r="C43" s="50">
        <f>SUMIF('Daily Sales Entry'!$D:$D,B43,'Daily Sales Entry'!$G:$G)</f>
        <v>0</v>
      </c>
      <c r="I43" s="50">
        <f>'Daily Sales Entry'!B21</f>
        <v>7</v>
      </c>
      <c r="J43" s="50" t="str">
        <f>'Daily Sales Entry'!D21</f>
        <v>Chin Chin 224 gms</v>
      </c>
      <c r="K43" s="50">
        <f>'Daily Sales Entry'!G21</f>
        <v>5</v>
      </c>
      <c r="L43" s="79">
        <f>'Daily Sales Entry'!J21</f>
        <v>7500</v>
      </c>
      <c r="N43" s="95" t="s">
        <v>403</v>
      </c>
      <c r="O43" s="50">
        <f>IF(N43="","",IFERROR(VLOOKUP(N43,Inventory!$B:$R,12,FALSE),0))</f>
        <v>0</v>
      </c>
      <c r="P43" s="50">
        <f>IF(N43="","",IFERROR(VLOOKUP(N43,Inventory!$B:$R,15,FALSE),0))</f>
        <v>0</v>
      </c>
      <c r="Q43" s="77" t="str">
        <f t="shared" si="2"/>
        <v>Out of Stock</v>
      </c>
    </row>
    <row r="44" spans="2:20" s="25" customFormat="1" x14ac:dyDescent="0.25">
      <c r="B44" s="95" t="s">
        <v>423</v>
      </c>
      <c r="C44" s="50">
        <f>SUMIF('Daily Sales Entry'!$D:$D,B44,'Daily Sales Entry'!$G:$G)</f>
        <v>0</v>
      </c>
      <c r="I44" s="50">
        <f>'Daily Sales Entry'!B22</f>
        <v>7</v>
      </c>
      <c r="J44" s="50" t="str">
        <f>'Daily Sales Entry'!D22</f>
        <v>Malta Guinness 33cl Cans</v>
      </c>
      <c r="K44" s="50">
        <f>'Daily Sales Entry'!G22</f>
        <v>5</v>
      </c>
      <c r="L44" s="79">
        <f>'Daily Sales Entry'!J22</f>
        <v>7500</v>
      </c>
      <c r="N44" s="96" t="s">
        <v>404</v>
      </c>
      <c r="O44" s="50">
        <f>IF(N44="","",IFERROR(VLOOKUP(N44,Inventory!$B:$R,12,FALSE),0))</f>
        <v>0</v>
      </c>
      <c r="P44" s="50">
        <f>IF(N44="","",IFERROR(VLOOKUP(N44,Inventory!$B:$R,15,FALSE),0))</f>
        <v>0</v>
      </c>
      <c r="Q44" s="77" t="str">
        <f t="shared" si="2"/>
        <v>Out of Stock</v>
      </c>
    </row>
    <row r="45" spans="2:20" s="25" customFormat="1" x14ac:dyDescent="0.25">
      <c r="B45" s="96" t="s">
        <v>424</v>
      </c>
      <c r="C45" s="50">
        <f>SUMIF('Daily Sales Entry'!$D:$D,B45,'Daily Sales Entry'!$G:$G)</f>
        <v>0</v>
      </c>
      <c r="I45" s="50">
        <f>'Daily Sales Entry'!B23</f>
        <v>0</v>
      </c>
      <c r="J45" s="50">
        <f>'Daily Sales Entry'!D23</f>
        <v>0</v>
      </c>
      <c r="K45" s="50">
        <f>'Daily Sales Entry'!G23</f>
        <v>0</v>
      </c>
      <c r="L45" s="79">
        <f>'Daily Sales Entry'!J23</f>
        <v>0</v>
      </c>
      <c r="N45" s="95" t="s">
        <v>405</v>
      </c>
      <c r="O45" s="50">
        <f>IF(N45="","",IFERROR(VLOOKUP(N45,Inventory!$B:$R,12,FALSE),0))</f>
        <v>0</v>
      </c>
      <c r="P45" s="50">
        <f>IF(N45="","",IFERROR(VLOOKUP(N45,Inventory!$B:$R,15,FALSE),0))</f>
        <v>0</v>
      </c>
      <c r="Q45" s="77" t="str">
        <f t="shared" si="2"/>
        <v>Out of Stock</v>
      </c>
    </row>
    <row r="46" spans="2:20" s="25" customFormat="1" x14ac:dyDescent="0.25">
      <c r="B46" s="95" t="s">
        <v>425</v>
      </c>
      <c r="C46" s="50">
        <f>SUMIF('Daily Sales Entry'!$D:$D,B46,'Daily Sales Entry'!$G:$G)</f>
        <v>0</v>
      </c>
      <c r="I46" s="50">
        <f>'Daily Sales Entry'!B24</f>
        <v>0</v>
      </c>
      <c r="J46" s="50">
        <f>'Daily Sales Entry'!D24</f>
        <v>0</v>
      </c>
      <c r="K46" s="50">
        <f>'Daily Sales Entry'!G24</f>
        <v>0</v>
      </c>
      <c r="L46" s="79">
        <f>'Daily Sales Entry'!J24</f>
        <v>0</v>
      </c>
      <c r="N46" s="96" t="s">
        <v>406</v>
      </c>
      <c r="O46" s="50">
        <f>IF(N46="","",IFERROR(VLOOKUP(N46,Inventory!$B:$R,12,FALSE),0))</f>
        <v>0</v>
      </c>
      <c r="P46" s="50">
        <f>IF(N46="","",IFERROR(VLOOKUP(N46,Inventory!$B:$R,15,FALSE),0))</f>
        <v>0</v>
      </c>
      <c r="Q46" s="77" t="str">
        <f t="shared" si="2"/>
        <v>Out of Stock</v>
      </c>
    </row>
    <row r="47" spans="2:20" s="25" customFormat="1" x14ac:dyDescent="0.25">
      <c r="B47" s="96" t="s">
        <v>426</v>
      </c>
      <c r="C47" s="50">
        <f>SUMIF('Daily Sales Entry'!$D:$D,B47,'Daily Sales Entry'!$G:$G)</f>
        <v>0</v>
      </c>
      <c r="I47" s="50">
        <f>'Daily Sales Entry'!B25</f>
        <v>0</v>
      </c>
      <c r="J47" s="50">
        <f>'Daily Sales Entry'!D25</f>
        <v>0</v>
      </c>
      <c r="K47" s="50">
        <f>'Daily Sales Entry'!G25</f>
        <v>0</v>
      </c>
      <c r="L47" s="79">
        <f>'Daily Sales Entry'!J25</f>
        <v>0</v>
      </c>
      <c r="N47" s="95" t="s">
        <v>407</v>
      </c>
      <c r="O47" s="50">
        <f>IF(N47="","",IFERROR(VLOOKUP(N47,Inventory!$B:$R,12,FALSE),0))</f>
        <v>0</v>
      </c>
      <c r="P47" s="50">
        <f>IF(N47="","",IFERROR(VLOOKUP(N47,Inventory!$B:$R,15,FALSE),0))</f>
        <v>0</v>
      </c>
      <c r="Q47" s="77" t="str">
        <f t="shared" si="2"/>
        <v>Out of Stock</v>
      </c>
    </row>
    <row r="48" spans="2:20" s="25" customFormat="1" x14ac:dyDescent="0.25">
      <c r="B48" s="95" t="s">
        <v>427</v>
      </c>
      <c r="C48" s="50">
        <f>SUMIF('Daily Sales Entry'!$D:$D,B48,'Daily Sales Entry'!$G:$G)</f>
        <v>0</v>
      </c>
      <c r="I48" s="50">
        <f>'Daily Sales Entry'!B26</f>
        <v>0</v>
      </c>
      <c r="J48" s="50">
        <f>'Daily Sales Entry'!D26</f>
        <v>0</v>
      </c>
      <c r="K48" s="50">
        <f>'Daily Sales Entry'!G26</f>
        <v>0</v>
      </c>
      <c r="L48" s="79">
        <f>'Daily Sales Entry'!J26</f>
        <v>0</v>
      </c>
      <c r="N48" s="96" t="s">
        <v>408</v>
      </c>
      <c r="O48" s="50">
        <f>IF(N48="","",IFERROR(VLOOKUP(N48,Inventory!$B:$R,12,FALSE),0))</f>
        <v>0</v>
      </c>
      <c r="P48" s="50">
        <f>IF(N48="","",IFERROR(VLOOKUP(N48,Inventory!$B:$R,15,FALSE),0))</f>
        <v>0</v>
      </c>
      <c r="Q48" s="77" t="str">
        <f t="shared" si="2"/>
        <v>Out of Stock</v>
      </c>
    </row>
    <row r="49" spans="2:17" s="25" customFormat="1" x14ac:dyDescent="0.25">
      <c r="B49" s="96" t="s">
        <v>428</v>
      </c>
      <c r="C49" s="50">
        <f>SUMIF('Daily Sales Entry'!$D:$D,B49,'Daily Sales Entry'!$G:$G)</f>
        <v>0</v>
      </c>
      <c r="I49" s="50">
        <f>'Daily Sales Entry'!B27</f>
        <v>0</v>
      </c>
      <c r="J49" s="50">
        <f>'Daily Sales Entry'!D27</f>
        <v>0</v>
      </c>
      <c r="K49" s="50">
        <f>'Daily Sales Entry'!G27</f>
        <v>0</v>
      </c>
      <c r="L49" s="79">
        <f>'Daily Sales Entry'!J27</f>
        <v>0</v>
      </c>
      <c r="N49" s="95" t="s">
        <v>409</v>
      </c>
      <c r="O49" s="50">
        <f>IF(N49="","",IFERROR(VLOOKUP(N49,Inventory!$B:$R,12,FALSE),0))</f>
        <v>0</v>
      </c>
      <c r="P49" s="50">
        <f>IF(N49="","",IFERROR(VLOOKUP(N49,Inventory!$B:$R,15,FALSE),0))</f>
        <v>0</v>
      </c>
      <c r="Q49" s="77" t="str">
        <f t="shared" si="2"/>
        <v>Out of Stock</v>
      </c>
    </row>
    <row r="50" spans="2:17" s="25" customFormat="1" x14ac:dyDescent="0.25">
      <c r="B50" s="96" t="s">
        <v>430</v>
      </c>
      <c r="C50" s="50">
        <f>SUMIF('Daily Sales Entry'!$D:$D,B50,'Daily Sales Entry'!$G:$G)</f>
        <v>0</v>
      </c>
      <c r="I50" s="50">
        <f>'Daily Sales Entry'!B28</f>
        <v>0</v>
      </c>
      <c r="J50" s="50">
        <f>'Daily Sales Entry'!D28</f>
        <v>0</v>
      </c>
      <c r="K50" s="50">
        <f>'Daily Sales Entry'!G28</f>
        <v>0</v>
      </c>
      <c r="L50" s="79">
        <f>'Daily Sales Entry'!J28</f>
        <v>0</v>
      </c>
      <c r="N50" s="96" t="s">
        <v>410</v>
      </c>
      <c r="O50" s="50">
        <f>IF(N50="","",IFERROR(VLOOKUP(N50,Inventory!$B:$R,12,FALSE),0))</f>
        <v>0</v>
      </c>
      <c r="P50" s="50">
        <f>IF(N50="","",IFERROR(VLOOKUP(N50,Inventory!$B:$R,15,FALSE),0))</f>
        <v>0</v>
      </c>
      <c r="Q50" s="77" t="str">
        <f t="shared" si="2"/>
        <v>Out of Stock</v>
      </c>
    </row>
    <row r="51" spans="2:17" s="25" customFormat="1" x14ac:dyDescent="0.25">
      <c r="B51" s="95" t="s">
        <v>431</v>
      </c>
      <c r="C51" s="50">
        <f>SUMIF('Daily Sales Entry'!$D:$D,B51,'Daily Sales Entry'!$G:$G)</f>
        <v>0</v>
      </c>
      <c r="I51" s="50">
        <f>'Daily Sales Entry'!B29</f>
        <v>0</v>
      </c>
      <c r="J51" s="50">
        <f>'Daily Sales Entry'!D29</f>
        <v>0</v>
      </c>
      <c r="K51" s="50">
        <f>'Daily Sales Entry'!G29</f>
        <v>0</v>
      </c>
      <c r="L51" s="79">
        <f>'Daily Sales Entry'!J29</f>
        <v>0</v>
      </c>
      <c r="N51" s="95" t="s">
        <v>411</v>
      </c>
      <c r="O51" s="50">
        <f>IF(N51="","",IFERROR(VLOOKUP(N51,Inventory!$B:$R,12,FALSE),0))</f>
        <v>0</v>
      </c>
      <c r="P51" s="50">
        <f>IF(N51="","",IFERROR(VLOOKUP(N51,Inventory!$B:$R,15,FALSE),0))</f>
        <v>0</v>
      </c>
      <c r="Q51" s="77" t="str">
        <f t="shared" si="2"/>
        <v>Out of Stock</v>
      </c>
    </row>
    <row r="52" spans="2:17" s="25" customFormat="1" x14ac:dyDescent="0.25">
      <c r="B52" s="96" t="s">
        <v>432</v>
      </c>
      <c r="C52" s="50">
        <f>SUMIF('Daily Sales Entry'!$D:$D,B52,'Daily Sales Entry'!$G:$G)</f>
        <v>0</v>
      </c>
      <c r="I52" s="50">
        <f>'Daily Sales Entry'!B30</f>
        <v>0</v>
      </c>
      <c r="J52" s="50">
        <f>'Daily Sales Entry'!D30</f>
        <v>0</v>
      </c>
      <c r="K52" s="50">
        <f>'Daily Sales Entry'!G30</f>
        <v>0</v>
      </c>
      <c r="L52" s="79">
        <f>'Daily Sales Entry'!J30</f>
        <v>0</v>
      </c>
      <c r="N52" s="96" t="s">
        <v>412</v>
      </c>
      <c r="O52" s="50">
        <f>IF(N52="","",IFERROR(VLOOKUP(N52,Inventory!$B:$R,12,FALSE),0))</f>
        <v>0</v>
      </c>
      <c r="P52" s="50">
        <f>IF(N52="","",IFERROR(VLOOKUP(N52,Inventory!$B:$R,15,FALSE),0))</f>
        <v>0</v>
      </c>
      <c r="Q52" s="77" t="str">
        <f t="shared" si="2"/>
        <v>Out of Stock</v>
      </c>
    </row>
    <row r="53" spans="2:17" s="25" customFormat="1" x14ac:dyDescent="0.25">
      <c r="B53" s="95" t="s">
        <v>433</v>
      </c>
      <c r="C53" s="50">
        <f>SUMIF('Daily Sales Entry'!$D:$D,B53,'Daily Sales Entry'!$G:$G)</f>
        <v>0</v>
      </c>
      <c r="I53" s="50">
        <f>'Daily Sales Entry'!B31</f>
        <v>0</v>
      </c>
      <c r="J53" s="50">
        <f>'Daily Sales Entry'!D31</f>
        <v>0</v>
      </c>
      <c r="K53" s="50">
        <f>'Daily Sales Entry'!G31</f>
        <v>0</v>
      </c>
      <c r="L53" s="79">
        <f>'Daily Sales Entry'!J31</f>
        <v>0</v>
      </c>
      <c r="N53" s="95" t="s">
        <v>413</v>
      </c>
      <c r="O53" s="50">
        <f>IF(N53="","",IFERROR(VLOOKUP(N53,Inventory!$B:$R,12,FALSE),0))</f>
        <v>0</v>
      </c>
      <c r="P53" s="50">
        <f>IF(N53="","",IFERROR(VLOOKUP(N53,Inventory!$B:$R,15,FALSE),0))</f>
        <v>0</v>
      </c>
      <c r="Q53" s="77" t="str">
        <f t="shared" si="2"/>
        <v>Out of Stock</v>
      </c>
    </row>
    <row r="54" spans="2:17" s="25" customFormat="1" x14ac:dyDescent="0.25">
      <c r="B54" s="96" t="s">
        <v>434</v>
      </c>
      <c r="C54" s="50">
        <f>SUMIF('Daily Sales Entry'!$D:$D,B54,'Daily Sales Entry'!$G:$G)</f>
        <v>0</v>
      </c>
      <c r="I54" s="50">
        <f>'Daily Sales Entry'!B32</f>
        <v>0</v>
      </c>
      <c r="J54" s="50">
        <f>'Daily Sales Entry'!D32</f>
        <v>0</v>
      </c>
      <c r="K54" s="50">
        <f>'Daily Sales Entry'!G32</f>
        <v>0</v>
      </c>
      <c r="L54" s="79">
        <f>'Daily Sales Entry'!J32</f>
        <v>0</v>
      </c>
      <c r="N54" s="96" t="s">
        <v>414</v>
      </c>
      <c r="O54" s="50">
        <f>IF(N54="","",IFERROR(VLOOKUP(N54,Inventory!$B:$R,12,FALSE),0))</f>
        <v>0</v>
      </c>
      <c r="P54" s="50">
        <f>IF(N54="","",IFERROR(VLOOKUP(N54,Inventory!$B:$R,15,FALSE),0))</f>
        <v>0</v>
      </c>
      <c r="Q54" s="77" t="str">
        <f t="shared" si="2"/>
        <v>Out of Stock</v>
      </c>
    </row>
    <row r="55" spans="2:17" s="25" customFormat="1" x14ac:dyDescent="0.25">
      <c r="B55" s="95" t="s">
        <v>435</v>
      </c>
      <c r="C55" s="50">
        <f>SUMIF('Daily Sales Entry'!$D:$D,B55,'Daily Sales Entry'!$G:$G)</f>
        <v>0</v>
      </c>
      <c r="N55" s="95" t="s">
        <v>415</v>
      </c>
      <c r="O55" s="50">
        <f>IF(N55="","",IFERROR(VLOOKUP(N55,Inventory!$B:$R,12,FALSE),0))</f>
        <v>0</v>
      </c>
      <c r="P55" s="50">
        <f>IF(N55="","",IFERROR(VLOOKUP(N55,Inventory!$B:$R,15,FALSE),0))</f>
        <v>0</v>
      </c>
      <c r="Q55" s="77" t="str">
        <f t="shared" si="2"/>
        <v>Out of Stock</v>
      </c>
    </row>
    <row r="56" spans="2:17" s="25" customFormat="1" x14ac:dyDescent="0.25">
      <c r="B56" s="96" t="s">
        <v>436</v>
      </c>
      <c r="C56" s="50">
        <f>SUMIF('Daily Sales Entry'!$D:$D,B56,'Daily Sales Entry'!$G:$G)</f>
        <v>0</v>
      </c>
      <c r="N56" s="96" t="s">
        <v>416</v>
      </c>
      <c r="O56" s="50">
        <f>IF(N56="","",IFERROR(VLOOKUP(N56,Inventory!$B:$R,12,FALSE),0))</f>
        <v>0</v>
      </c>
      <c r="P56" s="50">
        <f>IF(N56="","",IFERROR(VLOOKUP(N56,Inventory!$B:$R,15,FALSE),0))</f>
        <v>0</v>
      </c>
      <c r="Q56" s="77" t="str">
        <f t="shared" ref="Q56:Q87" si="3">IF(N56="","",IFERROR(IF(O56=0,"Out of Stock",IF(O56&lt;=P56,"Low Stock","In Stock")),"Out of Stock"))</f>
        <v>Out of Stock</v>
      </c>
    </row>
    <row r="57" spans="2:17" s="25" customFormat="1" x14ac:dyDescent="0.25">
      <c r="B57" s="95" t="s">
        <v>437</v>
      </c>
      <c r="C57" s="50">
        <f>SUMIF('Daily Sales Entry'!$D:$D,B57,'Daily Sales Entry'!$G:$G)</f>
        <v>0</v>
      </c>
      <c r="N57" s="95" t="s">
        <v>417</v>
      </c>
      <c r="O57" s="50">
        <f>IF(N57="","",IFERROR(VLOOKUP(N57,Inventory!$B:$R,12,FALSE),0))</f>
        <v>0</v>
      </c>
      <c r="P57" s="50">
        <f>IF(N57="","",IFERROR(VLOOKUP(N57,Inventory!$B:$R,15,FALSE),0))</f>
        <v>0</v>
      </c>
      <c r="Q57" s="77" t="str">
        <f t="shared" si="3"/>
        <v>Out of Stock</v>
      </c>
    </row>
    <row r="58" spans="2:17" s="25" customFormat="1" x14ac:dyDescent="0.25">
      <c r="B58" s="96" t="s">
        <v>438</v>
      </c>
      <c r="C58" s="50">
        <f>SUMIF('Daily Sales Entry'!$D:$D,B58,'Daily Sales Entry'!$G:$G)</f>
        <v>0</v>
      </c>
      <c r="N58" s="96" t="s">
        <v>418</v>
      </c>
      <c r="O58" s="50">
        <f>IF(N58="","",IFERROR(VLOOKUP(N58,Inventory!$B:$R,12,FALSE),0))</f>
        <v>0</v>
      </c>
      <c r="P58" s="50">
        <f>IF(N58="","",IFERROR(VLOOKUP(N58,Inventory!$B:$R,15,FALSE),0))</f>
        <v>0</v>
      </c>
      <c r="Q58" s="77" t="str">
        <f t="shared" si="3"/>
        <v>Out of Stock</v>
      </c>
    </row>
    <row r="59" spans="2:17" s="25" customFormat="1" x14ac:dyDescent="0.25">
      <c r="B59" s="95" t="s">
        <v>439</v>
      </c>
      <c r="C59" s="50">
        <f>SUMIF('Daily Sales Entry'!$D:$D,B59,'Daily Sales Entry'!$G:$G)</f>
        <v>0</v>
      </c>
      <c r="N59" s="95" t="s">
        <v>419</v>
      </c>
      <c r="O59" s="50">
        <f>IF(N59="","",IFERROR(VLOOKUP(N59,Inventory!$B:$R,12,FALSE),0))</f>
        <v>0</v>
      </c>
      <c r="P59" s="50">
        <f>IF(N59="","",IFERROR(VLOOKUP(N59,Inventory!$B:$R,15,FALSE),0))</f>
        <v>0</v>
      </c>
      <c r="Q59" s="77" t="str">
        <f t="shared" si="3"/>
        <v>Out of Stock</v>
      </c>
    </row>
    <row r="60" spans="2:17" s="25" customFormat="1" x14ac:dyDescent="0.25">
      <c r="B60" s="96" t="s">
        <v>440</v>
      </c>
      <c r="C60" s="50">
        <f>SUMIF('Daily Sales Entry'!$D:$D,B60,'Daily Sales Entry'!$G:$G)</f>
        <v>0</v>
      </c>
      <c r="N60" s="96" t="s">
        <v>420</v>
      </c>
      <c r="O60" s="50">
        <f>IF(N60="","",IFERROR(VLOOKUP(N60,Inventory!$B:$R,12,FALSE),0))</f>
        <v>0</v>
      </c>
      <c r="P60" s="50">
        <f>IF(N60="","",IFERROR(VLOOKUP(N60,Inventory!$B:$R,15,FALSE),0))</f>
        <v>0</v>
      </c>
      <c r="Q60" s="77" t="str">
        <f t="shared" si="3"/>
        <v>Out of Stock</v>
      </c>
    </row>
    <row r="61" spans="2:17" s="25" customFormat="1" x14ac:dyDescent="0.25">
      <c r="B61" s="95" t="s">
        <v>441</v>
      </c>
      <c r="C61" s="50">
        <f>SUMIF('Daily Sales Entry'!$D:$D,B61,'Daily Sales Entry'!$G:$G)</f>
        <v>0</v>
      </c>
      <c r="N61" s="95" t="s">
        <v>421</v>
      </c>
      <c r="O61" s="50">
        <f>IF(N61="","",IFERROR(VLOOKUP(N61,Inventory!$B:$R,12,FALSE),0))</f>
        <v>0</v>
      </c>
      <c r="P61" s="50">
        <f>IF(N61="","",IFERROR(VLOOKUP(N61,Inventory!$B:$R,15,FALSE),0))</f>
        <v>0</v>
      </c>
      <c r="Q61" s="77" t="str">
        <f t="shared" si="3"/>
        <v>Out of Stock</v>
      </c>
    </row>
    <row r="62" spans="2:17" s="25" customFormat="1" x14ac:dyDescent="0.25">
      <c r="B62" s="96" t="s">
        <v>442</v>
      </c>
      <c r="C62" s="50">
        <f>SUMIF('Daily Sales Entry'!$D:$D,B62,'Daily Sales Entry'!$G:$G)</f>
        <v>0</v>
      </c>
      <c r="N62" s="95" t="s">
        <v>423</v>
      </c>
      <c r="O62" s="50">
        <f>IF(N62="","",IFERROR(VLOOKUP(N62,Inventory!$B:$R,12,FALSE),0))</f>
        <v>0</v>
      </c>
      <c r="P62" s="50">
        <f>IF(N62="","",IFERROR(VLOOKUP(N62,Inventory!$B:$R,15,FALSE),0))</f>
        <v>0</v>
      </c>
      <c r="Q62" s="77" t="str">
        <f t="shared" si="3"/>
        <v>Out of Stock</v>
      </c>
    </row>
    <row r="63" spans="2:17" s="25" customFormat="1" x14ac:dyDescent="0.25">
      <c r="B63" s="95" t="s">
        <v>443</v>
      </c>
      <c r="C63" s="50">
        <f>SUMIF('Daily Sales Entry'!$D:$D,B63,'Daily Sales Entry'!$G:$G)</f>
        <v>0</v>
      </c>
      <c r="N63" s="96" t="s">
        <v>424</v>
      </c>
      <c r="O63" s="50">
        <f>IF(N63="","",IFERROR(VLOOKUP(N63,Inventory!$B:$R,12,FALSE),0))</f>
        <v>0</v>
      </c>
      <c r="P63" s="50">
        <f>IF(N63="","",IFERROR(VLOOKUP(N63,Inventory!$B:$R,15,FALSE),0))</f>
        <v>0</v>
      </c>
      <c r="Q63" s="77" t="str">
        <f t="shared" si="3"/>
        <v>Out of Stock</v>
      </c>
    </row>
    <row r="64" spans="2:17" s="25" customFormat="1" x14ac:dyDescent="0.25">
      <c r="B64" s="96" t="s">
        <v>444</v>
      </c>
      <c r="C64" s="50">
        <f>SUMIF('Daily Sales Entry'!$D:$D,B64,'Daily Sales Entry'!$G:$G)</f>
        <v>0</v>
      </c>
      <c r="N64" s="95" t="s">
        <v>425</v>
      </c>
      <c r="O64" s="50">
        <f>IF(N64="","",IFERROR(VLOOKUP(N64,Inventory!$B:$R,12,FALSE),0))</f>
        <v>0</v>
      </c>
      <c r="P64" s="50">
        <f>IF(N64="","",IFERROR(VLOOKUP(N64,Inventory!$B:$R,15,FALSE),0))</f>
        <v>0</v>
      </c>
      <c r="Q64" s="77" t="str">
        <f t="shared" si="3"/>
        <v>Out of Stock</v>
      </c>
    </row>
    <row r="65" spans="2:17" s="25" customFormat="1" x14ac:dyDescent="0.25">
      <c r="B65" s="95" t="s">
        <v>445</v>
      </c>
      <c r="C65" s="50">
        <f>SUMIF('Daily Sales Entry'!$D:$D,B65,'Daily Sales Entry'!$G:$G)</f>
        <v>0</v>
      </c>
      <c r="N65" s="96" t="s">
        <v>426</v>
      </c>
      <c r="O65" s="50">
        <f>IF(N65="","",IFERROR(VLOOKUP(N65,Inventory!$B:$R,12,FALSE),0))</f>
        <v>0</v>
      </c>
      <c r="P65" s="50">
        <f>IF(N65="","",IFERROR(VLOOKUP(N65,Inventory!$B:$R,15,FALSE),0))</f>
        <v>0</v>
      </c>
      <c r="Q65" s="77" t="str">
        <f t="shared" si="3"/>
        <v>Out of Stock</v>
      </c>
    </row>
    <row r="66" spans="2:17" s="25" customFormat="1" x14ac:dyDescent="0.25">
      <c r="B66" s="96" t="s">
        <v>446</v>
      </c>
      <c r="C66" s="50">
        <f>SUMIF('Daily Sales Entry'!$D:$D,B66,'Daily Sales Entry'!$G:$G)</f>
        <v>0</v>
      </c>
      <c r="N66" s="95" t="s">
        <v>427</v>
      </c>
      <c r="O66" s="50">
        <f>IF(N66="","",IFERROR(VLOOKUP(N66,Inventory!$B:$R,12,FALSE),0))</f>
        <v>0</v>
      </c>
      <c r="P66" s="50">
        <f>IF(N66="","",IFERROR(VLOOKUP(N66,Inventory!$B:$R,15,FALSE),0))</f>
        <v>0</v>
      </c>
      <c r="Q66" s="77" t="str">
        <f t="shared" si="3"/>
        <v>Out of Stock</v>
      </c>
    </row>
    <row r="67" spans="2:17" s="25" customFormat="1" x14ac:dyDescent="0.25">
      <c r="B67" s="95" t="s">
        <v>447</v>
      </c>
      <c r="C67" s="50">
        <f>SUMIF('Daily Sales Entry'!$D:$D,B67,'Daily Sales Entry'!$G:$G)</f>
        <v>0</v>
      </c>
      <c r="N67" s="96" t="s">
        <v>428</v>
      </c>
      <c r="O67" s="50">
        <f>IF(N67="","",IFERROR(VLOOKUP(N67,Inventory!$B:$R,12,FALSE),0))</f>
        <v>0</v>
      </c>
      <c r="P67" s="50">
        <f>IF(N67="","",IFERROR(VLOOKUP(N67,Inventory!$B:$R,15,FALSE),0))</f>
        <v>0</v>
      </c>
      <c r="Q67" s="77" t="str">
        <f t="shared" si="3"/>
        <v>Out of Stock</v>
      </c>
    </row>
    <row r="68" spans="2:17" s="25" customFormat="1" x14ac:dyDescent="0.25">
      <c r="B68" s="96" t="s">
        <v>448</v>
      </c>
      <c r="C68" s="50">
        <f>SUMIF('Daily Sales Entry'!$D:$D,B68,'Daily Sales Entry'!$G:$G)</f>
        <v>0</v>
      </c>
      <c r="N68" s="95" t="s">
        <v>429</v>
      </c>
      <c r="O68" s="50">
        <f>IF(N68="","",IFERROR(VLOOKUP(N68,Inventory!$B:$R,12,FALSE),0))</f>
        <v>0</v>
      </c>
      <c r="P68" s="50">
        <f>IF(N68="","",IFERROR(VLOOKUP(N68,Inventory!$B:$R,15,FALSE),0))</f>
        <v>0</v>
      </c>
      <c r="Q68" s="77" t="str">
        <f t="shared" si="3"/>
        <v>Out of Stock</v>
      </c>
    </row>
    <row r="69" spans="2:17" s="25" customFormat="1" x14ac:dyDescent="0.25">
      <c r="B69" s="95" t="s">
        <v>449</v>
      </c>
      <c r="C69" s="50">
        <f>SUMIF('Daily Sales Entry'!$D:$D,B69,'Daily Sales Entry'!$G:$G)</f>
        <v>0</v>
      </c>
      <c r="N69" s="96" t="s">
        <v>430</v>
      </c>
      <c r="O69" s="50">
        <f>IF(N69="","",IFERROR(VLOOKUP(N69,Inventory!$B:$R,12,FALSE),0))</f>
        <v>0</v>
      </c>
      <c r="P69" s="50">
        <f>IF(N69="","",IFERROR(VLOOKUP(N69,Inventory!$B:$R,15,FALSE),0))</f>
        <v>0</v>
      </c>
      <c r="Q69" s="77" t="str">
        <f t="shared" si="3"/>
        <v>Out of Stock</v>
      </c>
    </row>
    <row r="70" spans="2:17" s="25" customFormat="1" x14ac:dyDescent="0.25">
      <c r="B70" s="96" t="s">
        <v>450</v>
      </c>
      <c r="C70" s="50">
        <f>SUMIF('Daily Sales Entry'!$D:$D,B70,'Daily Sales Entry'!$G:$G)</f>
        <v>0</v>
      </c>
      <c r="N70" s="95" t="s">
        <v>431</v>
      </c>
      <c r="O70" s="50">
        <f>IF(N70="","",IFERROR(VLOOKUP(N70,Inventory!$B:$R,12,FALSE),0))</f>
        <v>0</v>
      </c>
      <c r="P70" s="50">
        <f>IF(N70="","",IFERROR(VLOOKUP(N70,Inventory!$B:$R,15,FALSE),0))</f>
        <v>0</v>
      </c>
      <c r="Q70" s="77" t="str">
        <f t="shared" si="3"/>
        <v>Out of Stock</v>
      </c>
    </row>
    <row r="71" spans="2:17" s="25" customFormat="1" x14ac:dyDescent="0.25">
      <c r="B71" s="95" t="s">
        <v>451</v>
      </c>
      <c r="C71" s="50">
        <f>SUMIF('Daily Sales Entry'!$D:$D,B71,'Daily Sales Entry'!$G:$G)</f>
        <v>0</v>
      </c>
      <c r="N71" s="96" t="s">
        <v>432</v>
      </c>
      <c r="O71" s="50">
        <f>IF(N71="","",IFERROR(VLOOKUP(N71,Inventory!$B:$R,12,FALSE),0))</f>
        <v>0</v>
      </c>
      <c r="P71" s="50">
        <f>IF(N71="","",IFERROR(VLOOKUP(N71,Inventory!$B:$R,15,FALSE),0))</f>
        <v>0</v>
      </c>
      <c r="Q71" s="77" t="str">
        <f t="shared" si="3"/>
        <v>Out of Stock</v>
      </c>
    </row>
    <row r="72" spans="2:17" s="25" customFormat="1" x14ac:dyDescent="0.25">
      <c r="B72" s="96" t="s">
        <v>452</v>
      </c>
      <c r="C72" s="50">
        <f>SUMIF('Daily Sales Entry'!$D:$D,B72,'Daily Sales Entry'!$G:$G)</f>
        <v>0</v>
      </c>
      <c r="N72" s="96" t="s">
        <v>434</v>
      </c>
      <c r="O72" s="50">
        <f>IF(N72="","",IFERROR(VLOOKUP(N72,Inventory!$B:$R,12,FALSE),0))</f>
        <v>0</v>
      </c>
      <c r="P72" s="50">
        <f>IF(N72="","",IFERROR(VLOOKUP(N72,Inventory!$B:$R,15,FALSE),0))</f>
        <v>0</v>
      </c>
      <c r="Q72" s="77" t="str">
        <f t="shared" si="3"/>
        <v>Out of Stock</v>
      </c>
    </row>
    <row r="73" spans="2:17" s="25" customFormat="1" x14ac:dyDescent="0.25">
      <c r="B73" s="95" t="s">
        <v>453</v>
      </c>
      <c r="C73" s="50">
        <f>SUMIF('Daily Sales Entry'!$D:$D,B73,'Daily Sales Entry'!$G:$G)</f>
        <v>0</v>
      </c>
      <c r="N73" s="95" t="s">
        <v>435</v>
      </c>
      <c r="O73" s="50">
        <f>IF(N73="","",IFERROR(VLOOKUP(N73,Inventory!$B:$R,12,FALSE),0))</f>
        <v>0</v>
      </c>
      <c r="P73" s="50">
        <f>IF(N73="","",IFERROR(VLOOKUP(N73,Inventory!$B:$R,15,FALSE),0))</f>
        <v>0</v>
      </c>
      <c r="Q73" s="77" t="str">
        <f t="shared" si="3"/>
        <v>Out of Stock</v>
      </c>
    </row>
    <row r="74" spans="2:17" s="25" customFormat="1" x14ac:dyDescent="0.25">
      <c r="B74" s="96" t="s">
        <v>454</v>
      </c>
      <c r="C74" s="50">
        <f>SUMIF('Daily Sales Entry'!$D:$D,B74,'Daily Sales Entry'!$G:$G)</f>
        <v>0</v>
      </c>
      <c r="N74" s="96" t="s">
        <v>436</v>
      </c>
      <c r="O74" s="50">
        <f>IF(N74="","",IFERROR(VLOOKUP(N74,Inventory!$B:$R,12,FALSE),0))</f>
        <v>0</v>
      </c>
      <c r="P74" s="50">
        <f>IF(N74="","",IFERROR(VLOOKUP(N74,Inventory!$B:$R,15,FALSE),0))</f>
        <v>0</v>
      </c>
      <c r="Q74" s="77" t="str">
        <f t="shared" si="3"/>
        <v>Out of Stock</v>
      </c>
    </row>
    <row r="75" spans="2:17" s="25" customFormat="1" x14ac:dyDescent="0.25">
      <c r="B75" s="95" t="s">
        <v>455</v>
      </c>
      <c r="C75" s="50">
        <f>SUMIF('Daily Sales Entry'!$D:$D,B75,'Daily Sales Entry'!$G:$G)</f>
        <v>0</v>
      </c>
      <c r="N75" s="96" t="s">
        <v>438</v>
      </c>
      <c r="O75" s="50">
        <f>IF(N75="","",IFERROR(VLOOKUP(N75,Inventory!$B:$R,12,FALSE),0))</f>
        <v>0</v>
      </c>
      <c r="P75" s="50">
        <f>IF(N75="","",IFERROR(VLOOKUP(N75,Inventory!$B:$R,15,FALSE),0))</f>
        <v>0</v>
      </c>
      <c r="Q75" s="77" t="str">
        <f t="shared" si="3"/>
        <v>Out of Stock</v>
      </c>
    </row>
    <row r="76" spans="2:17" s="25" customFormat="1" x14ac:dyDescent="0.25">
      <c r="B76" s="96" t="s">
        <v>456</v>
      </c>
      <c r="C76" s="50">
        <f>SUMIF('Daily Sales Entry'!$D:$D,B76,'Daily Sales Entry'!$G:$G)</f>
        <v>0</v>
      </c>
      <c r="N76" s="95" t="s">
        <v>439</v>
      </c>
      <c r="O76" s="50">
        <f>IF(N76="","",IFERROR(VLOOKUP(N76,Inventory!$B:$R,12,FALSE),0))</f>
        <v>0</v>
      </c>
      <c r="P76" s="50">
        <f>IF(N76="","",IFERROR(VLOOKUP(N76,Inventory!$B:$R,15,FALSE),0))</f>
        <v>0</v>
      </c>
      <c r="Q76" s="77" t="str">
        <f t="shared" si="3"/>
        <v>Out of Stock</v>
      </c>
    </row>
    <row r="77" spans="2:17" s="25" customFormat="1" x14ac:dyDescent="0.25">
      <c r="B77" s="95" t="s">
        <v>457</v>
      </c>
      <c r="C77" s="50">
        <f>SUMIF('Daily Sales Entry'!$D:$D,B77,'Daily Sales Entry'!$G:$G)</f>
        <v>0</v>
      </c>
      <c r="N77" s="96" t="s">
        <v>440</v>
      </c>
      <c r="O77" s="50">
        <f>IF(N77="","",IFERROR(VLOOKUP(N77,Inventory!$B:$R,12,FALSE),0))</f>
        <v>0</v>
      </c>
      <c r="P77" s="50">
        <f>IF(N77="","",IFERROR(VLOOKUP(N77,Inventory!$B:$R,15,FALSE),0))</f>
        <v>0</v>
      </c>
      <c r="Q77" s="77" t="str">
        <f t="shared" si="3"/>
        <v>Out of Stock</v>
      </c>
    </row>
    <row r="78" spans="2:17" s="25" customFormat="1" x14ac:dyDescent="0.25">
      <c r="B78" s="96" t="s">
        <v>458</v>
      </c>
      <c r="C78" s="50">
        <f>SUMIF('Daily Sales Entry'!$D:$D,B78,'Daily Sales Entry'!$G:$G)</f>
        <v>0</v>
      </c>
      <c r="N78" s="95" t="s">
        <v>441</v>
      </c>
      <c r="O78" s="50">
        <f>IF(N78="","",IFERROR(VLOOKUP(N78,Inventory!$B:$R,12,FALSE),0))</f>
        <v>0</v>
      </c>
      <c r="P78" s="50">
        <f>IF(N78="","",IFERROR(VLOOKUP(N78,Inventory!$B:$R,15,FALSE),0))</f>
        <v>0</v>
      </c>
      <c r="Q78" s="77" t="str">
        <f t="shared" si="3"/>
        <v>Out of Stock</v>
      </c>
    </row>
    <row r="79" spans="2:17" s="25" customFormat="1" x14ac:dyDescent="0.25">
      <c r="B79" s="95" t="s">
        <v>459</v>
      </c>
      <c r="C79" s="50">
        <f>SUMIF('Daily Sales Entry'!$D:$D,B79,'Daily Sales Entry'!$G:$G)</f>
        <v>0</v>
      </c>
      <c r="N79" s="96" t="s">
        <v>442</v>
      </c>
      <c r="O79" s="50">
        <f>IF(N79="","",IFERROR(VLOOKUP(N79,Inventory!$B:$R,12,FALSE),0))</f>
        <v>0</v>
      </c>
      <c r="P79" s="50">
        <f>IF(N79="","",IFERROR(VLOOKUP(N79,Inventory!$B:$R,15,FALSE),0))</f>
        <v>0</v>
      </c>
      <c r="Q79" s="77" t="str">
        <f t="shared" si="3"/>
        <v>Out of Stock</v>
      </c>
    </row>
    <row r="80" spans="2:17" s="25" customFormat="1" x14ac:dyDescent="0.25">
      <c r="B80" s="96" t="s">
        <v>460</v>
      </c>
      <c r="C80" s="50">
        <f>SUMIF('Daily Sales Entry'!$D:$D,B80,'Daily Sales Entry'!$G:$G)</f>
        <v>0</v>
      </c>
      <c r="N80" s="95" t="s">
        <v>443</v>
      </c>
      <c r="O80" s="50">
        <f>IF(N80="","",IFERROR(VLOOKUP(N80,Inventory!$B:$R,12,FALSE),0))</f>
        <v>0</v>
      </c>
      <c r="P80" s="50">
        <f>IF(N80="","",IFERROR(VLOOKUP(N80,Inventory!$B:$R,15,FALSE),0))</f>
        <v>0</v>
      </c>
      <c r="Q80" s="77" t="str">
        <f t="shared" si="3"/>
        <v>Out of Stock</v>
      </c>
    </row>
    <row r="81" spans="2:17" s="25" customFormat="1" x14ac:dyDescent="0.25">
      <c r="B81" s="95" t="s">
        <v>461</v>
      </c>
      <c r="C81" s="50">
        <f>SUMIF('Daily Sales Entry'!$D:$D,B81,'Daily Sales Entry'!$G:$G)</f>
        <v>0</v>
      </c>
      <c r="N81" s="96" t="s">
        <v>444</v>
      </c>
      <c r="O81" s="50">
        <f>IF(N81="","",IFERROR(VLOOKUP(N81,Inventory!$B:$R,12,FALSE),0))</f>
        <v>0</v>
      </c>
      <c r="P81" s="50">
        <f>IF(N81="","",IFERROR(VLOOKUP(N81,Inventory!$B:$R,15,FALSE),0))</f>
        <v>0</v>
      </c>
      <c r="Q81" s="77" t="str">
        <f t="shared" si="3"/>
        <v>Out of Stock</v>
      </c>
    </row>
    <row r="82" spans="2:17" s="25" customFormat="1" x14ac:dyDescent="0.25">
      <c r="B82" s="96" t="s">
        <v>462</v>
      </c>
      <c r="C82" s="50">
        <f>SUMIF('Daily Sales Entry'!$D:$D,B82,'Daily Sales Entry'!$G:$G)</f>
        <v>0</v>
      </c>
      <c r="N82" s="95" t="s">
        <v>445</v>
      </c>
      <c r="O82" s="50">
        <f>IF(N82="","",IFERROR(VLOOKUP(N82,Inventory!$B:$R,12,FALSE),0))</f>
        <v>0</v>
      </c>
      <c r="P82" s="50">
        <f>IF(N82="","",IFERROR(VLOOKUP(N82,Inventory!$B:$R,15,FALSE),0))</f>
        <v>0</v>
      </c>
      <c r="Q82" s="77" t="str">
        <f t="shared" si="3"/>
        <v>Out of Stock</v>
      </c>
    </row>
    <row r="83" spans="2:17" s="25" customFormat="1" x14ac:dyDescent="0.25">
      <c r="B83" s="95" t="s">
        <v>463</v>
      </c>
      <c r="C83" s="50">
        <f>SUMIF('Daily Sales Entry'!$D:$D,B83,'Daily Sales Entry'!$G:$G)</f>
        <v>0</v>
      </c>
      <c r="N83" s="96" t="s">
        <v>446</v>
      </c>
      <c r="O83" s="50">
        <f>IF(N83="","",IFERROR(VLOOKUP(N83,Inventory!$B:$R,12,FALSE),0))</f>
        <v>0</v>
      </c>
      <c r="P83" s="50">
        <f>IF(N83="","",IFERROR(VLOOKUP(N83,Inventory!$B:$R,15,FALSE),0))</f>
        <v>0</v>
      </c>
      <c r="Q83" s="77" t="str">
        <f t="shared" si="3"/>
        <v>Out of Stock</v>
      </c>
    </row>
    <row r="84" spans="2:17" s="25" customFormat="1" x14ac:dyDescent="0.25">
      <c r="B84" s="96" t="s">
        <v>464</v>
      </c>
      <c r="C84" s="50">
        <f>SUMIF('Daily Sales Entry'!$D:$D,B84,'Daily Sales Entry'!$G:$G)</f>
        <v>5</v>
      </c>
      <c r="N84" s="95" t="s">
        <v>447</v>
      </c>
      <c r="O84" s="50">
        <f>IF(N84="","",IFERROR(VLOOKUP(N84,Inventory!$B:$R,12,FALSE),0))</f>
        <v>0</v>
      </c>
      <c r="P84" s="50">
        <f>IF(N84="","",IFERROR(VLOOKUP(N84,Inventory!$B:$R,15,FALSE),0))</f>
        <v>0</v>
      </c>
      <c r="Q84" s="77" t="str">
        <f t="shared" si="3"/>
        <v>Out of Stock</v>
      </c>
    </row>
    <row r="85" spans="2:17" s="25" customFormat="1" x14ac:dyDescent="0.25">
      <c r="B85" s="95" t="s">
        <v>465</v>
      </c>
      <c r="C85" s="50">
        <f>SUMIF('Daily Sales Entry'!$D:$D,B85,'Daily Sales Entry'!$G:$G)</f>
        <v>5</v>
      </c>
      <c r="N85" s="96" t="s">
        <v>448</v>
      </c>
      <c r="O85" s="50">
        <f>IF(N85="","",IFERROR(VLOOKUP(N85,Inventory!$B:$R,12,FALSE),0))</f>
        <v>0</v>
      </c>
      <c r="P85" s="50">
        <f>IF(N85="","",IFERROR(VLOOKUP(N85,Inventory!$B:$R,15,FALSE),0))</f>
        <v>0</v>
      </c>
      <c r="Q85" s="77" t="str">
        <f t="shared" si="3"/>
        <v>Out of Stock</v>
      </c>
    </row>
    <row r="86" spans="2:17" s="25" customFormat="1" x14ac:dyDescent="0.25">
      <c r="B86" s="96" t="s">
        <v>466</v>
      </c>
      <c r="C86" s="50">
        <f>SUMIF('Daily Sales Entry'!$D:$D,B86,'Daily Sales Entry'!$G:$G)</f>
        <v>5</v>
      </c>
      <c r="N86" s="95" t="s">
        <v>449</v>
      </c>
      <c r="O86" s="50">
        <f>IF(N86="","",IFERROR(VLOOKUP(N86,Inventory!$B:$R,12,FALSE),0))</f>
        <v>0</v>
      </c>
      <c r="P86" s="50">
        <f>IF(N86="","",IFERROR(VLOOKUP(N86,Inventory!$B:$R,15,FALSE),0))</f>
        <v>0</v>
      </c>
      <c r="Q86" s="77" t="str">
        <f t="shared" si="3"/>
        <v>Out of Stock</v>
      </c>
    </row>
    <row r="87" spans="2:17" s="25" customFormat="1" x14ac:dyDescent="0.25">
      <c r="B87" s="95" t="s">
        <v>467</v>
      </c>
      <c r="C87" s="50">
        <f>SUMIF('Daily Sales Entry'!$D:$D,B87,'Daily Sales Entry'!$G:$G)</f>
        <v>5</v>
      </c>
      <c r="N87" s="96" t="s">
        <v>450</v>
      </c>
      <c r="O87" s="50">
        <f>IF(N87="","",IFERROR(VLOOKUP(N87,Inventory!$B:$R,12,FALSE),0))</f>
        <v>0</v>
      </c>
      <c r="P87" s="50">
        <f>IF(N87="","",IFERROR(VLOOKUP(N87,Inventory!$B:$R,15,FALSE),0))</f>
        <v>0</v>
      </c>
      <c r="Q87" s="77" t="str">
        <f t="shared" si="3"/>
        <v>Out of Stock</v>
      </c>
    </row>
    <row r="88" spans="2:17" s="25" customFormat="1" x14ac:dyDescent="0.25">
      <c r="N88" s="95" t="s">
        <v>451</v>
      </c>
      <c r="O88" s="50">
        <f>IF(N88="","",IFERROR(VLOOKUP(N88,Inventory!$B:$R,12,FALSE),0))</f>
        <v>0</v>
      </c>
      <c r="P88" s="50">
        <f>IF(N88="","",IFERROR(VLOOKUP(N88,Inventory!$B:$R,15,FALSE),0))</f>
        <v>0</v>
      </c>
      <c r="Q88" s="77" t="str">
        <f t="shared" ref="Q88:Q100" si="4">IF(N88="","",IFERROR(IF(O88=0,"Out of Stock",IF(O88&lt;=P88,"Low Stock","In Stock")),"Out of Stock"))</f>
        <v>Out of Stock</v>
      </c>
    </row>
    <row r="89" spans="2:17" s="25" customFormat="1" x14ac:dyDescent="0.25">
      <c r="N89" s="96" t="s">
        <v>452</v>
      </c>
      <c r="O89" s="50">
        <f>IF(N89="","",IFERROR(VLOOKUP(N89,Inventory!$B:$R,12,FALSE),0))</f>
        <v>0</v>
      </c>
      <c r="P89" s="50">
        <f>IF(N89="","",IFERROR(VLOOKUP(N89,Inventory!$B:$R,15,FALSE),0))</f>
        <v>0</v>
      </c>
      <c r="Q89" s="77" t="str">
        <f t="shared" si="4"/>
        <v>Out of Stock</v>
      </c>
    </row>
    <row r="90" spans="2:17" s="25" customFormat="1" x14ac:dyDescent="0.25">
      <c r="N90" s="95" t="s">
        <v>453</v>
      </c>
      <c r="O90" s="50">
        <f>IF(N90="","",IFERROR(VLOOKUP(N90,Inventory!$B:$R,12,FALSE),0))</f>
        <v>0</v>
      </c>
      <c r="P90" s="50">
        <f>IF(N90="","",IFERROR(VLOOKUP(N90,Inventory!$B:$R,15,FALSE),0))</f>
        <v>0</v>
      </c>
      <c r="Q90" s="77" t="str">
        <f t="shared" si="4"/>
        <v>Out of Stock</v>
      </c>
    </row>
    <row r="91" spans="2:17" s="25" customFormat="1" x14ac:dyDescent="0.25">
      <c r="N91" s="96" t="s">
        <v>454</v>
      </c>
      <c r="O91" s="50">
        <f>IF(N91="","",IFERROR(VLOOKUP(N91,Inventory!$B:$R,12,FALSE),0))</f>
        <v>0</v>
      </c>
      <c r="P91" s="50">
        <f>IF(N91="","",IFERROR(VLOOKUP(N91,Inventory!$B:$R,15,FALSE),0))</f>
        <v>0</v>
      </c>
      <c r="Q91" s="77" t="str">
        <f t="shared" si="4"/>
        <v>Out of Stock</v>
      </c>
    </row>
    <row r="92" spans="2:17" s="25" customFormat="1" x14ac:dyDescent="0.25">
      <c r="N92" s="95" t="s">
        <v>455</v>
      </c>
      <c r="O92" s="50">
        <f>IF(N92="","",IFERROR(VLOOKUP(N92,Inventory!$B:$R,12,FALSE),0))</f>
        <v>0</v>
      </c>
      <c r="P92" s="50">
        <f>IF(N92="","",IFERROR(VLOOKUP(N92,Inventory!$B:$R,15,FALSE),0))</f>
        <v>0</v>
      </c>
      <c r="Q92" s="77" t="str">
        <f t="shared" si="4"/>
        <v>Out of Stock</v>
      </c>
    </row>
    <row r="93" spans="2:17" s="25" customFormat="1" x14ac:dyDescent="0.25">
      <c r="N93" s="96" t="s">
        <v>456</v>
      </c>
      <c r="O93" s="50">
        <f>IF(N93="","",IFERROR(VLOOKUP(N93,Inventory!$B:$R,12,FALSE),0))</f>
        <v>0</v>
      </c>
      <c r="P93" s="50">
        <f>IF(N93="","",IFERROR(VLOOKUP(N93,Inventory!$B:$R,15,FALSE),0))</f>
        <v>0</v>
      </c>
      <c r="Q93" s="77" t="str">
        <f t="shared" si="4"/>
        <v>Out of Stock</v>
      </c>
    </row>
    <row r="94" spans="2:17" s="25" customFormat="1" x14ac:dyDescent="0.25">
      <c r="N94" s="95" t="s">
        <v>457</v>
      </c>
      <c r="O94" s="50">
        <f>IF(N94="","",IFERROR(VLOOKUP(N94,Inventory!$B:$R,12,FALSE),0))</f>
        <v>0</v>
      </c>
      <c r="P94" s="50">
        <f>IF(N94="","",IFERROR(VLOOKUP(N94,Inventory!$B:$R,15,FALSE),0))</f>
        <v>0</v>
      </c>
      <c r="Q94" s="77" t="str">
        <f t="shared" si="4"/>
        <v>Out of Stock</v>
      </c>
    </row>
    <row r="95" spans="2:17" s="25" customFormat="1" x14ac:dyDescent="0.25">
      <c r="N95" s="96" t="s">
        <v>458</v>
      </c>
      <c r="O95" s="50">
        <f>IF(N95="","",IFERROR(VLOOKUP(N95,Inventory!$B:$R,12,FALSE),0))</f>
        <v>0</v>
      </c>
      <c r="P95" s="50">
        <f>IF(N95="","",IFERROR(VLOOKUP(N95,Inventory!$B:$R,15,FALSE),0))</f>
        <v>0</v>
      </c>
      <c r="Q95" s="77" t="str">
        <f t="shared" si="4"/>
        <v>Out of Stock</v>
      </c>
    </row>
    <row r="96" spans="2:17" s="25" customFormat="1" x14ac:dyDescent="0.25">
      <c r="N96" s="95" t="s">
        <v>459</v>
      </c>
      <c r="O96" s="50">
        <f>IF(N96="","",IFERROR(VLOOKUP(N96,Inventory!$B:$R,12,FALSE),0))</f>
        <v>0</v>
      </c>
      <c r="P96" s="50">
        <f>IF(N96="","",IFERROR(VLOOKUP(N96,Inventory!$B:$R,15,FALSE),0))</f>
        <v>0</v>
      </c>
      <c r="Q96" s="77" t="str">
        <f t="shared" si="4"/>
        <v>Out of Stock</v>
      </c>
    </row>
    <row r="97" spans="4:17" s="25" customFormat="1" x14ac:dyDescent="0.25">
      <c r="N97" s="96" t="s">
        <v>460</v>
      </c>
      <c r="O97" s="50">
        <f>IF(N97="","",IFERROR(VLOOKUP(N97,Inventory!$B:$R,12,FALSE),0))</f>
        <v>0</v>
      </c>
      <c r="P97" s="50">
        <f>IF(N97="","",IFERROR(VLOOKUP(N97,Inventory!$B:$R,15,FALSE),0))</f>
        <v>0</v>
      </c>
      <c r="Q97" s="77" t="str">
        <f t="shared" si="4"/>
        <v>Out of Stock</v>
      </c>
    </row>
    <row r="98" spans="4:17" s="25" customFormat="1" x14ac:dyDescent="0.25">
      <c r="N98" s="95" t="s">
        <v>461</v>
      </c>
      <c r="O98" s="50">
        <f>IF(N98="","",IFERROR(VLOOKUP(N98,Inventory!$B:$R,12,FALSE),0))</f>
        <v>0</v>
      </c>
      <c r="P98" s="50">
        <f>IF(N98="","",IFERROR(VLOOKUP(N98,Inventory!$B:$R,15,FALSE),0))</f>
        <v>0</v>
      </c>
      <c r="Q98" s="77" t="str">
        <f t="shared" si="4"/>
        <v>Out of Stock</v>
      </c>
    </row>
    <row r="99" spans="4:17" s="25" customFormat="1" ht="18.75" x14ac:dyDescent="0.3">
      <c r="D99" s="91" t="s">
        <v>521</v>
      </c>
      <c r="N99" s="96" t="s">
        <v>464</v>
      </c>
      <c r="O99" s="50">
        <f>IF(N99="","",IFERROR(VLOOKUP(N99,Inventory!$B:$R,12,FALSE),0))</f>
        <v>45</v>
      </c>
      <c r="P99" s="50">
        <f>IF(N99="","",IFERROR(VLOOKUP(N99,Inventory!$B:$R,15,FALSE),0))</f>
        <v>20</v>
      </c>
      <c r="Q99" s="77" t="str">
        <f t="shared" si="4"/>
        <v>In Stock</v>
      </c>
    </row>
    <row r="100" spans="4:17" s="25" customFormat="1" x14ac:dyDescent="0.25">
      <c r="N100" s="95" t="s">
        <v>465</v>
      </c>
      <c r="O100" s="50">
        <f>IF(N100="","",IFERROR(VLOOKUP(N100,Inventory!$B:$R,12,FALSE),0))</f>
        <v>45</v>
      </c>
      <c r="P100" s="50">
        <f>IF(N100="","",IFERROR(VLOOKUP(N100,Inventory!$B:$R,15,FALSE),0))</f>
        <v>20</v>
      </c>
      <c r="Q100" s="77" t="str">
        <f t="shared" si="4"/>
        <v>In Stock</v>
      </c>
    </row>
    <row r="101" spans="4:17" s="25" customFormat="1" ht="18.75" x14ac:dyDescent="0.3">
      <c r="D101" s="69"/>
    </row>
    <row r="102" spans="4:17" s="25" customFormat="1" x14ac:dyDescent="0.25"/>
    <row r="103" spans="4:17" s="25" customFormat="1" ht="31.5" x14ac:dyDescent="0.5">
      <c r="D103" s="90" t="s">
        <v>493</v>
      </c>
      <c r="E103" s="29"/>
      <c r="F103" s="29"/>
      <c r="G103" s="29"/>
      <c r="H103" s="29"/>
    </row>
    <row r="104" spans="4:17" s="26" customFormat="1" x14ac:dyDescent="0.25"/>
  </sheetData>
  <sortState xmlns:xlrd2="http://schemas.microsoft.com/office/spreadsheetml/2017/richdata2" ref="B11:C87">
    <sortCondition descending="1" ref="C11"/>
  </sortState>
  <mergeCells count="7">
    <mergeCell ref="J3:J4"/>
    <mergeCell ref="L3:L4"/>
    <mergeCell ref="A1:L1"/>
    <mergeCell ref="B3:B4"/>
    <mergeCell ref="D3:D4"/>
    <mergeCell ref="F3:F4"/>
    <mergeCell ref="H3:H4"/>
  </mergeCells>
  <conditionalFormatting sqref="P5">
    <cfRule type="containsText" dxfId="8" priority="1" operator="containsText" text="If Net Profit &lt; 0">
      <formula>NOT(ISERROR(SEARCH("If Net Profit &lt; 0",P5)))</formula>
    </cfRule>
    <cfRule type="containsText" dxfId="7" priority="2" operator="containsText" text="If Net Profit &gt; 0">
      <formula>NOT(ISERROR(SEARCH("If Net Profit &gt; 0",P5)))</formula>
    </cfRule>
  </conditionalFormatting>
  <conditionalFormatting sqref="Q24:Q100">
    <cfRule type="containsText" dxfId="6" priority="3" operator="containsText" text="Out of Stock">
      <formula>NOT(ISERROR(SEARCH("Out of Stock",Q24)))</formula>
    </cfRule>
    <cfRule type="containsText" dxfId="5" priority="4" operator="containsText" text="Low Stock">
      <formula>NOT(ISERROR(SEARCH("Low Stock",Q24)))</formula>
    </cfRule>
    <cfRule type="containsText" dxfId="4" priority="5" operator="containsText" text="In Stock">
      <formula>NOT(ISERROR(SEARCH("In Stock",Q24)))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Z1029"/>
  <sheetViews>
    <sheetView showGridLines="0" showRowColHeaders="0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15.42578125" bestFit="1" customWidth="1"/>
    <col min="2" max="2" width="27.7109375" customWidth="1"/>
    <col min="3" max="3" width="16.140625" bestFit="1" customWidth="1"/>
    <col min="4" max="4" width="22.28515625" bestFit="1" customWidth="1"/>
    <col min="5" max="5" width="14.85546875" bestFit="1" customWidth="1"/>
    <col min="6" max="6" width="17.5703125" bestFit="1" customWidth="1"/>
    <col min="7" max="7" width="20.140625" bestFit="1" customWidth="1"/>
    <col min="8" max="8" width="19.5703125" bestFit="1" customWidth="1"/>
    <col min="9" max="9" width="10.7109375" bestFit="1" customWidth="1"/>
  </cols>
  <sheetData>
    <row r="1" spans="1:26" s="15" customFormat="1" ht="23.1" customHeight="1" x14ac:dyDescent="0.3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110</v>
      </c>
      <c r="I1" s="46" t="s">
        <v>7</v>
      </c>
      <c r="J1" s="88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x14ac:dyDescent="0.25">
      <c r="A2" s="31" t="s">
        <v>526</v>
      </c>
      <c r="B2" s="32" t="s">
        <v>393</v>
      </c>
      <c r="C2" s="32" t="s">
        <v>12</v>
      </c>
      <c r="D2" s="32" t="s">
        <v>19</v>
      </c>
      <c r="E2" s="33">
        <v>700</v>
      </c>
      <c r="F2" s="34">
        <v>1000</v>
      </c>
      <c r="G2" s="35">
        <f>Table1[[#This Row],[Selling Price]]-Table1[[#This Row],[Cost Price]]</f>
        <v>300</v>
      </c>
      <c r="H2" s="32">
        <v>20</v>
      </c>
      <c r="I2" s="36" t="s">
        <v>35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25">
      <c r="A3" s="31" t="s">
        <v>527</v>
      </c>
      <c r="B3" s="32" t="s">
        <v>394</v>
      </c>
      <c r="C3" s="32" t="s">
        <v>12</v>
      </c>
      <c r="D3" s="32" t="s">
        <v>19</v>
      </c>
      <c r="E3" s="37">
        <v>900</v>
      </c>
      <c r="F3" s="38">
        <v>1200</v>
      </c>
      <c r="G3" s="35">
        <f>Table1[[#This Row],[Selling Price]]-Table1[[#This Row],[Cost Price]]</f>
        <v>300</v>
      </c>
      <c r="H3" s="32">
        <v>20</v>
      </c>
      <c r="I3" s="36" t="s">
        <v>35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25">
      <c r="A4" s="31" t="s">
        <v>528</v>
      </c>
      <c r="B4" s="32" t="s">
        <v>395</v>
      </c>
      <c r="C4" s="32" t="s">
        <v>12</v>
      </c>
      <c r="D4" s="32" t="s">
        <v>19</v>
      </c>
      <c r="E4" s="37">
        <v>1200</v>
      </c>
      <c r="F4" s="38">
        <v>1500</v>
      </c>
      <c r="G4" s="35">
        <f>Table1[[#This Row],[Selling Price]]-Table1[[#This Row],[Cost Price]]</f>
        <v>300</v>
      </c>
      <c r="H4" s="32">
        <v>20</v>
      </c>
      <c r="I4" s="36" t="s">
        <v>35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1" t="s">
        <v>529</v>
      </c>
      <c r="B5" s="32" t="s">
        <v>396</v>
      </c>
      <c r="C5" s="32" t="s">
        <v>12</v>
      </c>
      <c r="D5" s="32" t="s">
        <v>19</v>
      </c>
      <c r="E5" s="39">
        <v>400</v>
      </c>
      <c r="F5" s="34">
        <v>700</v>
      </c>
      <c r="G5" s="35">
        <f>Table1[[#This Row],[Selling Price]]-Table1[[#This Row],[Cost Price]]</f>
        <v>300</v>
      </c>
      <c r="H5" s="32">
        <v>20</v>
      </c>
      <c r="I5" s="36" t="s">
        <v>35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25">
      <c r="A6" s="31" t="s">
        <v>530</v>
      </c>
      <c r="B6" s="32" t="s">
        <v>397</v>
      </c>
      <c r="C6" s="32" t="s">
        <v>12</v>
      </c>
      <c r="D6" s="32" t="s">
        <v>19</v>
      </c>
      <c r="E6" s="39">
        <v>200</v>
      </c>
      <c r="F6" s="34">
        <v>500</v>
      </c>
      <c r="G6" s="35">
        <f>Table1[[#This Row],[Selling Price]]-Table1[[#This Row],[Cost Price]]</f>
        <v>300</v>
      </c>
      <c r="H6" s="32">
        <v>20</v>
      </c>
      <c r="I6" s="36" t="s">
        <v>35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25">
      <c r="A7" s="31" t="s">
        <v>535</v>
      </c>
      <c r="B7" s="32" t="s">
        <v>398</v>
      </c>
      <c r="C7" s="32" t="s">
        <v>12</v>
      </c>
      <c r="D7" s="32" t="s">
        <v>19</v>
      </c>
      <c r="E7" s="39">
        <v>500</v>
      </c>
      <c r="F7" s="34">
        <v>800</v>
      </c>
      <c r="G7" s="35">
        <f>Table1[[#This Row],[Selling Price]]-Table1[[#This Row],[Cost Price]]</f>
        <v>300</v>
      </c>
      <c r="H7" s="32">
        <v>20</v>
      </c>
      <c r="I7" s="36" t="s">
        <v>35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25">
      <c r="A8" s="31" t="s">
        <v>555</v>
      </c>
      <c r="B8" s="32" t="s">
        <v>399</v>
      </c>
      <c r="C8" s="32" t="s">
        <v>472</v>
      </c>
      <c r="D8" s="32" t="s">
        <v>19</v>
      </c>
      <c r="E8" s="39">
        <v>500</v>
      </c>
      <c r="F8" s="34">
        <v>900</v>
      </c>
      <c r="G8" s="35">
        <f>Table1[[#This Row],[Selling Price]]-Table1[[#This Row],[Cost Price]]</f>
        <v>400</v>
      </c>
      <c r="H8" s="32">
        <v>20</v>
      </c>
      <c r="I8" s="36" t="s">
        <v>35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31" t="s">
        <v>556</v>
      </c>
      <c r="B9" s="32" t="s">
        <v>400</v>
      </c>
      <c r="C9" s="32" t="s">
        <v>472</v>
      </c>
      <c r="D9" s="32" t="s">
        <v>19</v>
      </c>
      <c r="E9" s="39">
        <v>700</v>
      </c>
      <c r="F9" s="34">
        <v>1000</v>
      </c>
      <c r="G9" s="35">
        <f>Table1[[#This Row],[Selling Price]]-Table1[[#This Row],[Cost Price]]</f>
        <v>300</v>
      </c>
      <c r="H9" s="32">
        <v>20</v>
      </c>
      <c r="I9" s="36" t="s">
        <v>35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31" t="s">
        <v>557</v>
      </c>
      <c r="B10" s="32" t="s">
        <v>401</v>
      </c>
      <c r="C10" s="32" t="s">
        <v>472</v>
      </c>
      <c r="D10" s="32" t="s">
        <v>19</v>
      </c>
      <c r="E10" s="39">
        <v>400</v>
      </c>
      <c r="F10" s="34">
        <v>700</v>
      </c>
      <c r="G10" s="35">
        <f>Table1[[#This Row],[Selling Price]]-Table1[[#This Row],[Cost Price]]</f>
        <v>300</v>
      </c>
      <c r="H10" s="32">
        <v>20</v>
      </c>
      <c r="I10" s="36" t="s">
        <v>35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25">
      <c r="A11" s="31" t="s">
        <v>562</v>
      </c>
      <c r="B11" s="32" t="s">
        <v>469</v>
      </c>
      <c r="C11" s="32" t="s">
        <v>470</v>
      </c>
      <c r="D11" s="32" t="s">
        <v>20</v>
      </c>
      <c r="E11" s="39">
        <v>17000</v>
      </c>
      <c r="F11" s="34">
        <v>20000</v>
      </c>
      <c r="G11" s="35">
        <f>Table1[[#This Row],[Selling Price]]-Table1[[#This Row],[Cost Price]]</f>
        <v>3000</v>
      </c>
      <c r="H11" s="32">
        <v>10</v>
      </c>
      <c r="I11" s="36" t="s">
        <v>35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25">
      <c r="A12" s="31" t="s">
        <v>563</v>
      </c>
      <c r="B12" s="32" t="s">
        <v>468</v>
      </c>
      <c r="C12" s="32" t="s">
        <v>470</v>
      </c>
      <c r="D12" s="32" t="s">
        <v>20</v>
      </c>
      <c r="E12" s="39">
        <v>5000</v>
      </c>
      <c r="F12" s="34">
        <v>8500</v>
      </c>
      <c r="G12" s="35">
        <f>Table1[[#This Row],[Selling Price]]-Table1[[#This Row],[Cost Price]]</f>
        <v>3500</v>
      </c>
      <c r="H12" s="32">
        <v>10</v>
      </c>
      <c r="I12" s="36" t="s">
        <v>35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31" t="s">
        <v>567</v>
      </c>
      <c r="B13" s="32" t="s">
        <v>467</v>
      </c>
      <c r="C13" s="32" t="s">
        <v>470</v>
      </c>
      <c r="D13" s="32" t="s">
        <v>20</v>
      </c>
      <c r="E13" s="39">
        <v>900</v>
      </c>
      <c r="F13" s="34">
        <v>1500</v>
      </c>
      <c r="G13" s="35">
        <f>Table1[[#This Row],[Selling Price]]-Table1[[#This Row],[Cost Price]]</f>
        <v>600</v>
      </c>
      <c r="H13" s="32">
        <v>20</v>
      </c>
      <c r="I13" s="36" t="s">
        <v>35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31" t="s">
        <v>568</v>
      </c>
      <c r="B14" s="32" t="s">
        <v>466</v>
      </c>
      <c r="C14" s="32" t="s">
        <v>470</v>
      </c>
      <c r="D14" s="32" t="s">
        <v>20</v>
      </c>
      <c r="E14" s="39">
        <v>1000</v>
      </c>
      <c r="F14" s="34">
        <v>1500</v>
      </c>
      <c r="G14" s="35">
        <f>Table1[[#This Row],[Selling Price]]-Table1[[#This Row],[Cost Price]]</f>
        <v>500</v>
      </c>
      <c r="H14" s="32">
        <v>20</v>
      </c>
      <c r="I14" s="36" t="s">
        <v>35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31" t="s">
        <v>569</v>
      </c>
      <c r="B15" s="32" t="s">
        <v>465</v>
      </c>
      <c r="C15" s="32" t="s">
        <v>472</v>
      </c>
      <c r="D15" s="32" t="s">
        <v>19</v>
      </c>
      <c r="E15" s="39">
        <v>800</v>
      </c>
      <c r="F15" s="34">
        <v>1500</v>
      </c>
      <c r="G15" s="35">
        <f>Table1[[#This Row],[Selling Price]]-Table1[[#This Row],[Cost Price]]</f>
        <v>700</v>
      </c>
      <c r="H15" s="32">
        <v>20</v>
      </c>
      <c r="I15" s="36" t="s">
        <v>35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31" t="s">
        <v>570</v>
      </c>
      <c r="B16" s="32" t="s">
        <v>464</v>
      </c>
      <c r="C16" s="32" t="s">
        <v>470</v>
      </c>
      <c r="D16" s="32" t="s">
        <v>20</v>
      </c>
      <c r="E16" s="39">
        <v>900</v>
      </c>
      <c r="F16" s="34">
        <v>1500</v>
      </c>
      <c r="G16" s="35">
        <f>Table1[[#This Row],[Selling Price]]-Table1[[#This Row],[Cost Price]]</f>
        <v>600</v>
      </c>
      <c r="H16" s="32">
        <v>20</v>
      </c>
      <c r="I16" s="36" t="s">
        <v>35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x14ac:dyDescent="0.25">
      <c r="A17" s="31"/>
      <c r="B17" s="32"/>
      <c r="C17" s="32"/>
      <c r="D17" s="32"/>
      <c r="E17" s="39"/>
      <c r="F17" s="34"/>
      <c r="G17" s="35">
        <f>Table1[[#This Row],[Selling Price]]-Table1[[#This Row],[Cost Price]]</f>
        <v>0</v>
      </c>
      <c r="H17" s="32"/>
      <c r="I17" s="36" t="s">
        <v>36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31"/>
      <c r="B18" s="32"/>
      <c r="C18" s="32"/>
      <c r="D18" s="32"/>
      <c r="E18" s="39"/>
      <c r="F18" s="34"/>
      <c r="G18" s="35">
        <f>Table1[[#This Row],[Selling Price]]-Table1[[#This Row],[Cost Price]]</f>
        <v>0</v>
      </c>
      <c r="H18" s="32"/>
      <c r="I18" s="36" t="s">
        <v>36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x14ac:dyDescent="0.25">
      <c r="A19" s="31"/>
      <c r="B19" s="32"/>
      <c r="C19" s="32"/>
      <c r="D19" s="32"/>
      <c r="E19" s="39"/>
      <c r="F19" s="34"/>
      <c r="G19" s="35">
        <f>Table1[[#This Row],[Selling Price]]-Table1[[#This Row],[Cost Price]]</f>
        <v>0</v>
      </c>
      <c r="H19" s="32"/>
      <c r="I19" s="36" t="s">
        <v>36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x14ac:dyDescent="0.25">
      <c r="A20" s="31"/>
      <c r="B20" s="32"/>
      <c r="C20" s="32"/>
      <c r="D20" s="32"/>
      <c r="E20" s="39"/>
      <c r="F20" s="34"/>
      <c r="G20" s="35">
        <f>Table1[[#This Row],[Selling Price]]-Table1[[#This Row],[Cost Price]]</f>
        <v>0</v>
      </c>
      <c r="H20" s="32"/>
      <c r="I20" s="36" t="s">
        <v>36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x14ac:dyDescent="0.25">
      <c r="A21" s="31"/>
      <c r="B21" s="32"/>
      <c r="C21" s="32"/>
      <c r="D21" s="32"/>
      <c r="E21" s="39"/>
      <c r="F21" s="34"/>
      <c r="G21" s="35">
        <f>Table1[[#This Row],[Selling Price]]-Table1[[#This Row],[Cost Price]]</f>
        <v>0</v>
      </c>
      <c r="H21" s="32"/>
      <c r="I21" s="36" t="s">
        <v>36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25">
      <c r="A22" s="31"/>
      <c r="B22" s="32"/>
      <c r="C22" s="32"/>
      <c r="D22" s="32"/>
      <c r="E22" s="39"/>
      <c r="F22" s="34"/>
      <c r="G22" s="35">
        <f>Table1[[#This Row],[Selling Price]]-Table1[[#This Row],[Cost Price]]</f>
        <v>0</v>
      </c>
      <c r="H22" s="32"/>
      <c r="I22" s="36" t="s">
        <v>36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x14ac:dyDescent="0.25">
      <c r="A23" s="31"/>
      <c r="B23" s="32"/>
      <c r="C23" s="32"/>
      <c r="D23" s="32"/>
      <c r="E23" s="39"/>
      <c r="F23" s="34"/>
      <c r="G23" s="35">
        <f>Table1[[#This Row],[Selling Price]]-Table1[[#This Row],[Cost Price]]</f>
        <v>0</v>
      </c>
      <c r="H23" s="32"/>
      <c r="I23" s="36" t="s">
        <v>36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x14ac:dyDescent="0.25">
      <c r="A24" s="31"/>
      <c r="B24" s="32"/>
      <c r="C24" s="32"/>
      <c r="D24" s="32"/>
      <c r="E24" s="39"/>
      <c r="F24" s="34"/>
      <c r="G24" s="35">
        <f>Table1[[#This Row],[Selling Price]]-Table1[[#This Row],[Cost Price]]</f>
        <v>0</v>
      </c>
      <c r="H24" s="32"/>
      <c r="I24" s="36" t="s">
        <v>36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x14ac:dyDescent="0.25">
      <c r="A25" s="31"/>
      <c r="B25" s="32"/>
      <c r="C25" s="32"/>
      <c r="D25" s="32"/>
      <c r="E25" s="39"/>
      <c r="F25" s="34"/>
      <c r="G25" s="35">
        <f>Table1[[#This Row],[Selling Price]]-Table1[[#This Row],[Cost Price]]</f>
        <v>0</v>
      </c>
      <c r="H25" s="32"/>
      <c r="I25" s="36" t="s">
        <v>36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x14ac:dyDescent="0.25">
      <c r="A26" s="31"/>
      <c r="B26" s="32"/>
      <c r="C26" s="32"/>
      <c r="D26" s="32"/>
      <c r="E26" s="39"/>
      <c r="F26" s="34"/>
      <c r="G26" s="35">
        <f>Table1[[#This Row],[Selling Price]]-Table1[[#This Row],[Cost Price]]</f>
        <v>0</v>
      </c>
      <c r="H26" s="32"/>
      <c r="I26" s="36" t="s">
        <v>36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x14ac:dyDescent="0.25">
      <c r="A27" s="31"/>
      <c r="B27" s="32"/>
      <c r="C27" s="32"/>
      <c r="D27" s="32"/>
      <c r="E27" s="39"/>
      <c r="F27" s="34"/>
      <c r="G27" s="35">
        <f>Table1[[#This Row],[Selling Price]]-Table1[[#This Row],[Cost Price]]</f>
        <v>0</v>
      </c>
      <c r="H27" s="32"/>
      <c r="I27" s="36" t="s">
        <v>36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25">
      <c r="A28" s="31"/>
      <c r="B28" s="32"/>
      <c r="C28" s="32"/>
      <c r="D28" s="32"/>
      <c r="E28" s="39"/>
      <c r="F28" s="34"/>
      <c r="G28" s="35">
        <f>Table1[[#This Row],[Selling Price]]-Table1[[#This Row],[Cost Price]]</f>
        <v>0</v>
      </c>
      <c r="H28" s="32"/>
      <c r="I28" s="36" t="s">
        <v>36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25">
      <c r="A29" s="31"/>
      <c r="B29" s="32"/>
      <c r="C29" s="32"/>
      <c r="D29" s="32"/>
      <c r="E29" s="39"/>
      <c r="F29" s="34"/>
      <c r="G29" s="35">
        <f>Table1[[#This Row],[Selling Price]]-Table1[[#This Row],[Cost Price]]</f>
        <v>0</v>
      </c>
      <c r="H29" s="32"/>
      <c r="I29" s="36" t="s">
        <v>36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25">
      <c r="A30" s="31"/>
      <c r="B30" s="32"/>
      <c r="C30" s="32"/>
      <c r="D30" s="32"/>
      <c r="E30" s="39"/>
      <c r="F30" s="34"/>
      <c r="G30" s="35">
        <f>Table1[[#This Row],[Selling Price]]-Table1[[#This Row],[Cost Price]]</f>
        <v>0</v>
      </c>
      <c r="H30" s="32"/>
      <c r="I30" s="36" t="s">
        <v>36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25">
      <c r="A31" s="31"/>
      <c r="B31" s="32"/>
      <c r="C31" s="32"/>
      <c r="D31" s="32"/>
      <c r="E31" s="39"/>
      <c r="F31" s="34"/>
      <c r="G31" s="35">
        <f>Table1[[#This Row],[Selling Price]]-Table1[[#This Row],[Cost Price]]</f>
        <v>0</v>
      </c>
      <c r="H31" s="32"/>
      <c r="I31" s="36" t="s">
        <v>36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25">
      <c r="A32" s="31"/>
      <c r="B32" s="32"/>
      <c r="C32" s="32"/>
      <c r="D32" s="32"/>
      <c r="E32" s="39"/>
      <c r="F32" s="34"/>
      <c r="G32" s="35">
        <f>Table1[[#This Row],[Selling Price]]-Table1[[#This Row],[Cost Price]]</f>
        <v>0</v>
      </c>
      <c r="H32" s="32"/>
      <c r="I32" s="36" t="s">
        <v>36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25">
      <c r="A33" s="31"/>
      <c r="B33" s="32"/>
      <c r="C33" s="32"/>
      <c r="D33" s="32"/>
      <c r="E33" s="39"/>
      <c r="F33" s="34"/>
      <c r="G33" s="35">
        <f>Table1[[#This Row],[Selling Price]]-Table1[[#This Row],[Cost Price]]</f>
        <v>0</v>
      </c>
      <c r="H33" s="32"/>
      <c r="I33" s="36" t="s">
        <v>36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5">
      <c r="A34" s="31"/>
      <c r="B34" s="32"/>
      <c r="C34" s="32"/>
      <c r="D34" s="32"/>
      <c r="E34" s="39"/>
      <c r="F34" s="34"/>
      <c r="G34" s="35">
        <f>Table1[[#This Row],[Selling Price]]-Table1[[#This Row],[Cost Price]]</f>
        <v>0</v>
      </c>
      <c r="H34" s="32"/>
      <c r="I34" s="36" t="s">
        <v>36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31"/>
      <c r="B35" s="32"/>
      <c r="C35" s="32"/>
      <c r="D35" s="32"/>
      <c r="E35" s="39"/>
      <c r="F35" s="34"/>
      <c r="G35" s="35">
        <f>Table1[[#This Row],[Selling Price]]-Table1[[#This Row],[Cost Price]]</f>
        <v>0</v>
      </c>
      <c r="H35" s="32"/>
      <c r="I35" s="36" t="s">
        <v>36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5">
      <c r="A36" s="31"/>
      <c r="B36" s="32"/>
      <c r="C36" s="32"/>
      <c r="D36" s="32"/>
      <c r="E36" s="39"/>
      <c r="F36" s="34"/>
      <c r="G36" s="35">
        <f>Table1[[#This Row],[Selling Price]]-Table1[[#This Row],[Cost Price]]</f>
        <v>0</v>
      </c>
      <c r="H36" s="32"/>
      <c r="I36" s="36" t="s">
        <v>36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5">
      <c r="A37" s="31"/>
      <c r="B37" s="32"/>
      <c r="C37" s="32"/>
      <c r="D37" s="32"/>
      <c r="E37" s="39"/>
      <c r="F37" s="34"/>
      <c r="G37" s="35">
        <f>Table1[[#This Row],[Selling Price]]-Table1[[#This Row],[Cost Price]]</f>
        <v>0</v>
      </c>
      <c r="H37" s="32"/>
      <c r="I37" s="36" t="s">
        <v>36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25">
      <c r="A38" s="31"/>
      <c r="B38" s="32"/>
      <c r="C38" s="32"/>
      <c r="D38" s="32"/>
      <c r="E38" s="39"/>
      <c r="F38" s="34"/>
      <c r="G38" s="35">
        <f>Table1[[#This Row],[Selling Price]]-Table1[[#This Row],[Cost Price]]</f>
        <v>0</v>
      </c>
      <c r="H38" s="32"/>
      <c r="I38" s="36" t="s">
        <v>36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25">
      <c r="A39" s="31"/>
      <c r="B39" s="32"/>
      <c r="C39" s="32"/>
      <c r="D39" s="32"/>
      <c r="E39" s="39"/>
      <c r="F39" s="34"/>
      <c r="G39" s="35">
        <f>Table1[[#This Row],[Selling Price]]-Table1[[#This Row],[Cost Price]]</f>
        <v>0</v>
      </c>
      <c r="H39" s="32"/>
      <c r="I39" s="36" t="s">
        <v>36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25">
      <c r="A40" s="31"/>
      <c r="B40" s="32"/>
      <c r="C40" s="32"/>
      <c r="D40" s="32"/>
      <c r="E40" s="39"/>
      <c r="F40" s="34"/>
      <c r="G40" s="35">
        <f>Table1[[#This Row],[Selling Price]]-Table1[[#This Row],[Cost Price]]</f>
        <v>0</v>
      </c>
      <c r="H40" s="32"/>
      <c r="I40" s="36" t="s">
        <v>36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25">
      <c r="A41" s="31"/>
      <c r="B41" s="32"/>
      <c r="C41" s="32"/>
      <c r="D41" s="32"/>
      <c r="E41" s="39"/>
      <c r="F41" s="34"/>
      <c r="G41" s="35">
        <f>Table1[[#This Row],[Selling Price]]-Table1[[#This Row],[Cost Price]]</f>
        <v>0</v>
      </c>
      <c r="H41" s="32"/>
      <c r="I41" s="36" t="s">
        <v>36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25">
      <c r="A42" s="31"/>
      <c r="B42" s="32"/>
      <c r="C42" s="32"/>
      <c r="D42" s="32"/>
      <c r="E42" s="39"/>
      <c r="F42" s="34"/>
      <c r="G42" s="35">
        <f>Table1[[#This Row],[Selling Price]]-Table1[[#This Row],[Cost Price]]</f>
        <v>0</v>
      </c>
      <c r="H42" s="32"/>
      <c r="I42" s="36" t="s">
        <v>36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25">
      <c r="A43" s="31"/>
      <c r="B43" s="32"/>
      <c r="C43" s="32"/>
      <c r="D43" s="32"/>
      <c r="E43" s="39"/>
      <c r="F43" s="34"/>
      <c r="G43" s="35">
        <f>Table1[[#This Row],[Selling Price]]-Table1[[#This Row],[Cost Price]]</f>
        <v>0</v>
      </c>
      <c r="H43" s="32"/>
      <c r="I43" s="36" t="s">
        <v>36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25">
      <c r="A44" s="31"/>
      <c r="B44" s="32"/>
      <c r="C44" s="32"/>
      <c r="D44" s="32"/>
      <c r="E44" s="39"/>
      <c r="F44" s="34"/>
      <c r="G44" s="35">
        <f>Table1[[#This Row],[Selling Price]]-Table1[[#This Row],[Cost Price]]</f>
        <v>0</v>
      </c>
      <c r="H44" s="32"/>
      <c r="I44" s="36" t="s">
        <v>36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25">
      <c r="A45" s="31"/>
      <c r="B45" s="32"/>
      <c r="C45" s="32"/>
      <c r="D45" s="32"/>
      <c r="E45" s="39"/>
      <c r="F45" s="34"/>
      <c r="G45" s="35">
        <f>Table1[[#This Row],[Selling Price]]-Table1[[#This Row],[Cost Price]]</f>
        <v>0</v>
      </c>
      <c r="H45" s="32"/>
      <c r="I45" s="36" t="s">
        <v>36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25">
      <c r="A46" s="31"/>
      <c r="B46" s="32"/>
      <c r="C46" s="32"/>
      <c r="D46" s="32"/>
      <c r="E46" s="39"/>
      <c r="F46" s="34"/>
      <c r="G46" s="35">
        <f>Table1[[#This Row],[Selling Price]]-Table1[[#This Row],[Cost Price]]</f>
        <v>0</v>
      </c>
      <c r="H46" s="32"/>
      <c r="I46" s="36" t="s">
        <v>36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25">
      <c r="A47" s="31"/>
      <c r="B47" s="32"/>
      <c r="C47" s="32"/>
      <c r="D47" s="32"/>
      <c r="E47" s="39"/>
      <c r="F47" s="34"/>
      <c r="G47" s="35">
        <f>Table1[[#This Row],[Selling Price]]-Table1[[#This Row],[Cost Price]]</f>
        <v>0</v>
      </c>
      <c r="H47" s="32"/>
      <c r="I47" s="36" t="s">
        <v>36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25">
      <c r="A48" s="31"/>
      <c r="B48" s="32"/>
      <c r="C48" s="32"/>
      <c r="D48" s="32"/>
      <c r="E48" s="39"/>
      <c r="F48" s="34"/>
      <c r="G48" s="35">
        <f>Table1[[#This Row],[Selling Price]]-Table1[[#This Row],[Cost Price]]</f>
        <v>0</v>
      </c>
      <c r="H48" s="32"/>
      <c r="I48" s="36" t="s">
        <v>36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25">
      <c r="A49" s="31"/>
      <c r="B49" s="32"/>
      <c r="C49" s="32"/>
      <c r="D49" s="32"/>
      <c r="E49" s="39"/>
      <c r="F49" s="34"/>
      <c r="G49" s="35">
        <f>Table1[[#This Row],[Selling Price]]-Table1[[#This Row],[Cost Price]]</f>
        <v>0</v>
      </c>
      <c r="H49" s="32"/>
      <c r="I49" s="36" t="s">
        <v>36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25">
      <c r="A50" s="31"/>
      <c r="B50" s="32"/>
      <c r="C50" s="32"/>
      <c r="D50" s="32"/>
      <c r="E50" s="39"/>
      <c r="F50" s="34"/>
      <c r="G50" s="35">
        <f>Table1[[#This Row],[Selling Price]]-Table1[[#This Row],[Cost Price]]</f>
        <v>0</v>
      </c>
      <c r="H50" s="32"/>
      <c r="I50" s="36" t="s">
        <v>36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25">
      <c r="A51" s="31"/>
      <c r="B51" s="32"/>
      <c r="C51" s="32"/>
      <c r="D51" s="32"/>
      <c r="E51" s="39"/>
      <c r="F51" s="34"/>
      <c r="G51" s="35">
        <f>Table1[[#This Row],[Selling Price]]-Table1[[#This Row],[Cost Price]]</f>
        <v>0</v>
      </c>
      <c r="H51" s="32"/>
      <c r="I51" s="36" t="s">
        <v>36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25">
      <c r="A52" s="31"/>
      <c r="B52" s="32"/>
      <c r="C52" s="32"/>
      <c r="D52" s="32"/>
      <c r="E52" s="39"/>
      <c r="F52" s="34"/>
      <c r="G52" s="35">
        <f>Table1[[#This Row],[Selling Price]]-Table1[[#This Row],[Cost Price]]</f>
        <v>0</v>
      </c>
      <c r="H52" s="32"/>
      <c r="I52" s="36" t="s">
        <v>36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25">
      <c r="A53" s="31"/>
      <c r="B53" s="32"/>
      <c r="C53" s="32"/>
      <c r="D53" s="32"/>
      <c r="E53" s="39"/>
      <c r="F53" s="34"/>
      <c r="G53" s="35">
        <f>Table1[[#This Row],[Selling Price]]-Table1[[#This Row],[Cost Price]]</f>
        <v>0</v>
      </c>
      <c r="H53" s="32"/>
      <c r="I53" s="36" t="s">
        <v>36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25">
      <c r="A54" s="31"/>
      <c r="B54" s="32"/>
      <c r="C54" s="32"/>
      <c r="D54" s="32"/>
      <c r="E54" s="39"/>
      <c r="F54" s="34"/>
      <c r="G54" s="35">
        <f>Table1[[#This Row],[Selling Price]]-Table1[[#This Row],[Cost Price]]</f>
        <v>0</v>
      </c>
      <c r="H54" s="32"/>
      <c r="I54" s="36" t="s">
        <v>36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25">
      <c r="A55" s="31"/>
      <c r="B55" s="32"/>
      <c r="C55" s="32"/>
      <c r="D55" s="32"/>
      <c r="E55" s="39"/>
      <c r="F55" s="34"/>
      <c r="G55" s="35">
        <f>Table1[[#This Row],[Selling Price]]-Table1[[#This Row],[Cost Price]]</f>
        <v>0</v>
      </c>
      <c r="H55" s="32"/>
      <c r="I55" s="36" t="s">
        <v>36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25">
      <c r="A56" s="31"/>
      <c r="B56" s="32"/>
      <c r="C56" s="32"/>
      <c r="D56" s="32"/>
      <c r="E56" s="39"/>
      <c r="F56" s="34"/>
      <c r="G56" s="35">
        <f>Table1[[#This Row],[Selling Price]]-Table1[[#This Row],[Cost Price]]</f>
        <v>0</v>
      </c>
      <c r="H56" s="32"/>
      <c r="I56" s="36" t="s">
        <v>36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25">
      <c r="A57" s="31"/>
      <c r="B57" s="32"/>
      <c r="C57" s="32"/>
      <c r="D57" s="32"/>
      <c r="E57" s="39"/>
      <c r="F57" s="34"/>
      <c r="G57" s="35">
        <f>Table1[[#This Row],[Selling Price]]-Table1[[#This Row],[Cost Price]]</f>
        <v>0</v>
      </c>
      <c r="H57" s="32"/>
      <c r="I57" s="36" t="s">
        <v>36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25">
      <c r="A58" s="31"/>
      <c r="B58" s="32"/>
      <c r="C58" s="32"/>
      <c r="D58" s="32"/>
      <c r="E58" s="39"/>
      <c r="F58" s="34"/>
      <c r="G58" s="35">
        <f>Table1[[#This Row],[Selling Price]]-Table1[[#This Row],[Cost Price]]</f>
        <v>0</v>
      </c>
      <c r="H58" s="32"/>
      <c r="I58" s="36" t="s">
        <v>36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25">
      <c r="A59" s="31"/>
      <c r="B59" s="32"/>
      <c r="C59" s="32"/>
      <c r="D59" s="32"/>
      <c r="E59" s="39"/>
      <c r="F59" s="34"/>
      <c r="G59" s="35">
        <f>Table1[[#This Row],[Selling Price]]-Table1[[#This Row],[Cost Price]]</f>
        <v>0</v>
      </c>
      <c r="H59" s="32"/>
      <c r="I59" s="36" t="s">
        <v>36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25">
      <c r="A60" s="31"/>
      <c r="B60" s="32"/>
      <c r="C60" s="32"/>
      <c r="D60" s="32"/>
      <c r="E60" s="39"/>
      <c r="F60" s="34"/>
      <c r="G60" s="35">
        <f>Table1[[#This Row],[Selling Price]]-Table1[[#This Row],[Cost Price]]</f>
        <v>0</v>
      </c>
      <c r="H60" s="32"/>
      <c r="I60" s="36" t="s">
        <v>36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25">
      <c r="A61" s="31"/>
      <c r="B61" s="32"/>
      <c r="C61" s="32"/>
      <c r="D61" s="32"/>
      <c r="E61" s="39"/>
      <c r="F61" s="34"/>
      <c r="G61" s="35">
        <f>Table1[[#This Row],[Selling Price]]-Table1[[#This Row],[Cost Price]]</f>
        <v>0</v>
      </c>
      <c r="H61" s="32"/>
      <c r="I61" s="36" t="s">
        <v>36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25">
      <c r="A62" s="31"/>
      <c r="B62" s="32"/>
      <c r="C62" s="32"/>
      <c r="D62" s="32"/>
      <c r="E62" s="39"/>
      <c r="F62" s="34"/>
      <c r="G62" s="35">
        <f>Table1[[#This Row],[Selling Price]]-Table1[[#This Row],[Cost Price]]</f>
        <v>0</v>
      </c>
      <c r="H62" s="32"/>
      <c r="I62" s="36" t="s">
        <v>36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25">
      <c r="A63" s="31"/>
      <c r="B63" s="32"/>
      <c r="C63" s="32"/>
      <c r="D63" s="32"/>
      <c r="E63" s="39"/>
      <c r="F63" s="34"/>
      <c r="G63" s="35">
        <f>Table1[[#This Row],[Selling Price]]-Table1[[#This Row],[Cost Price]]</f>
        <v>0</v>
      </c>
      <c r="H63" s="32"/>
      <c r="I63" s="36" t="s">
        <v>36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25">
      <c r="A64" s="31"/>
      <c r="B64" s="32"/>
      <c r="C64" s="32"/>
      <c r="D64" s="32"/>
      <c r="E64" s="39"/>
      <c r="F64" s="34"/>
      <c r="G64" s="35">
        <f>Table1[[#This Row],[Selling Price]]-Table1[[#This Row],[Cost Price]]</f>
        <v>0</v>
      </c>
      <c r="H64" s="32"/>
      <c r="I64" s="36" t="s">
        <v>36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25">
      <c r="A65" s="31"/>
      <c r="B65" s="32"/>
      <c r="C65" s="32"/>
      <c r="D65" s="32"/>
      <c r="E65" s="39"/>
      <c r="F65" s="34"/>
      <c r="G65" s="35">
        <f>Table1[[#This Row],[Selling Price]]-Table1[[#This Row],[Cost Price]]</f>
        <v>0</v>
      </c>
      <c r="H65" s="32"/>
      <c r="I65" s="36" t="s">
        <v>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25">
      <c r="A66" s="31"/>
      <c r="B66" s="32"/>
      <c r="C66" s="32"/>
      <c r="D66" s="32"/>
      <c r="E66" s="39"/>
      <c r="F66" s="34"/>
      <c r="G66" s="35">
        <f>Table1[[#This Row],[Selling Price]]-Table1[[#This Row],[Cost Price]]</f>
        <v>0</v>
      </c>
      <c r="H66" s="32"/>
      <c r="I66" s="36" t="s">
        <v>36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25">
      <c r="A67" s="31"/>
      <c r="B67" s="32"/>
      <c r="C67" s="32"/>
      <c r="D67" s="32"/>
      <c r="E67" s="39"/>
      <c r="F67" s="34"/>
      <c r="G67" s="35">
        <f>Table1[[#This Row],[Selling Price]]-Table1[[#This Row],[Cost Price]]</f>
        <v>0</v>
      </c>
      <c r="H67" s="32"/>
      <c r="I67" s="36" t="s">
        <v>36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25">
      <c r="A68" s="31"/>
      <c r="B68" s="32"/>
      <c r="C68" s="32"/>
      <c r="D68" s="32"/>
      <c r="E68" s="39"/>
      <c r="F68" s="34"/>
      <c r="G68" s="35">
        <f>Table1[[#This Row],[Selling Price]]-Table1[[#This Row],[Cost Price]]</f>
        <v>0</v>
      </c>
      <c r="H68" s="32"/>
      <c r="I68" s="36" t="s">
        <v>36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25">
      <c r="A69" s="31"/>
      <c r="B69" s="32"/>
      <c r="C69" s="32"/>
      <c r="D69" s="32"/>
      <c r="E69" s="39"/>
      <c r="F69" s="34"/>
      <c r="G69" s="35">
        <f>Table1[[#This Row],[Selling Price]]-Table1[[#This Row],[Cost Price]]</f>
        <v>0</v>
      </c>
      <c r="H69" s="32"/>
      <c r="I69" s="36" t="s">
        <v>36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25">
      <c r="A70" s="31"/>
      <c r="B70" s="32"/>
      <c r="C70" s="32"/>
      <c r="D70" s="32"/>
      <c r="E70" s="39"/>
      <c r="F70" s="34"/>
      <c r="G70" s="35">
        <f>Table1[[#This Row],[Selling Price]]-Table1[[#This Row],[Cost Price]]</f>
        <v>0</v>
      </c>
      <c r="H70" s="32"/>
      <c r="I70" s="36" t="s">
        <v>36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25">
      <c r="A71" s="31"/>
      <c r="B71" s="32"/>
      <c r="C71" s="32"/>
      <c r="D71" s="32"/>
      <c r="E71" s="39"/>
      <c r="F71" s="34"/>
      <c r="G71" s="35">
        <f>Table1[[#This Row],[Selling Price]]-Table1[[#This Row],[Cost Price]]</f>
        <v>0</v>
      </c>
      <c r="H71" s="32"/>
      <c r="I71" s="36" t="s">
        <v>36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25">
      <c r="A72" s="31"/>
      <c r="B72" s="32"/>
      <c r="C72" s="32"/>
      <c r="D72" s="32"/>
      <c r="E72" s="39"/>
      <c r="F72" s="34"/>
      <c r="G72" s="35">
        <f>Table1[[#This Row],[Selling Price]]-Table1[[#This Row],[Cost Price]]</f>
        <v>0</v>
      </c>
      <c r="H72" s="32"/>
      <c r="I72" s="36" t="s">
        <v>36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25">
      <c r="A73" s="31"/>
      <c r="B73" s="32"/>
      <c r="C73" s="32"/>
      <c r="D73" s="32"/>
      <c r="E73" s="39"/>
      <c r="F73" s="34"/>
      <c r="G73" s="35">
        <f>Table1[[#This Row],[Selling Price]]-Table1[[#This Row],[Cost Price]]</f>
        <v>0</v>
      </c>
      <c r="H73" s="32"/>
      <c r="I73" s="36" t="s">
        <v>36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25">
      <c r="A74" s="31"/>
      <c r="B74" s="32"/>
      <c r="C74" s="32"/>
      <c r="D74" s="32"/>
      <c r="E74" s="39"/>
      <c r="F74" s="34"/>
      <c r="G74" s="35">
        <f>Table1[[#This Row],[Selling Price]]-Table1[[#This Row],[Cost Price]]</f>
        <v>0</v>
      </c>
      <c r="H74" s="32"/>
      <c r="I74" s="36" t="s">
        <v>36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25">
      <c r="A75" s="31"/>
      <c r="B75" s="32"/>
      <c r="C75" s="32"/>
      <c r="D75" s="32"/>
      <c r="E75" s="39"/>
      <c r="F75" s="34"/>
      <c r="G75" s="35">
        <f>Table1[[#This Row],[Selling Price]]-Table1[[#This Row],[Cost Price]]</f>
        <v>0</v>
      </c>
      <c r="H75" s="32"/>
      <c r="I75" s="36" t="s">
        <v>36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25">
      <c r="A76" s="31"/>
      <c r="B76" s="32"/>
      <c r="C76" s="32"/>
      <c r="D76" s="32"/>
      <c r="E76" s="39"/>
      <c r="F76" s="34"/>
      <c r="G76" s="35">
        <f>Table1[[#This Row],[Selling Price]]-Table1[[#This Row],[Cost Price]]</f>
        <v>0</v>
      </c>
      <c r="H76" s="32"/>
      <c r="I76" s="36" t="s">
        <v>36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25">
      <c r="A77" s="31"/>
      <c r="B77" s="32"/>
      <c r="C77" s="32"/>
      <c r="D77" s="32"/>
      <c r="E77" s="39"/>
      <c r="F77" s="34"/>
      <c r="G77" s="35">
        <f>Table1[[#This Row],[Selling Price]]-Table1[[#This Row],[Cost Price]]</f>
        <v>0</v>
      </c>
      <c r="H77" s="32"/>
      <c r="I77" s="36" t="s">
        <v>36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25">
      <c r="A78" s="31"/>
      <c r="B78" s="32"/>
      <c r="C78" s="32"/>
      <c r="D78" s="32"/>
      <c r="E78" s="39"/>
      <c r="F78" s="34"/>
      <c r="G78" s="35">
        <f>Table1[[#This Row],[Selling Price]]-Table1[[#This Row],[Cost Price]]</f>
        <v>0</v>
      </c>
      <c r="H78" s="32"/>
      <c r="I78" s="36" t="s">
        <v>36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25">
      <c r="A79" s="31"/>
      <c r="B79" s="32"/>
      <c r="C79" s="32"/>
      <c r="D79" s="32"/>
      <c r="E79" s="39"/>
      <c r="F79" s="34"/>
      <c r="G79" s="35">
        <f>Table1[[#This Row],[Selling Price]]-Table1[[#This Row],[Cost Price]]</f>
        <v>0</v>
      </c>
      <c r="H79" s="32"/>
      <c r="I79" s="36" t="s">
        <v>36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25">
      <c r="A80" s="31"/>
      <c r="B80" s="32"/>
      <c r="C80" s="32"/>
      <c r="D80" s="32"/>
      <c r="E80" s="39"/>
      <c r="F80" s="34"/>
      <c r="G80" s="35">
        <f>Table1[[#This Row],[Selling Price]]-Table1[[#This Row],[Cost Price]]</f>
        <v>0</v>
      </c>
      <c r="H80" s="32"/>
      <c r="I80" s="36" t="s">
        <v>36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25">
      <c r="A81" s="31"/>
      <c r="B81" s="32"/>
      <c r="C81" s="32"/>
      <c r="D81" s="32"/>
      <c r="E81" s="39"/>
      <c r="F81" s="34"/>
      <c r="G81" s="35">
        <f>Table1[[#This Row],[Selling Price]]-Table1[[#This Row],[Cost Price]]</f>
        <v>0</v>
      </c>
      <c r="H81" s="32"/>
      <c r="I81" s="36" t="s">
        <v>36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25">
      <c r="A82" s="31"/>
      <c r="B82" s="32"/>
      <c r="C82" s="32"/>
      <c r="D82" s="32"/>
      <c r="E82" s="39"/>
      <c r="F82" s="34"/>
      <c r="G82" s="35">
        <f>Table1[[#This Row],[Selling Price]]-Table1[[#This Row],[Cost Price]]</f>
        <v>0</v>
      </c>
      <c r="H82" s="32"/>
      <c r="I82" s="36" t="s">
        <v>36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25">
      <c r="A83" s="31"/>
      <c r="B83" s="32"/>
      <c r="C83" s="32"/>
      <c r="D83" s="32"/>
      <c r="E83" s="39"/>
      <c r="F83" s="34"/>
      <c r="G83" s="35">
        <f>Table1[[#This Row],[Selling Price]]-Table1[[#This Row],[Cost Price]]</f>
        <v>0</v>
      </c>
      <c r="H83" s="32"/>
      <c r="I83" s="36" t="s">
        <v>36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25">
      <c r="A84" s="31"/>
      <c r="B84" s="32"/>
      <c r="C84" s="32"/>
      <c r="D84" s="32"/>
      <c r="E84" s="39"/>
      <c r="F84" s="34"/>
      <c r="G84" s="35">
        <f>Table1[[#This Row],[Selling Price]]-Table1[[#This Row],[Cost Price]]</f>
        <v>0</v>
      </c>
      <c r="H84" s="32"/>
      <c r="I84" s="36" t="s">
        <v>36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25">
      <c r="A85" s="31"/>
      <c r="B85" s="32"/>
      <c r="C85" s="32"/>
      <c r="D85" s="32"/>
      <c r="E85" s="39"/>
      <c r="F85" s="34"/>
      <c r="G85" s="35">
        <f>Table1[[#This Row],[Selling Price]]-Table1[[#This Row],[Cost Price]]</f>
        <v>0</v>
      </c>
      <c r="H85" s="32"/>
      <c r="I85" s="36" t="s">
        <v>36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25">
      <c r="A86" s="31"/>
      <c r="B86" s="32"/>
      <c r="C86" s="32"/>
      <c r="D86" s="32"/>
      <c r="E86" s="39"/>
      <c r="F86" s="34"/>
      <c r="G86" s="35">
        <f>Table1[[#This Row],[Selling Price]]-Table1[[#This Row],[Cost Price]]</f>
        <v>0</v>
      </c>
      <c r="H86" s="32"/>
      <c r="I86" s="36" t="s">
        <v>36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25">
      <c r="A87" s="31"/>
      <c r="B87" s="32"/>
      <c r="C87" s="32"/>
      <c r="D87" s="32"/>
      <c r="E87" s="39"/>
      <c r="F87" s="34"/>
      <c r="G87" s="35">
        <f>Table1[[#This Row],[Selling Price]]-Table1[[#This Row],[Cost Price]]</f>
        <v>0</v>
      </c>
      <c r="H87" s="32"/>
      <c r="I87" s="36" t="s">
        <v>36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25">
      <c r="A88" s="31"/>
      <c r="B88" s="32"/>
      <c r="C88" s="32"/>
      <c r="D88" s="32"/>
      <c r="E88" s="39"/>
      <c r="F88" s="34"/>
      <c r="G88" s="35">
        <f>Table1[[#This Row],[Selling Price]]-Table1[[#This Row],[Cost Price]]</f>
        <v>0</v>
      </c>
      <c r="H88" s="32"/>
      <c r="I88" s="36" t="s">
        <v>36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25">
      <c r="A89" s="31"/>
      <c r="B89" s="32"/>
      <c r="C89" s="32"/>
      <c r="D89" s="32"/>
      <c r="E89" s="39"/>
      <c r="F89" s="34"/>
      <c r="G89" s="35">
        <f>Table1[[#This Row],[Selling Price]]-Table1[[#This Row],[Cost Price]]</f>
        <v>0</v>
      </c>
      <c r="H89" s="32"/>
      <c r="I89" s="36" t="s">
        <v>36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25">
      <c r="A90" s="31"/>
      <c r="B90" s="32"/>
      <c r="C90" s="32"/>
      <c r="D90" s="32"/>
      <c r="E90" s="39"/>
      <c r="F90" s="34"/>
      <c r="G90" s="35">
        <f>Table1[[#This Row],[Selling Price]]-Table1[[#This Row],[Cost Price]]</f>
        <v>0</v>
      </c>
      <c r="H90" s="32"/>
      <c r="I90" s="36" t="s">
        <v>36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25">
      <c r="A91" s="31"/>
      <c r="B91" s="32"/>
      <c r="C91" s="32"/>
      <c r="D91" s="32"/>
      <c r="E91" s="39"/>
      <c r="F91" s="34"/>
      <c r="G91" s="35">
        <f>Table1[[#This Row],[Selling Price]]-Table1[[#This Row],[Cost Price]]</f>
        <v>0</v>
      </c>
      <c r="H91" s="32"/>
      <c r="I91" s="36" t="s">
        <v>36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25">
      <c r="A92" s="31"/>
      <c r="B92" s="32"/>
      <c r="C92" s="32"/>
      <c r="D92" s="32"/>
      <c r="E92" s="39"/>
      <c r="F92" s="34"/>
      <c r="G92" s="35">
        <f>Table1[[#This Row],[Selling Price]]-Table1[[#This Row],[Cost Price]]</f>
        <v>0</v>
      </c>
      <c r="H92" s="32"/>
      <c r="I92" s="36" t="s">
        <v>36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25">
      <c r="A93" s="31"/>
      <c r="B93" s="32"/>
      <c r="C93" s="32"/>
      <c r="D93" s="32"/>
      <c r="E93" s="39"/>
      <c r="F93" s="34"/>
      <c r="G93" s="35">
        <f>Table1[[#This Row],[Selling Price]]-Table1[[#This Row],[Cost Price]]</f>
        <v>0</v>
      </c>
      <c r="H93" s="32"/>
      <c r="I93" s="36" t="s">
        <v>36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25">
      <c r="A94" s="31"/>
      <c r="B94" s="32"/>
      <c r="C94" s="32"/>
      <c r="D94" s="32"/>
      <c r="E94" s="39"/>
      <c r="F94" s="34"/>
      <c r="G94" s="35">
        <f>Table1[[#This Row],[Selling Price]]-Table1[[#This Row],[Cost Price]]</f>
        <v>0</v>
      </c>
      <c r="H94" s="32"/>
      <c r="I94" s="36" t="s">
        <v>36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25">
      <c r="A95" s="31"/>
      <c r="B95" s="32"/>
      <c r="C95" s="32"/>
      <c r="D95" s="32"/>
      <c r="E95" s="39"/>
      <c r="F95" s="34"/>
      <c r="G95" s="35">
        <f>Table1[[#This Row],[Selling Price]]-Table1[[#This Row],[Cost Price]]</f>
        <v>0</v>
      </c>
      <c r="H95" s="32"/>
      <c r="I95" s="36" t="s">
        <v>36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25">
      <c r="A96" s="31"/>
      <c r="B96" s="32"/>
      <c r="C96" s="32"/>
      <c r="D96" s="32"/>
      <c r="E96" s="39"/>
      <c r="F96" s="34"/>
      <c r="G96" s="35">
        <f>Table1[[#This Row],[Selling Price]]-Table1[[#This Row],[Cost Price]]</f>
        <v>0</v>
      </c>
      <c r="H96" s="32"/>
      <c r="I96" s="36" t="s">
        <v>36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25">
      <c r="A97" s="31"/>
      <c r="B97" s="32"/>
      <c r="C97" s="32"/>
      <c r="D97" s="32"/>
      <c r="E97" s="39"/>
      <c r="F97" s="34"/>
      <c r="G97" s="35">
        <f>Table1[[#This Row],[Selling Price]]-Table1[[#This Row],[Cost Price]]</f>
        <v>0</v>
      </c>
      <c r="H97" s="32"/>
      <c r="I97" s="36" t="s">
        <v>36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25">
      <c r="A98" s="31"/>
      <c r="B98" s="32"/>
      <c r="C98" s="32"/>
      <c r="D98" s="32"/>
      <c r="E98" s="39"/>
      <c r="F98" s="34"/>
      <c r="G98" s="35">
        <f>Table1[[#This Row],[Selling Price]]-Table1[[#This Row],[Cost Price]]</f>
        <v>0</v>
      </c>
      <c r="H98" s="32"/>
      <c r="I98" s="36" t="s">
        <v>36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25">
      <c r="A99" s="31"/>
      <c r="B99" s="32"/>
      <c r="C99" s="32"/>
      <c r="D99" s="32"/>
      <c r="E99" s="39"/>
      <c r="F99" s="34"/>
      <c r="G99" s="35">
        <f>Table1[[#This Row],[Selling Price]]-Table1[[#This Row],[Cost Price]]</f>
        <v>0</v>
      </c>
      <c r="H99" s="32"/>
      <c r="I99" s="36" t="s">
        <v>36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x14ac:dyDescent="0.25">
      <c r="A100" s="31"/>
      <c r="B100" s="32"/>
      <c r="C100" s="32"/>
      <c r="D100" s="32"/>
      <c r="E100" s="39"/>
      <c r="F100" s="34"/>
      <c r="G100" s="35">
        <f>Table1[[#This Row],[Selling Price]]-Table1[[#This Row],[Cost Price]]</f>
        <v>0</v>
      </c>
      <c r="H100" s="32"/>
      <c r="I100" s="36" t="s">
        <v>36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x14ac:dyDescent="0.25">
      <c r="A101" s="31"/>
      <c r="B101" s="32"/>
      <c r="C101" s="32"/>
      <c r="D101" s="32"/>
      <c r="E101" s="39"/>
      <c r="F101" s="34"/>
      <c r="G101" s="35">
        <f>Table1[[#This Row],[Selling Price]]-Table1[[#This Row],[Cost Price]]</f>
        <v>0</v>
      </c>
      <c r="H101" s="32"/>
      <c r="I101" s="36" t="s">
        <v>36</v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x14ac:dyDescent="0.25">
      <c r="A102" s="31"/>
      <c r="B102" s="32"/>
      <c r="C102" s="32"/>
      <c r="D102" s="32"/>
      <c r="E102" s="39"/>
      <c r="F102" s="34"/>
      <c r="G102" s="35">
        <f>Table1[[#This Row],[Selling Price]]-Table1[[#This Row],[Cost Price]]</f>
        <v>0</v>
      </c>
      <c r="H102" s="32"/>
      <c r="I102" s="36" t="s">
        <v>36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x14ac:dyDescent="0.25">
      <c r="A103" s="31"/>
      <c r="B103" s="32"/>
      <c r="C103" s="32"/>
      <c r="D103" s="32"/>
      <c r="E103" s="39"/>
      <c r="F103" s="34"/>
      <c r="G103" s="35">
        <f>Table1[[#This Row],[Selling Price]]-Table1[[#This Row],[Cost Price]]</f>
        <v>0</v>
      </c>
      <c r="H103" s="32"/>
      <c r="I103" s="36" t="s">
        <v>36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x14ac:dyDescent="0.25">
      <c r="A104" s="31"/>
      <c r="B104" s="32"/>
      <c r="C104" s="32"/>
      <c r="D104" s="32"/>
      <c r="E104" s="39"/>
      <c r="F104" s="34"/>
      <c r="G104" s="35">
        <f>Table1[[#This Row],[Selling Price]]-Table1[[#This Row],[Cost Price]]</f>
        <v>0</v>
      </c>
      <c r="H104" s="32"/>
      <c r="I104" s="36" t="s">
        <v>36</v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x14ac:dyDescent="0.25">
      <c r="A105" s="31"/>
      <c r="B105" s="32"/>
      <c r="C105" s="32"/>
      <c r="D105" s="32"/>
      <c r="E105" s="39"/>
      <c r="F105" s="34"/>
      <c r="G105" s="35">
        <f>Table1[[#This Row],[Selling Price]]-Table1[[#This Row],[Cost Price]]</f>
        <v>0</v>
      </c>
      <c r="H105" s="32"/>
      <c r="I105" s="36" t="s">
        <v>36</v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x14ac:dyDescent="0.25">
      <c r="A106" s="31"/>
      <c r="B106" s="32"/>
      <c r="C106" s="32"/>
      <c r="D106" s="32"/>
      <c r="E106" s="39"/>
      <c r="F106" s="34"/>
      <c r="G106" s="35">
        <f>Table1[[#This Row],[Selling Price]]-Table1[[#This Row],[Cost Price]]</f>
        <v>0</v>
      </c>
      <c r="H106" s="32"/>
      <c r="I106" s="36" t="s">
        <v>36</v>
      </c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x14ac:dyDescent="0.25">
      <c r="A107" s="31"/>
      <c r="B107" s="32"/>
      <c r="C107" s="32"/>
      <c r="D107" s="32"/>
      <c r="E107" s="39"/>
      <c r="F107" s="34"/>
      <c r="G107" s="35">
        <f>Table1[[#This Row],[Selling Price]]-Table1[[#This Row],[Cost Price]]</f>
        <v>0</v>
      </c>
      <c r="H107" s="32"/>
      <c r="I107" s="36" t="s">
        <v>36</v>
      </c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x14ac:dyDescent="0.25">
      <c r="A108" s="31"/>
      <c r="B108" s="32"/>
      <c r="C108" s="32"/>
      <c r="D108" s="32"/>
      <c r="E108" s="39"/>
      <c r="F108" s="34"/>
      <c r="G108" s="35">
        <f>Table1[[#This Row],[Selling Price]]-Table1[[#This Row],[Cost Price]]</f>
        <v>0</v>
      </c>
      <c r="H108" s="32"/>
      <c r="I108" s="36" t="s">
        <v>36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x14ac:dyDescent="0.25">
      <c r="A109" s="31"/>
      <c r="B109" s="32"/>
      <c r="C109" s="32"/>
      <c r="D109" s="32"/>
      <c r="E109" s="39"/>
      <c r="F109" s="34"/>
      <c r="G109" s="35">
        <f>Table1[[#This Row],[Selling Price]]-Table1[[#This Row],[Cost Price]]</f>
        <v>0</v>
      </c>
      <c r="H109" s="32"/>
      <c r="I109" s="36" t="s">
        <v>36</v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x14ac:dyDescent="0.25">
      <c r="A110" s="31"/>
      <c r="B110" s="32"/>
      <c r="C110" s="32"/>
      <c r="D110" s="32"/>
      <c r="E110" s="39"/>
      <c r="F110" s="34"/>
      <c r="G110" s="35">
        <f>Table1[[#This Row],[Selling Price]]-Table1[[#This Row],[Cost Price]]</f>
        <v>0</v>
      </c>
      <c r="H110" s="32"/>
      <c r="I110" s="36" t="s">
        <v>36</v>
      </c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x14ac:dyDescent="0.25">
      <c r="A111" s="31"/>
      <c r="B111" s="32"/>
      <c r="C111" s="32"/>
      <c r="D111" s="32"/>
      <c r="E111" s="39"/>
      <c r="F111" s="34"/>
      <c r="G111" s="35">
        <f>Table1[[#This Row],[Selling Price]]-Table1[[#This Row],[Cost Price]]</f>
        <v>0</v>
      </c>
      <c r="H111" s="32"/>
      <c r="I111" s="36" t="s">
        <v>36</v>
      </c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x14ac:dyDescent="0.25">
      <c r="A112" s="31"/>
      <c r="B112" s="32"/>
      <c r="C112" s="32"/>
      <c r="D112" s="32"/>
      <c r="E112" s="39"/>
      <c r="F112" s="34"/>
      <c r="G112" s="35">
        <f>Table1[[#This Row],[Selling Price]]-Table1[[#This Row],[Cost Price]]</f>
        <v>0</v>
      </c>
      <c r="H112" s="32"/>
      <c r="I112" s="36" t="s">
        <v>36</v>
      </c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x14ac:dyDescent="0.25">
      <c r="A113" s="31"/>
      <c r="B113" s="32"/>
      <c r="C113" s="32"/>
      <c r="D113" s="32"/>
      <c r="E113" s="39"/>
      <c r="F113" s="34"/>
      <c r="G113" s="35">
        <f>Table1[[#This Row],[Selling Price]]-Table1[[#This Row],[Cost Price]]</f>
        <v>0</v>
      </c>
      <c r="H113" s="32"/>
      <c r="I113" s="36" t="s">
        <v>36</v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x14ac:dyDescent="0.25">
      <c r="A114" s="31"/>
      <c r="B114" s="32"/>
      <c r="C114" s="32"/>
      <c r="D114" s="32"/>
      <c r="E114" s="39"/>
      <c r="F114" s="34"/>
      <c r="G114" s="35">
        <f>Table1[[#This Row],[Selling Price]]-Table1[[#This Row],[Cost Price]]</f>
        <v>0</v>
      </c>
      <c r="H114" s="32"/>
      <c r="I114" s="36" t="s">
        <v>36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x14ac:dyDescent="0.25">
      <c r="A115" s="31"/>
      <c r="B115" s="32"/>
      <c r="C115" s="32"/>
      <c r="D115" s="32"/>
      <c r="E115" s="39"/>
      <c r="F115" s="34"/>
      <c r="G115" s="35">
        <f>Table1[[#This Row],[Selling Price]]-Table1[[#This Row],[Cost Price]]</f>
        <v>0</v>
      </c>
      <c r="H115" s="32"/>
      <c r="I115" s="36" t="s">
        <v>36</v>
      </c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x14ac:dyDescent="0.25">
      <c r="A116" s="31"/>
      <c r="B116" s="32"/>
      <c r="C116" s="32"/>
      <c r="D116" s="32"/>
      <c r="E116" s="39"/>
      <c r="F116" s="34"/>
      <c r="G116" s="35">
        <f>Table1[[#This Row],[Selling Price]]-Table1[[#This Row],[Cost Price]]</f>
        <v>0</v>
      </c>
      <c r="H116" s="32"/>
      <c r="I116" s="36" t="s">
        <v>36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x14ac:dyDescent="0.25">
      <c r="A117" s="31"/>
      <c r="B117" s="32"/>
      <c r="C117" s="32"/>
      <c r="D117" s="32"/>
      <c r="E117" s="39"/>
      <c r="F117" s="34"/>
      <c r="G117" s="35">
        <f>Table1[[#This Row],[Selling Price]]-Table1[[#This Row],[Cost Price]]</f>
        <v>0</v>
      </c>
      <c r="H117" s="32"/>
      <c r="I117" s="36" t="s">
        <v>36</v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x14ac:dyDescent="0.25">
      <c r="A118" s="31"/>
      <c r="B118" s="32"/>
      <c r="C118" s="32"/>
      <c r="D118" s="32"/>
      <c r="E118" s="39"/>
      <c r="F118" s="34"/>
      <c r="G118" s="35">
        <f>Table1[[#This Row],[Selling Price]]-Table1[[#This Row],[Cost Price]]</f>
        <v>0</v>
      </c>
      <c r="H118" s="32"/>
      <c r="I118" s="36" t="s">
        <v>36</v>
      </c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x14ac:dyDescent="0.25">
      <c r="A119" s="31"/>
      <c r="B119" s="32"/>
      <c r="C119" s="32"/>
      <c r="D119" s="32"/>
      <c r="E119" s="39"/>
      <c r="F119" s="34"/>
      <c r="G119" s="35">
        <f>Table1[[#This Row],[Selling Price]]-Table1[[#This Row],[Cost Price]]</f>
        <v>0</v>
      </c>
      <c r="H119" s="32"/>
      <c r="I119" s="36" t="s">
        <v>36</v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x14ac:dyDescent="0.25">
      <c r="A120" s="31"/>
      <c r="B120" s="32"/>
      <c r="C120" s="32"/>
      <c r="D120" s="32"/>
      <c r="E120" s="39"/>
      <c r="F120" s="34"/>
      <c r="G120" s="35">
        <f>Table1[[#This Row],[Selling Price]]-Table1[[#This Row],[Cost Price]]</f>
        <v>0</v>
      </c>
      <c r="H120" s="32"/>
      <c r="I120" s="36" t="s">
        <v>36</v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x14ac:dyDescent="0.25">
      <c r="A121" s="31"/>
      <c r="B121" s="32"/>
      <c r="C121" s="32"/>
      <c r="D121" s="32"/>
      <c r="E121" s="39"/>
      <c r="F121" s="34"/>
      <c r="G121" s="35">
        <f>Table1[[#This Row],[Selling Price]]-Table1[[#This Row],[Cost Price]]</f>
        <v>0</v>
      </c>
      <c r="H121" s="32"/>
      <c r="I121" s="36" t="s">
        <v>36</v>
      </c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x14ac:dyDescent="0.25">
      <c r="A122" s="31"/>
      <c r="B122" s="32"/>
      <c r="C122" s="32"/>
      <c r="D122" s="32"/>
      <c r="E122" s="39"/>
      <c r="F122" s="34"/>
      <c r="G122" s="35">
        <f>Table1[[#This Row],[Selling Price]]-Table1[[#This Row],[Cost Price]]</f>
        <v>0</v>
      </c>
      <c r="H122" s="32"/>
      <c r="I122" s="36" t="s">
        <v>36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x14ac:dyDescent="0.25">
      <c r="A123" s="31"/>
      <c r="B123" s="32"/>
      <c r="C123" s="32"/>
      <c r="D123" s="32"/>
      <c r="E123" s="39"/>
      <c r="F123" s="34"/>
      <c r="G123" s="35">
        <f>Table1[[#This Row],[Selling Price]]-Table1[[#This Row],[Cost Price]]</f>
        <v>0</v>
      </c>
      <c r="H123" s="32"/>
      <c r="I123" s="36" t="s">
        <v>36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x14ac:dyDescent="0.25">
      <c r="A124" s="31"/>
      <c r="B124" s="32"/>
      <c r="C124" s="32"/>
      <c r="D124" s="32"/>
      <c r="E124" s="39"/>
      <c r="F124" s="34"/>
      <c r="G124" s="35">
        <f>Table1[[#This Row],[Selling Price]]-Table1[[#This Row],[Cost Price]]</f>
        <v>0</v>
      </c>
      <c r="H124" s="32"/>
      <c r="I124" s="36" t="s">
        <v>36</v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x14ac:dyDescent="0.25">
      <c r="A125" s="31"/>
      <c r="B125" s="32"/>
      <c r="C125" s="32"/>
      <c r="D125" s="32"/>
      <c r="E125" s="39"/>
      <c r="F125" s="34"/>
      <c r="G125" s="35">
        <f>Table1[[#This Row],[Selling Price]]-Table1[[#This Row],[Cost Price]]</f>
        <v>0</v>
      </c>
      <c r="H125" s="32"/>
      <c r="I125" s="36" t="s">
        <v>36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x14ac:dyDescent="0.25">
      <c r="A126" s="31"/>
      <c r="B126" s="32"/>
      <c r="C126" s="32"/>
      <c r="D126" s="32"/>
      <c r="E126" s="39"/>
      <c r="F126" s="34"/>
      <c r="G126" s="35">
        <f>Table1[[#This Row],[Selling Price]]-Table1[[#This Row],[Cost Price]]</f>
        <v>0</v>
      </c>
      <c r="H126" s="32"/>
      <c r="I126" s="36" t="s">
        <v>36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x14ac:dyDescent="0.25">
      <c r="A127" s="31"/>
      <c r="B127" s="32"/>
      <c r="C127" s="32"/>
      <c r="D127" s="32"/>
      <c r="E127" s="39"/>
      <c r="F127" s="34"/>
      <c r="G127" s="35">
        <f>Table1[[#This Row],[Selling Price]]-Table1[[#This Row],[Cost Price]]</f>
        <v>0</v>
      </c>
      <c r="H127" s="32"/>
      <c r="I127" s="36" t="s">
        <v>36</v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x14ac:dyDescent="0.25">
      <c r="A128" s="31"/>
      <c r="B128" s="32"/>
      <c r="C128" s="32"/>
      <c r="D128" s="32"/>
      <c r="E128" s="39"/>
      <c r="F128" s="34"/>
      <c r="G128" s="35">
        <f>Table1[[#This Row],[Selling Price]]-Table1[[#This Row],[Cost Price]]</f>
        <v>0</v>
      </c>
      <c r="H128" s="32"/>
      <c r="I128" s="36" t="s">
        <v>36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x14ac:dyDescent="0.25">
      <c r="A129" s="31"/>
      <c r="B129" s="32"/>
      <c r="C129" s="32"/>
      <c r="D129" s="32"/>
      <c r="E129" s="39"/>
      <c r="F129" s="34"/>
      <c r="G129" s="35">
        <f>Table1[[#This Row],[Selling Price]]-Table1[[#This Row],[Cost Price]]</f>
        <v>0</v>
      </c>
      <c r="H129" s="32"/>
      <c r="I129" s="36" t="s">
        <v>36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x14ac:dyDescent="0.25">
      <c r="A130" s="31"/>
      <c r="B130" s="32"/>
      <c r="C130" s="32"/>
      <c r="D130" s="32"/>
      <c r="E130" s="39"/>
      <c r="F130" s="34"/>
      <c r="G130" s="35">
        <f>Table1[[#This Row],[Selling Price]]-Table1[[#This Row],[Cost Price]]</f>
        <v>0</v>
      </c>
      <c r="H130" s="32"/>
      <c r="I130" s="36" t="s">
        <v>36</v>
      </c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x14ac:dyDescent="0.25">
      <c r="A131" s="31"/>
      <c r="B131" s="32"/>
      <c r="C131" s="32"/>
      <c r="D131" s="32"/>
      <c r="E131" s="39"/>
      <c r="F131" s="34"/>
      <c r="G131" s="35">
        <f>Table1[[#This Row],[Selling Price]]-Table1[[#This Row],[Cost Price]]</f>
        <v>0</v>
      </c>
      <c r="H131" s="32"/>
      <c r="I131" s="36" t="s">
        <v>36</v>
      </c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x14ac:dyDescent="0.25">
      <c r="A132" s="31"/>
      <c r="B132" s="32"/>
      <c r="C132" s="32"/>
      <c r="D132" s="32"/>
      <c r="E132" s="39"/>
      <c r="F132" s="34"/>
      <c r="G132" s="35">
        <f>Table1[[#This Row],[Selling Price]]-Table1[[#This Row],[Cost Price]]</f>
        <v>0</v>
      </c>
      <c r="H132" s="32"/>
      <c r="I132" s="36" t="s">
        <v>36</v>
      </c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x14ac:dyDescent="0.25">
      <c r="A133" s="31"/>
      <c r="B133" s="32"/>
      <c r="C133" s="32"/>
      <c r="D133" s="32"/>
      <c r="E133" s="39"/>
      <c r="F133" s="34"/>
      <c r="G133" s="35">
        <f>Table1[[#This Row],[Selling Price]]-Table1[[#This Row],[Cost Price]]</f>
        <v>0</v>
      </c>
      <c r="H133" s="32"/>
      <c r="I133" s="36" t="s">
        <v>36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x14ac:dyDescent="0.25">
      <c r="A134" s="31"/>
      <c r="B134" s="32"/>
      <c r="C134" s="32"/>
      <c r="D134" s="32"/>
      <c r="E134" s="39"/>
      <c r="F134" s="34"/>
      <c r="G134" s="35">
        <f>Table1[[#This Row],[Selling Price]]-Table1[[#This Row],[Cost Price]]</f>
        <v>0</v>
      </c>
      <c r="H134" s="32"/>
      <c r="I134" s="36" t="s">
        <v>36</v>
      </c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x14ac:dyDescent="0.25">
      <c r="A135" s="31"/>
      <c r="B135" s="32"/>
      <c r="C135" s="32"/>
      <c r="D135" s="32"/>
      <c r="E135" s="39"/>
      <c r="F135" s="34"/>
      <c r="G135" s="35">
        <f>Table1[[#This Row],[Selling Price]]-Table1[[#This Row],[Cost Price]]</f>
        <v>0</v>
      </c>
      <c r="H135" s="32"/>
      <c r="I135" s="36" t="s">
        <v>36</v>
      </c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x14ac:dyDescent="0.25">
      <c r="A136" s="31"/>
      <c r="B136" s="32"/>
      <c r="C136" s="32"/>
      <c r="D136" s="32"/>
      <c r="E136" s="39"/>
      <c r="F136" s="34"/>
      <c r="G136" s="35">
        <f>Table1[[#This Row],[Selling Price]]-Table1[[#This Row],[Cost Price]]</f>
        <v>0</v>
      </c>
      <c r="H136" s="32"/>
      <c r="I136" s="36" t="s">
        <v>36</v>
      </c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25">
      <c r="A137" s="31"/>
      <c r="B137" s="32"/>
      <c r="C137" s="32"/>
      <c r="D137" s="32"/>
      <c r="E137" s="39"/>
      <c r="F137" s="34"/>
      <c r="G137" s="35">
        <f>Table1[[#This Row],[Selling Price]]-Table1[[#This Row],[Cost Price]]</f>
        <v>0</v>
      </c>
      <c r="H137" s="32"/>
      <c r="I137" s="36" t="s">
        <v>36</v>
      </c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x14ac:dyDescent="0.25">
      <c r="A138" s="31"/>
      <c r="B138" s="32"/>
      <c r="C138" s="32"/>
      <c r="D138" s="32"/>
      <c r="E138" s="39"/>
      <c r="F138" s="34"/>
      <c r="G138" s="35">
        <f>Table1[[#This Row],[Selling Price]]-Table1[[#This Row],[Cost Price]]</f>
        <v>0</v>
      </c>
      <c r="H138" s="32"/>
      <c r="I138" s="36" t="s">
        <v>36</v>
      </c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x14ac:dyDescent="0.25">
      <c r="A139" s="31"/>
      <c r="B139" s="32"/>
      <c r="C139" s="32"/>
      <c r="D139" s="32"/>
      <c r="E139" s="39"/>
      <c r="F139" s="34"/>
      <c r="G139" s="35">
        <f>Table1[[#This Row],[Selling Price]]-Table1[[#This Row],[Cost Price]]</f>
        <v>0</v>
      </c>
      <c r="H139" s="32"/>
      <c r="I139" s="36" t="s">
        <v>36</v>
      </c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x14ac:dyDescent="0.25">
      <c r="A140" s="31"/>
      <c r="B140" s="32"/>
      <c r="C140" s="32"/>
      <c r="D140" s="32"/>
      <c r="E140" s="39"/>
      <c r="F140" s="34"/>
      <c r="G140" s="35">
        <f>Table1[[#This Row],[Selling Price]]-Table1[[#This Row],[Cost Price]]</f>
        <v>0</v>
      </c>
      <c r="H140" s="32"/>
      <c r="I140" s="36" t="s">
        <v>36</v>
      </c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x14ac:dyDescent="0.25">
      <c r="A141" s="31"/>
      <c r="B141" s="32"/>
      <c r="C141" s="32"/>
      <c r="D141" s="32"/>
      <c r="E141" s="39"/>
      <c r="F141" s="34"/>
      <c r="G141" s="35">
        <f>Table1[[#This Row],[Selling Price]]-Table1[[#This Row],[Cost Price]]</f>
        <v>0</v>
      </c>
      <c r="H141" s="32"/>
      <c r="I141" s="36" t="s">
        <v>36</v>
      </c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x14ac:dyDescent="0.25">
      <c r="A142" s="31"/>
      <c r="B142" s="32"/>
      <c r="C142" s="32"/>
      <c r="D142" s="32"/>
      <c r="E142" s="39"/>
      <c r="F142" s="34"/>
      <c r="G142" s="35">
        <f>Table1[[#This Row],[Selling Price]]-Table1[[#This Row],[Cost Price]]</f>
        <v>0</v>
      </c>
      <c r="H142" s="32"/>
      <c r="I142" s="36" t="s">
        <v>36</v>
      </c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x14ac:dyDescent="0.25">
      <c r="A143" s="31"/>
      <c r="B143" s="32"/>
      <c r="C143" s="32"/>
      <c r="D143" s="32"/>
      <c r="E143" s="39"/>
      <c r="F143" s="34"/>
      <c r="G143" s="35">
        <f>Table1[[#This Row],[Selling Price]]-Table1[[#This Row],[Cost Price]]</f>
        <v>0</v>
      </c>
      <c r="H143" s="32"/>
      <c r="I143" s="36" t="s">
        <v>36</v>
      </c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25">
      <c r="A144" s="31"/>
      <c r="B144" s="32"/>
      <c r="C144" s="32"/>
      <c r="D144" s="32"/>
      <c r="E144" s="39"/>
      <c r="F144" s="34"/>
      <c r="G144" s="35">
        <f>Table1[[#This Row],[Selling Price]]-Table1[[#This Row],[Cost Price]]</f>
        <v>0</v>
      </c>
      <c r="H144" s="32"/>
      <c r="I144" s="36" t="s">
        <v>36</v>
      </c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x14ac:dyDescent="0.25">
      <c r="A145" s="31"/>
      <c r="B145" s="32"/>
      <c r="C145" s="32"/>
      <c r="D145" s="32"/>
      <c r="E145" s="39"/>
      <c r="F145" s="34"/>
      <c r="G145" s="35">
        <f>Table1[[#This Row],[Selling Price]]-Table1[[#This Row],[Cost Price]]</f>
        <v>0</v>
      </c>
      <c r="H145" s="32"/>
      <c r="I145" s="36" t="s">
        <v>36</v>
      </c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x14ac:dyDescent="0.25">
      <c r="A146" s="31"/>
      <c r="B146" s="32"/>
      <c r="C146" s="32"/>
      <c r="D146" s="32"/>
      <c r="E146" s="39"/>
      <c r="F146" s="34"/>
      <c r="G146" s="35">
        <f>Table1[[#This Row],[Selling Price]]-Table1[[#This Row],[Cost Price]]</f>
        <v>0</v>
      </c>
      <c r="H146" s="32"/>
      <c r="I146" s="36" t="s">
        <v>36</v>
      </c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x14ac:dyDescent="0.25">
      <c r="A147" s="31"/>
      <c r="B147" s="32"/>
      <c r="C147" s="32"/>
      <c r="D147" s="32"/>
      <c r="E147" s="39"/>
      <c r="F147" s="34"/>
      <c r="G147" s="35">
        <f>Table1[[#This Row],[Selling Price]]-Table1[[#This Row],[Cost Price]]</f>
        <v>0</v>
      </c>
      <c r="H147" s="32"/>
      <c r="I147" s="36" t="s">
        <v>36</v>
      </c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x14ac:dyDescent="0.25">
      <c r="A148" s="31"/>
      <c r="B148" s="32"/>
      <c r="C148" s="32"/>
      <c r="D148" s="32"/>
      <c r="E148" s="39"/>
      <c r="F148" s="34"/>
      <c r="G148" s="35">
        <f>Table1[[#This Row],[Selling Price]]-Table1[[#This Row],[Cost Price]]</f>
        <v>0</v>
      </c>
      <c r="H148" s="32"/>
      <c r="I148" s="36" t="s">
        <v>36</v>
      </c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x14ac:dyDescent="0.25">
      <c r="A149" s="31"/>
      <c r="B149" s="32"/>
      <c r="C149" s="32"/>
      <c r="D149" s="32"/>
      <c r="E149" s="39"/>
      <c r="F149" s="34"/>
      <c r="G149" s="35">
        <f>Table1[[#This Row],[Selling Price]]-Table1[[#This Row],[Cost Price]]</f>
        <v>0</v>
      </c>
      <c r="H149" s="32"/>
      <c r="I149" s="36" t="s">
        <v>36</v>
      </c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x14ac:dyDescent="0.25">
      <c r="A150" s="31"/>
      <c r="B150" s="32"/>
      <c r="C150" s="32"/>
      <c r="D150" s="32"/>
      <c r="E150" s="39"/>
      <c r="F150" s="34"/>
      <c r="G150" s="35">
        <f>Table1[[#This Row],[Selling Price]]-Table1[[#This Row],[Cost Price]]</f>
        <v>0</v>
      </c>
      <c r="H150" s="32"/>
      <c r="I150" s="36" t="s">
        <v>36</v>
      </c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x14ac:dyDescent="0.25">
      <c r="A151" s="31"/>
      <c r="B151" s="32"/>
      <c r="C151" s="32"/>
      <c r="D151" s="32"/>
      <c r="E151" s="39"/>
      <c r="F151" s="34"/>
      <c r="G151" s="35">
        <f>Table1[[#This Row],[Selling Price]]-Table1[[#This Row],[Cost Price]]</f>
        <v>0</v>
      </c>
      <c r="H151" s="32"/>
      <c r="I151" s="36" t="s">
        <v>36</v>
      </c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x14ac:dyDescent="0.25">
      <c r="A152" s="31"/>
      <c r="B152" s="32"/>
      <c r="C152" s="32"/>
      <c r="D152" s="32"/>
      <c r="E152" s="39"/>
      <c r="F152" s="34"/>
      <c r="G152" s="35">
        <f>Table1[[#This Row],[Selling Price]]-Table1[[#This Row],[Cost Price]]</f>
        <v>0</v>
      </c>
      <c r="H152" s="32"/>
      <c r="I152" s="36" t="s">
        <v>36</v>
      </c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x14ac:dyDescent="0.25">
      <c r="A153" s="31"/>
      <c r="B153" s="32"/>
      <c r="C153" s="32"/>
      <c r="D153" s="32"/>
      <c r="E153" s="39"/>
      <c r="F153" s="34"/>
      <c r="G153" s="35">
        <f>Table1[[#This Row],[Selling Price]]-Table1[[#This Row],[Cost Price]]</f>
        <v>0</v>
      </c>
      <c r="H153" s="32"/>
      <c r="I153" s="36" t="s">
        <v>36</v>
      </c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x14ac:dyDescent="0.25">
      <c r="A154" s="31"/>
      <c r="B154" s="32"/>
      <c r="C154" s="32"/>
      <c r="D154" s="32"/>
      <c r="E154" s="39"/>
      <c r="F154" s="34"/>
      <c r="G154" s="35">
        <f>Table1[[#This Row],[Selling Price]]-Table1[[#This Row],[Cost Price]]</f>
        <v>0</v>
      </c>
      <c r="H154" s="32"/>
      <c r="I154" s="36" t="s">
        <v>36</v>
      </c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x14ac:dyDescent="0.25">
      <c r="A155" s="31"/>
      <c r="B155" s="32"/>
      <c r="C155" s="32"/>
      <c r="D155" s="32"/>
      <c r="E155" s="39"/>
      <c r="F155" s="34"/>
      <c r="G155" s="35">
        <f>Table1[[#This Row],[Selling Price]]-Table1[[#This Row],[Cost Price]]</f>
        <v>0</v>
      </c>
      <c r="H155" s="32"/>
      <c r="I155" s="36" t="s">
        <v>36</v>
      </c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x14ac:dyDescent="0.25">
      <c r="A156" s="31"/>
      <c r="B156" s="32"/>
      <c r="C156" s="32"/>
      <c r="D156" s="32"/>
      <c r="E156" s="39"/>
      <c r="F156" s="34"/>
      <c r="G156" s="35">
        <f>Table1[[#This Row],[Selling Price]]-Table1[[#This Row],[Cost Price]]</f>
        <v>0</v>
      </c>
      <c r="H156" s="32"/>
      <c r="I156" s="36" t="s">
        <v>36</v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x14ac:dyDescent="0.25">
      <c r="A157" s="31"/>
      <c r="B157" s="32"/>
      <c r="C157" s="32"/>
      <c r="D157" s="32"/>
      <c r="E157" s="39"/>
      <c r="F157" s="34"/>
      <c r="G157" s="35">
        <f>Table1[[#This Row],[Selling Price]]-Table1[[#This Row],[Cost Price]]</f>
        <v>0</v>
      </c>
      <c r="H157" s="32"/>
      <c r="I157" s="36" t="s">
        <v>36</v>
      </c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x14ac:dyDescent="0.25">
      <c r="A158" s="31"/>
      <c r="B158" s="32"/>
      <c r="C158" s="32"/>
      <c r="D158" s="32"/>
      <c r="E158" s="39"/>
      <c r="F158" s="34"/>
      <c r="G158" s="35">
        <f>Table1[[#This Row],[Selling Price]]-Table1[[#This Row],[Cost Price]]</f>
        <v>0</v>
      </c>
      <c r="H158" s="32"/>
      <c r="I158" s="36" t="s">
        <v>36</v>
      </c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x14ac:dyDescent="0.25">
      <c r="A159" s="31"/>
      <c r="B159" s="32"/>
      <c r="C159" s="32"/>
      <c r="D159" s="32"/>
      <c r="E159" s="39"/>
      <c r="F159" s="34"/>
      <c r="G159" s="35">
        <f>Table1[[#This Row],[Selling Price]]-Table1[[#This Row],[Cost Price]]</f>
        <v>0</v>
      </c>
      <c r="H159" s="32"/>
      <c r="I159" s="36" t="s">
        <v>36</v>
      </c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x14ac:dyDescent="0.25">
      <c r="A160" s="31"/>
      <c r="B160" s="32"/>
      <c r="C160" s="32"/>
      <c r="D160" s="32"/>
      <c r="E160" s="39"/>
      <c r="F160" s="34"/>
      <c r="G160" s="35">
        <f>Table1[[#This Row],[Selling Price]]-Table1[[#This Row],[Cost Price]]</f>
        <v>0</v>
      </c>
      <c r="H160" s="32"/>
      <c r="I160" s="36" t="s">
        <v>36</v>
      </c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x14ac:dyDescent="0.25">
      <c r="A161" s="31"/>
      <c r="B161" s="32"/>
      <c r="C161" s="32"/>
      <c r="D161" s="32"/>
      <c r="E161" s="39"/>
      <c r="F161" s="34"/>
      <c r="G161" s="35">
        <f>Table1[[#This Row],[Selling Price]]-Table1[[#This Row],[Cost Price]]</f>
        <v>0</v>
      </c>
      <c r="H161" s="32"/>
      <c r="I161" s="36" t="s">
        <v>36</v>
      </c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x14ac:dyDescent="0.25">
      <c r="A162" s="31"/>
      <c r="B162" s="32"/>
      <c r="C162" s="32"/>
      <c r="D162" s="32"/>
      <c r="E162" s="39"/>
      <c r="F162" s="34"/>
      <c r="G162" s="35">
        <f>Table1[[#This Row],[Selling Price]]-Table1[[#This Row],[Cost Price]]</f>
        <v>0</v>
      </c>
      <c r="H162" s="32"/>
      <c r="I162" s="36" t="s">
        <v>36</v>
      </c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x14ac:dyDescent="0.25">
      <c r="A163" s="31"/>
      <c r="B163" s="32"/>
      <c r="C163" s="32"/>
      <c r="D163" s="32"/>
      <c r="E163" s="39"/>
      <c r="F163" s="34"/>
      <c r="G163" s="35">
        <f>Table1[[#This Row],[Selling Price]]-Table1[[#This Row],[Cost Price]]</f>
        <v>0</v>
      </c>
      <c r="H163" s="32"/>
      <c r="I163" s="36" t="s">
        <v>36</v>
      </c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x14ac:dyDescent="0.25">
      <c r="A164" s="31"/>
      <c r="B164" s="32"/>
      <c r="C164" s="32"/>
      <c r="D164" s="32"/>
      <c r="E164" s="39"/>
      <c r="F164" s="34"/>
      <c r="G164" s="35">
        <f>Table1[[#This Row],[Selling Price]]-Table1[[#This Row],[Cost Price]]</f>
        <v>0</v>
      </c>
      <c r="H164" s="32"/>
      <c r="I164" s="36" t="s">
        <v>36</v>
      </c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x14ac:dyDescent="0.25">
      <c r="A165" s="31"/>
      <c r="B165" s="32"/>
      <c r="C165" s="32"/>
      <c r="D165" s="32"/>
      <c r="E165" s="39"/>
      <c r="F165" s="34"/>
      <c r="G165" s="35">
        <f>Table1[[#This Row],[Selling Price]]-Table1[[#This Row],[Cost Price]]</f>
        <v>0</v>
      </c>
      <c r="H165" s="32"/>
      <c r="I165" s="36" t="s">
        <v>36</v>
      </c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x14ac:dyDescent="0.25">
      <c r="A166" s="31"/>
      <c r="B166" s="32"/>
      <c r="C166" s="32"/>
      <c r="D166" s="32"/>
      <c r="E166" s="39"/>
      <c r="F166" s="34"/>
      <c r="G166" s="35">
        <f>Table1[[#This Row],[Selling Price]]-Table1[[#This Row],[Cost Price]]</f>
        <v>0</v>
      </c>
      <c r="H166" s="32"/>
      <c r="I166" s="36" t="s">
        <v>36</v>
      </c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x14ac:dyDescent="0.25">
      <c r="A167" s="31"/>
      <c r="B167" s="32"/>
      <c r="C167" s="32"/>
      <c r="D167" s="32"/>
      <c r="E167" s="39"/>
      <c r="F167" s="34"/>
      <c r="G167" s="35">
        <f>Table1[[#This Row],[Selling Price]]-Table1[[#This Row],[Cost Price]]</f>
        <v>0</v>
      </c>
      <c r="H167" s="32"/>
      <c r="I167" s="36" t="s">
        <v>36</v>
      </c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x14ac:dyDescent="0.25">
      <c r="A168" s="31"/>
      <c r="B168" s="32"/>
      <c r="C168" s="32"/>
      <c r="D168" s="32"/>
      <c r="E168" s="39"/>
      <c r="F168" s="34"/>
      <c r="G168" s="35">
        <f>Table1[[#This Row],[Selling Price]]-Table1[[#This Row],[Cost Price]]</f>
        <v>0</v>
      </c>
      <c r="H168" s="32"/>
      <c r="I168" s="36" t="s">
        <v>36</v>
      </c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x14ac:dyDescent="0.25">
      <c r="A169" s="31"/>
      <c r="B169" s="32"/>
      <c r="C169" s="32"/>
      <c r="D169" s="32"/>
      <c r="E169" s="39"/>
      <c r="F169" s="34"/>
      <c r="G169" s="35">
        <f>Table1[[#This Row],[Selling Price]]-Table1[[#This Row],[Cost Price]]</f>
        <v>0</v>
      </c>
      <c r="H169" s="32"/>
      <c r="I169" s="36" t="s">
        <v>36</v>
      </c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x14ac:dyDescent="0.25">
      <c r="A170" s="31"/>
      <c r="B170" s="32"/>
      <c r="C170" s="32"/>
      <c r="D170" s="32"/>
      <c r="E170" s="39"/>
      <c r="F170" s="34"/>
      <c r="G170" s="35">
        <f>Table1[[#This Row],[Selling Price]]-Table1[[#This Row],[Cost Price]]</f>
        <v>0</v>
      </c>
      <c r="H170" s="32"/>
      <c r="I170" s="36" t="s">
        <v>36</v>
      </c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x14ac:dyDescent="0.25">
      <c r="A171" s="31"/>
      <c r="B171" s="32"/>
      <c r="C171" s="32"/>
      <c r="D171" s="32"/>
      <c r="E171" s="39"/>
      <c r="F171" s="34"/>
      <c r="G171" s="35">
        <f>Table1[[#This Row],[Selling Price]]-Table1[[#This Row],[Cost Price]]</f>
        <v>0</v>
      </c>
      <c r="H171" s="32"/>
      <c r="I171" s="36" t="s">
        <v>36</v>
      </c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x14ac:dyDescent="0.25">
      <c r="A172" s="31"/>
      <c r="B172" s="32"/>
      <c r="C172" s="32"/>
      <c r="D172" s="32"/>
      <c r="E172" s="39"/>
      <c r="F172" s="34"/>
      <c r="G172" s="35">
        <f>Table1[[#This Row],[Selling Price]]-Table1[[#This Row],[Cost Price]]</f>
        <v>0</v>
      </c>
      <c r="H172" s="32"/>
      <c r="I172" s="36" t="s">
        <v>36</v>
      </c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x14ac:dyDescent="0.25">
      <c r="A173" s="31"/>
      <c r="B173" s="32"/>
      <c r="C173" s="32"/>
      <c r="D173" s="32"/>
      <c r="E173" s="39"/>
      <c r="F173" s="34"/>
      <c r="G173" s="35">
        <f>Table1[[#This Row],[Selling Price]]-Table1[[#This Row],[Cost Price]]</f>
        <v>0</v>
      </c>
      <c r="H173" s="32"/>
      <c r="I173" s="36" t="s">
        <v>36</v>
      </c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x14ac:dyDescent="0.25">
      <c r="A174" s="31"/>
      <c r="B174" s="32"/>
      <c r="C174" s="32"/>
      <c r="D174" s="32"/>
      <c r="E174" s="39"/>
      <c r="F174" s="34"/>
      <c r="G174" s="35">
        <f>Table1[[#This Row],[Selling Price]]-Table1[[#This Row],[Cost Price]]</f>
        <v>0</v>
      </c>
      <c r="H174" s="32"/>
      <c r="I174" s="36" t="s">
        <v>36</v>
      </c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x14ac:dyDescent="0.25">
      <c r="A175" s="31"/>
      <c r="B175" s="32"/>
      <c r="C175" s="32"/>
      <c r="D175" s="32"/>
      <c r="E175" s="39"/>
      <c r="F175" s="34"/>
      <c r="G175" s="35">
        <f>Table1[[#This Row],[Selling Price]]-Table1[[#This Row],[Cost Price]]</f>
        <v>0</v>
      </c>
      <c r="H175" s="32"/>
      <c r="I175" s="36" t="s">
        <v>36</v>
      </c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x14ac:dyDescent="0.25">
      <c r="A176" s="31"/>
      <c r="B176" s="32"/>
      <c r="C176" s="32"/>
      <c r="D176" s="32"/>
      <c r="E176" s="39"/>
      <c r="F176" s="34"/>
      <c r="G176" s="35">
        <f>Table1[[#This Row],[Selling Price]]-Table1[[#This Row],[Cost Price]]</f>
        <v>0</v>
      </c>
      <c r="H176" s="32"/>
      <c r="I176" s="36" t="s">
        <v>36</v>
      </c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x14ac:dyDescent="0.25">
      <c r="A177" s="31"/>
      <c r="B177" s="32"/>
      <c r="C177" s="32"/>
      <c r="D177" s="32"/>
      <c r="E177" s="39"/>
      <c r="F177" s="34"/>
      <c r="G177" s="35">
        <f>Table1[[#This Row],[Selling Price]]-Table1[[#This Row],[Cost Price]]</f>
        <v>0</v>
      </c>
      <c r="H177" s="32"/>
      <c r="I177" s="36" t="s">
        <v>36</v>
      </c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x14ac:dyDescent="0.25">
      <c r="A178" s="31"/>
      <c r="B178" s="32"/>
      <c r="C178" s="32"/>
      <c r="D178" s="32"/>
      <c r="E178" s="39"/>
      <c r="F178" s="34"/>
      <c r="G178" s="35">
        <f>Table1[[#This Row],[Selling Price]]-Table1[[#This Row],[Cost Price]]</f>
        <v>0</v>
      </c>
      <c r="H178" s="32"/>
      <c r="I178" s="36" t="s">
        <v>36</v>
      </c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x14ac:dyDescent="0.25">
      <c r="A179" s="31"/>
      <c r="B179" s="32"/>
      <c r="C179" s="32"/>
      <c r="D179" s="32"/>
      <c r="E179" s="39"/>
      <c r="F179" s="34"/>
      <c r="G179" s="35">
        <f>Table1[[#This Row],[Selling Price]]-Table1[[#This Row],[Cost Price]]</f>
        <v>0</v>
      </c>
      <c r="H179" s="32"/>
      <c r="I179" s="36" t="s">
        <v>36</v>
      </c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25">
      <c r="A180" s="31"/>
      <c r="B180" s="32"/>
      <c r="C180" s="32"/>
      <c r="D180" s="32"/>
      <c r="E180" s="39"/>
      <c r="F180" s="34"/>
      <c r="G180" s="35">
        <f>Table1[[#This Row],[Selling Price]]-Table1[[#This Row],[Cost Price]]</f>
        <v>0</v>
      </c>
      <c r="H180" s="32"/>
      <c r="I180" s="36" t="s">
        <v>36</v>
      </c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x14ac:dyDescent="0.25">
      <c r="A181" s="31"/>
      <c r="B181" s="32"/>
      <c r="C181" s="32"/>
      <c r="D181" s="32"/>
      <c r="E181" s="39"/>
      <c r="F181" s="34"/>
      <c r="G181" s="35">
        <f>Table1[[#This Row],[Selling Price]]-Table1[[#This Row],[Cost Price]]</f>
        <v>0</v>
      </c>
      <c r="H181" s="32"/>
      <c r="I181" s="36" t="s">
        <v>36</v>
      </c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x14ac:dyDescent="0.25">
      <c r="A182" s="31"/>
      <c r="B182" s="32"/>
      <c r="C182" s="32"/>
      <c r="D182" s="32"/>
      <c r="E182" s="39"/>
      <c r="F182" s="34"/>
      <c r="G182" s="35">
        <f>Table1[[#This Row],[Selling Price]]-Table1[[#This Row],[Cost Price]]</f>
        <v>0</v>
      </c>
      <c r="H182" s="32"/>
      <c r="I182" s="36" t="s">
        <v>36</v>
      </c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x14ac:dyDescent="0.25">
      <c r="A183" s="31"/>
      <c r="B183" s="32"/>
      <c r="C183" s="32"/>
      <c r="D183" s="32"/>
      <c r="E183" s="39"/>
      <c r="F183" s="34"/>
      <c r="G183" s="35">
        <f>Table1[[#This Row],[Selling Price]]-Table1[[#This Row],[Cost Price]]</f>
        <v>0</v>
      </c>
      <c r="H183" s="32"/>
      <c r="I183" s="36" t="s">
        <v>36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x14ac:dyDescent="0.25">
      <c r="A184" s="31"/>
      <c r="B184" s="32"/>
      <c r="C184" s="32"/>
      <c r="D184" s="32"/>
      <c r="E184" s="39"/>
      <c r="F184" s="34"/>
      <c r="G184" s="35">
        <f>Table1[[#This Row],[Selling Price]]-Table1[[#This Row],[Cost Price]]</f>
        <v>0</v>
      </c>
      <c r="H184" s="32"/>
      <c r="I184" s="36" t="s">
        <v>36</v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x14ac:dyDescent="0.25">
      <c r="A185" s="31"/>
      <c r="B185" s="32"/>
      <c r="C185" s="32"/>
      <c r="D185" s="32"/>
      <c r="E185" s="39"/>
      <c r="F185" s="34"/>
      <c r="G185" s="35">
        <f>Table1[[#This Row],[Selling Price]]-Table1[[#This Row],[Cost Price]]</f>
        <v>0</v>
      </c>
      <c r="H185" s="32"/>
      <c r="I185" s="36" t="s">
        <v>36</v>
      </c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x14ac:dyDescent="0.25">
      <c r="A186" s="31"/>
      <c r="B186" s="32"/>
      <c r="C186" s="32"/>
      <c r="D186" s="32"/>
      <c r="E186" s="39"/>
      <c r="F186" s="34"/>
      <c r="G186" s="35">
        <f>Table1[[#This Row],[Selling Price]]-Table1[[#This Row],[Cost Price]]</f>
        <v>0</v>
      </c>
      <c r="H186" s="32"/>
      <c r="I186" s="36" t="s">
        <v>36</v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x14ac:dyDescent="0.25">
      <c r="A187" s="31"/>
      <c r="B187" s="32"/>
      <c r="C187" s="32"/>
      <c r="D187" s="32"/>
      <c r="E187" s="39"/>
      <c r="F187" s="34"/>
      <c r="G187" s="35">
        <f>Table1[[#This Row],[Selling Price]]-Table1[[#This Row],[Cost Price]]</f>
        <v>0</v>
      </c>
      <c r="H187" s="32"/>
      <c r="I187" s="36" t="s">
        <v>36</v>
      </c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x14ac:dyDescent="0.25">
      <c r="A188" s="31"/>
      <c r="B188" s="32"/>
      <c r="C188" s="32"/>
      <c r="D188" s="32"/>
      <c r="E188" s="39"/>
      <c r="F188" s="34"/>
      <c r="G188" s="35">
        <f>Table1[[#This Row],[Selling Price]]-Table1[[#This Row],[Cost Price]]</f>
        <v>0</v>
      </c>
      <c r="H188" s="32"/>
      <c r="I188" s="36" t="s">
        <v>36</v>
      </c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x14ac:dyDescent="0.25">
      <c r="A189" s="31"/>
      <c r="B189" s="32"/>
      <c r="C189" s="32"/>
      <c r="D189" s="32"/>
      <c r="E189" s="39"/>
      <c r="F189" s="34"/>
      <c r="G189" s="35">
        <f>Table1[[#This Row],[Selling Price]]-Table1[[#This Row],[Cost Price]]</f>
        <v>0</v>
      </c>
      <c r="H189" s="32"/>
      <c r="I189" s="36" t="s">
        <v>36</v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25">
      <c r="A190" s="31"/>
      <c r="B190" s="32"/>
      <c r="C190" s="32"/>
      <c r="D190" s="32"/>
      <c r="E190" s="39"/>
      <c r="F190" s="34"/>
      <c r="G190" s="35">
        <f>Table1[[#This Row],[Selling Price]]-Table1[[#This Row],[Cost Price]]</f>
        <v>0</v>
      </c>
      <c r="H190" s="32"/>
      <c r="I190" s="36" t="s">
        <v>36</v>
      </c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x14ac:dyDescent="0.25">
      <c r="A191" s="31"/>
      <c r="B191" s="32"/>
      <c r="C191" s="32"/>
      <c r="D191" s="32"/>
      <c r="E191" s="39"/>
      <c r="F191" s="34"/>
      <c r="G191" s="35">
        <f>Table1[[#This Row],[Selling Price]]-Table1[[#This Row],[Cost Price]]</f>
        <v>0</v>
      </c>
      <c r="H191" s="32"/>
      <c r="I191" s="36" t="s">
        <v>36</v>
      </c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x14ac:dyDescent="0.25">
      <c r="A192" s="31"/>
      <c r="B192" s="32"/>
      <c r="C192" s="32"/>
      <c r="D192" s="32"/>
      <c r="E192" s="39"/>
      <c r="F192" s="34"/>
      <c r="G192" s="35">
        <f>Table1[[#This Row],[Selling Price]]-Table1[[#This Row],[Cost Price]]</f>
        <v>0</v>
      </c>
      <c r="H192" s="32"/>
      <c r="I192" s="36" t="s">
        <v>36</v>
      </c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x14ac:dyDescent="0.25">
      <c r="A193" s="31"/>
      <c r="B193" s="32"/>
      <c r="C193" s="32"/>
      <c r="D193" s="32"/>
      <c r="E193" s="39"/>
      <c r="F193" s="34"/>
      <c r="G193" s="35">
        <f>Table1[[#This Row],[Selling Price]]-Table1[[#This Row],[Cost Price]]</f>
        <v>0</v>
      </c>
      <c r="H193" s="32"/>
      <c r="I193" s="36" t="s">
        <v>36</v>
      </c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x14ac:dyDescent="0.25">
      <c r="A194" s="31"/>
      <c r="B194" s="32"/>
      <c r="C194" s="32"/>
      <c r="D194" s="32"/>
      <c r="E194" s="39"/>
      <c r="F194" s="34"/>
      <c r="G194" s="35">
        <f>Table1[[#This Row],[Selling Price]]-Table1[[#This Row],[Cost Price]]</f>
        <v>0</v>
      </c>
      <c r="H194" s="32"/>
      <c r="I194" s="36" t="s">
        <v>36</v>
      </c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25">
      <c r="A195" s="31"/>
      <c r="B195" s="32"/>
      <c r="C195" s="32"/>
      <c r="D195" s="32"/>
      <c r="E195" s="39"/>
      <c r="F195" s="34"/>
      <c r="G195" s="35">
        <f>Table1[[#This Row],[Selling Price]]-Table1[[#This Row],[Cost Price]]</f>
        <v>0</v>
      </c>
      <c r="H195" s="32"/>
      <c r="I195" s="36" t="s">
        <v>36</v>
      </c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x14ac:dyDescent="0.25">
      <c r="A196" s="31"/>
      <c r="B196" s="32"/>
      <c r="C196" s="32"/>
      <c r="D196" s="32"/>
      <c r="E196" s="39"/>
      <c r="F196" s="34"/>
      <c r="G196" s="35">
        <f>Table1[[#This Row],[Selling Price]]-Table1[[#This Row],[Cost Price]]</f>
        <v>0</v>
      </c>
      <c r="H196" s="32"/>
      <c r="I196" s="36" t="s">
        <v>36</v>
      </c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x14ac:dyDescent="0.25">
      <c r="A197" s="31"/>
      <c r="B197" s="32"/>
      <c r="C197" s="32"/>
      <c r="D197" s="32"/>
      <c r="E197" s="39"/>
      <c r="F197" s="34"/>
      <c r="G197" s="35">
        <f>Table1[[#This Row],[Selling Price]]-Table1[[#This Row],[Cost Price]]</f>
        <v>0</v>
      </c>
      <c r="H197" s="32"/>
      <c r="I197" s="36" t="s">
        <v>36</v>
      </c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x14ac:dyDescent="0.25">
      <c r="A198" s="31"/>
      <c r="B198" s="32"/>
      <c r="C198" s="32"/>
      <c r="D198" s="32"/>
      <c r="E198" s="39"/>
      <c r="F198" s="34"/>
      <c r="G198" s="35">
        <f>Table1[[#This Row],[Selling Price]]-Table1[[#This Row],[Cost Price]]</f>
        <v>0</v>
      </c>
      <c r="H198" s="32"/>
      <c r="I198" s="36" t="s">
        <v>36</v>
      </c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x14ac:dyDescent="0.25">
      <c r="A199" s="31"/>
      <c r="B199" s="32"/>
      <c r="C199" s="32"/>
      <c r="D199" s="32"/>
      <c r="E199" s="39"/>
      <c r="F199" s="34"/>
      <c r="G199" s="35">
        <f>Table1[[#This Row],[Selling Price]]-Table1[[#This Row],[Cost Price]]</f>
        <v>0</v>
      </c>
      <c r="H199" s="32"/>
      <c r="I199" s="36" t="s">
        <v>36</v>
      </c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x14ac:dyDescent="0.25">
      <c r="A200" s="31"/>
      <c r="B200" s="32"/>
      <c r="C200" s="32"/>
      <c r="D200" s="32"/>
      <c r="E200" s="39"/>
      <c r="F200" s="34"/>
      <c r="G200" s="35">
        <f>Table1[[#This Row],[Selling Price]]-Table1[[#This Row],[Cost Price]]</f>
        <v>0</v>
      </c>
      <c r="H200" s="32"/>
      <c r="I200" s="36" t="s">
        <v>36</v>
      </c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x14ac:dyDescent="0.25">
      <c r="A201" s="31"/>
      <c r="B201" s="32"/>
      <c r="C201" s="32"/>
      <c r="D201" s="32"/>
      <c r="E201" s="39"/>
      <c r="F201" s="34"/>
      <c r="G201" s="35">
        <f>Table1[[#This Row],[Selling Price]]-Table1[[#This Row],[Cost Price]]</f>
        <v>0</v>
      </c>
      <c r="H201" s="32"/>
      <c r="I201" s="36" t="s">
        <v>36</v>
      </c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x14ac:dyDescent="0.25">
      <c r="A202" s="31"/>
      <c r="B202" s="32"/>
      <c r="C202" s="32"/>
      <c r="D202" s="32"/>
      <c r="E202" s="39"/>
      <c r="F202" s="34"/>
      <c r="G202" s="35">
        <f>Table1[[#This Row],[Selling Price]]-Table1[[#This Row],[Cost Price]]</f>
        <v>0</v>
      </c>
      <c r="H202" s="32"/>
      <c r="I202" s="36" t="s">
        <v>36</v>
      </c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x14ac:dyDescent="0.25">
      <c r="A203" s="31"/>
      <c r="B203" s="32"/>
      <c r="C203" s="32"/>
      <c r="D203" s="32"/>
      <c r="E203" s="39"/>
      <c r="F203" s="34"/>
      <c r="G203" s="35">
        <f>Table1[[#This Row],[Selling Price]]-Table1[[#This Row],[Cost Price]]</f>
        <v>0</v>
      </c>
      <c r="H203" s="32"/>
      <c r="I203" s="36" t="s">
        <v>36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x14ac:dyDescent="0.25">
      <c r="A204" s="31"/>
      <c r="B204" s="32"/>
      <c r="C204" s="32"/>
      <c r="D204" s="32"/>
      <c r="E204" s="39"/>
      <c r="F204" s="34"/>
      <c r="G204" s="35">
        <f>Table1[[#This Row],[Selling Price]]-Table1[[#This Row],[Cost Price]]</f>
        <v>0</v>
      </c>
      <c r="H204" s="32"/>
      <c r="I204" s="36" t="s">
        <v>36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x14ac:dyDescent="0.25">
      <c r="A205" s="31"/>
      <c r="B205" s="32"/>
      <c r="C205" s="32"/>
      <c r="D205" s="32"/>
      <c r="E205" s="39"/>
      <c r="F205" s="34"/>
      <c r="G205" s="35">
        <f>Table1[[#This Row],[Selling Price]]-Table1[[#This Row],[Cost Price]]</f>
        <v>0</v>
      </c>
      <c r="H205" s="32"/>
      <c r="I205" s="36" t="s">
        <v>36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x14ac:dyDescent="0.25">
      <c r="A206" s="31"/>
      <c r="B206" s="32"/>
      <c r="C206" s="32"/>
      <c r="D206" s="32"/>
      <c r="E206" s="39"/>
      <c r="F206" s="34"/>
      <c r="G206" s="35">
        <f>Table1[[#This Row],[Selling Price]]-Table1[[#This Row],[Cost Price]]</f>
        <v>0</v>
      </c>
      <c r="H206" s="32"/>
      <c r="I206" s="36" t="s">
        <v>36</v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x14ac:dyDescent="0.25">
      <c r="A207" s="31"/>
      <c r="B207" s="32"/>
      <c r="C207" s="32"/>
      <c r="D207" s="32"/>
      <c r="E207" s="39"/>
      <c r="F207" s="34"/>
      <c r="G207" s="35">
        <f>Table1[[#This Row],[Selling Price]]-Table1[[#This Row],[Cost Price]]</f>
        <v>0</v>
      </c>
      <c r="H207" s="32"/>
      <c r="I207" s="36" t="s">
        <v>36</v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x14ac:dyDescent="0.25">
      <c r="A208" s="31"/>
      <c r="B208" s="32"/>
      <c r="C208" s="32"/>
      <c r="D208" s="32"/>
      <c r="E208" s="39"/>
      <c r="F208" s="34"/>
      <c r="G208" s="35">
        <f>Table1[[#This Row],[Selling Price]]-Table1[[#This Row],[Cost Price]]</f>
        <v>0</v>
      </c>
      <c r="H208" s="32"/>
      <c r="I208" s="36" t="s">
        <v>36</v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x14ac:dyDescent="0.25">
      <c r="A209" s="31"/>
      <c r="B209" s="32"/>
      <c r="C209" s="32"/>
      <c r="D209" s="32"/>
      <c r="E209" s="39"/>
      <c r="F209" s="34"/>
      <c r="G209" s="35">
        <f>Table1[[#This Row],[Selling Price]]-Table1[[#This Row],[Cost Price]]</f>
        <v>0</v>
      </c>
      <c r="H209" s="32"/>
      <c r="I209" s="36" t="s">
        <v>36</v>
      </c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x14ac:dyDescent="0.25">
      <c r="A210" s="31"/>
      <c r="B210" s="32"/>
      <c r="C210" s="32"/>
      <c r="D210" s="32"/>
      <c r="E210" s="39"/>
      <c r="F210" s="34"/>
      <c r="G210" s="35">
        <f>Table1[[#This Row],[Selling Price]]-Table1[[#This Row],[Cost Price]]</f>
        <v>0</v>
      </c>
      <c r="H210" s="32"/>
      <c r="I210" s="36" t="s">
        <v>36</v>
      </c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x14ac:dyDescent="0.25">
      <c r="A211" s="31"/>
      <c r="B211" s="32"/>
      <c r="C211" s="32"/>
      <c r="D211" s="32"/>
      <c r="E211" s="39"/>
      <c r="F211" s="34"/>
      <c r="G211" s="35">
        <f>Table1[[#This Row],[Selling Price]]-Table1[[#This Row],[Cost Price]]</f>
        <v>0</v>
      </c>
      <c r="H211" s="32"/>
      <c r="I211" s="36" t="s">
        <v>36</v>
      </c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x14ac:dyDescent="0.25">
      <c r="A212" s="31"/>
      <c r="B212" s="32"/>
      <c r="C212" s="32"/>
      <c r="D212" s="32"/>
      <c r="E212" s="39"/>
      <c r="F212" s="34"/>
      <c r="G212" s="35">
        <f>Table1[[#This Row],[Selling Price]]-Table1[[#This Row],[Cost Price]]</f>
        <v>0</v>
      </c>
      <c r="H212" s="32"/>
      <c r="I212" s="36" t="s">
        <v>36</v>
      </c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x14ac:dyDescent="0.25">
      <c r="A213" s="31"/>
      <c r="B213" s="32"/>
      <c r="C213" s="32"/>
      <c r="D213" s="32"/>
      <c r="E213" s="39"/>
      <c r="F213" s="34"/>
      <c r="G213" s="35">
        <f>Table1[[#This Row],[Selling Price]]-Table1[[#This Row],[Cost Price]]</f>
        <v>0</v>
      </c>
      <c r="H213" s="32"/>
      <c r="I213" s="36" t="s">
        <v>36</v>
      </c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x14ac:dyDescent="0.25">
      <c r="A214" s="31"/>
      <c r="B214" s="32"/>
      <c r="C214" s="32"/>
      <c r="D214" s="32"/>
      <c r="E214" s="39"/>
      <c r="F214" s="34"/>
      <c r="G214" s="35">
        <f>Table1[[#This Row],[Selling Price]]-Table1[[#This Row],[Cost Price]]</f>
        <v>0</v>
      </c>
      <c r="H214" s="32"/>
      <c r="I214" s="36" t="s">
        <v>36</v>
      </c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x14ac:dyDescent="0.25">
      <c r="A215" s="31"/>
      <c r="B215" s="32"/>
      <c r="C215" s="32"/>
      <c r="D215" s="32"/>
      <c r="E215" s="39"/>
      <c r="F215" s="34"/>
      <c r="G215" s="35">
        <f>Table1[[#This Row],[Selling Price]]-Table1[[#This Row],[Cost Price]]</f>
        <v>0</v>
      </c>
      <c r="H215" s="32"/>
      <c r="I215" s="36" t="s">
        <v>36</v>
      </c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x14ac:dyDescent="0.25">
      <c r="A216" s="31"/>
      <c r="B216" s="32"/>
      <c r="C216" s="32"/>
      <c r="D216" s="32"/>
      <c r="E216" s="39"/>
      <c r="F216" s="34"/>
      <c r="G216" s="35">
        <f>Table1[[#This Row],[Selling Price]]-Table1[[#This Row],[Cost Price]]</f>
        <v>0</v>
      </c>
      <c r="H216" s="32"/>
      <c r="I216" s="36" t="s">
        <v>36</v>
      </c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x14ac:dyDescent="0.25">
      <c r="A217" s="31"/>
      <c r="B217" s="32"/>
      <c r="C217" s="32"/>
      <c r="D217" s="32"/>
      <c r="E217" s="39"/>
      <c r="F217" s="34"/>
      <c r="G217" s="35">
        <f>Table1[[#This Row],[Selling Price]]-Table1[[#This Row],[Cost Price]]</f>
        <v>0</v>
      </c>
      <c r="H217" s="32"/>
      <c r="I217" s="36" t="s">
        <v>36</v>
      </c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x14ac:dyDescent="0.25">
      <c r="A218" s="31"/>
      <c r="B218" s="32"/>
      <c r="C218" s="32"/>
      <c r="D218" s="32"/>
      <c r="E218" s="39"/>
      <c r="F218" s="34"/>
      <c r="G218" s="35">
        <f>Table1[[#This Row],[Selling Price]]-Table1[[#This Row],[Cost Price]]</f>
        <v>0</v>
      </c>
      <c r="H218" s="32"/>
      <c r="I218" s="36" t="s">
        <v>36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x14ac:dyDescent="0.25">
      <c r="A219" s="31"/>
      <c r="B219" s="32"/>
      <c r="C219" s="32"/>
      <c r="D219" s="32"/>
      <c r="E219" s="39"/>
      <c r="F219" s="34"/>
      <c r="G219" s="35">
        <f>Table1[[#This Row],[Selling Price]]-Table1[[#This Row],[Cost Price]]</f>
        <v>0</v>
      </c>
      <c r="H219" s="32"/>
      <c r="I219" s="36" t="s">
        <v>36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x14ac:dyDescent="0.25">
      <c r="A220" s="31"/>
      <c r="B220" s="32"/>
      <c r="C220" s="32"/>
      <c r="D220" s="32"/>
      <c r="E220" s="39"/>
      <c r="F220" s="34"/>
      <c r="G220" s="35">
        <f>Table1[[#This Row],[Selling Price]]-Table1[[#This Row],[Cost Price]]</f>
        <v>0</v>
      </c>
      <c r="H220" s="32"/>
      <c r="I220" s="36" t="s">
        <v>36</v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x14ac:dyDescent="0.25">
      <c r="A221" s="31"/>
      <c r="B221" s="32"/>
      <c r="C221" s="32"/>
      <c r="D221" s="32"/>
      <c r="E221" s="39"/>
      <c r="F221" s="34"/>
      <c r="G221" s="35">
        <f>Table1[[#This Row],[Selling Price]]-Table1[[#This Row],[Cost Price]]</f>
        <v>0</v>
      </c>
      <c r="H221" s="32"/>
      <c r="I221" s="36" t="s">
        <v>36</v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x14ac:dyDescent="0.25">
      <c r="A222" s="31"/>
      <c r="B222" s="32"/>
      <c r="C222" s="32"/>
      <c r="D222" s="32"/>
      <c r="E222" s="39"/>
      <c r="F222" s="34"/>
      <c r="G222" s="35">
        <f>Table1[[#This Row],[Selling Price]]-Table1[[#This Row],[Cost Price]]</f>
        <v>0</v>
      </c>
      <c r="H222" s="32"/>
      <c r="I222" s="36" t="s">
        <v>36</v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x14ac:dyDescent="0.25">
      <c r="A223" s="31"/>
      <c r="B223" s="32"/>
      <c r="C223" s="32"/>
      <c r="D223" s="32"/>
      <c r="E223" s="39"/>
      <c r="F223" s="34"/>
      <c r="G223" s="35">
        <f>Table1[[#This Row],[Selling Price]]-Table1[[#This Row],[Cost Price]]</f>
        <v>0</v>
      </c>
      <c r="H223" s="32"/>
      <c r="I223" s="36" t="s">
        <v>36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x14ac:dyDescent="0.25">
      <c r="A224" s="31"/>
      <c r="B224" s="32"/>
      <c r="C224" s="32"/>
      <c r="D224" s="32"/>
      <c r="E224" s="39"/>
      <c r="F224" s="34"/>
      <c r="G224" s="35">
        <f>Table1[[#This Row],[Selling Price]]-Table1[[#This Row],[Cost Price]]</f>
        <v>0</v>
      </c>
      <c r="H224" s="32"/>
      <c r="I224" s="36" t="s">
        <v>36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x14ac:dyDescent="0.25">
      <c r="A225" s="31"/>
      <c r="B225" s="32"/>
      <c r="C225" s="32"/>
      <c r="D225" s="32"/>
      <c r="E225" s="39"/>
      <c r="F225" s="34"/>
      <c r="G225" s="35">
        <f>Table1[[#This Row],[Selling Price]]-Table1[[#This Row],[Cost Price]]</f>
        <v>0</v>
      </c>
      <c r="H225" s="32"/>
      <c r="I225" s="36" t="s">
        <v>36</v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x14ac:dyDescent="0.25">
      <c r="A226" s="31"/>
      <c r="B226" s="32"/>
      <c r="C226" s="32"/>
      <c r="D226" s="32"/>
      <c r="E226" s="39"/>
      <c r="F226" s="34"/>
      <c r="G226" s="35">
        <f>Table1[[#This Row],[Selling Price]]-Table1[[#This Row],[Cost Price]]</f>
        <v>0</v>
      </c>
      <c r="H226" s="32"/>
      <c r="I226" s="36" t="s">
        <v>36</v>
      </c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x14ac:dyDescent="0.25">
      <c r="A227" s="31"/>
      <c r="B227" s="32"/>
      <c r="C227" s="32"/>
      <c r="D227" s="32"/>
      <c r="E227" s="39"/>
      <c r="F227" s="34"/>
      <c r="G227" s="35">
        <f>Table1[[#This Row],[Selling Price]]-Table1[[#This Row],[Cost Price]]</f>
        <v>0</v>
      </c>
      <c r="H227" s="32"/>
      <c r="I227" s="36" t="s">
        <v>36</v>
      </c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x14ac:dyDescent="0.25">
      <c r="A228" s="31"/>
      <c r="B228" s="32"/>
      <c r="C228" s="32"/>
      <c r="D228" s="32"/>
      <c r="E228" s="39"/>
      <c r="F228" s="34"/>
      <c r="G228" s="35">
        <f>Table1[[#This Row],[Selling Price]]-Table1[[#This Row],[Cost Price]]</f>
        <v>0</v>
      </c>
      <c r="H228" s="32"/>
      <c r="I228" s="36" t="s">
        <v>36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x14ac:dyDescent="0.25">
      <c r="A229" s="31"/>
      <c r="B229" s="32"/>
      <c r="C229" s="32"/>
      <c r="D229" s="32"/>
      <c r="E229" s="39"/>
      <c r="F229" s="34"/>
      <c r="G229" s="35">
        <f>Table1[[#This Row],[Selling Price]]-Table1[[#This Row],[Cost Price]]</f>
        <v>0</v>
      </c>
      <c r="H229" s="32"/>
      <c r="I229" s="36" t="s">
        <v>36</v>
      </c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x14ac:dyDescent="0.25">
      <c r="A230" s="31"/>
      <c r="B230" s="32"/>
      <c r="C230" s="32"/>
      <c r="D230" s="32"/>
      <c r="E230" s="39"/>
      <c r="F230" s="34"/>
      <c r="G230" s="35">
        <f>Table1[[#This Row],[Selling Price]]-Table1[[#This Row],[Cost Price]]</f>
        <v>0</v>
      </c>
      <c r="H230" s="32"/>
      <c r="I230" s="36" t="s">
        <v>36</v>
      </c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x14ac:dyDescent="0.25">
      <c r="A231" s="31"/>
      <c r="B231" s="32"/>
      <c r="C231" s="32"/>
      <c r="D231" s="32"/>
      <c r="E231" s="39"/>
      <c r="F231" s="34"/>
      <c r="G231" s="35">
        <f>Table1[[#This Row],[Selling Price]]-Table1[[#This Row],[Cost Price]]</f>
        <v>0</v>
      </c>
      <c r="H231" s="32"/>
      <c r="I231" s="36" t="s">
        <v>36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x14ac:dyDescent="0.25">
      <c r="A232" s="31"/>
      <c r="B232" s="32"/>
      <c r="C232" s="32"/>
      <c r="D232" s="32"/>
      <c r="E232" s="39"/>
      <c r="F232" s="34"/>
      <c r="G232" s="35">
        <f>Table1[[#This Row],[Selling Price]]-Table1[[#This Row],[Cost Price]]</f>
        <v>0</v>
      </c>
      <c r="H232" s="32"/>
      <c r="I232" s="36" t="s">
        <v>36</v>
      </c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x14ac:dyDescent="0.25">
      <c r="A233" s="31"/>
      <c r="B233" s="32"/>
      <c r="C233" s="32"/>
      <c r="D233" s="32"/>
      <c r="E233" s="39"/>
      <c r="F233" s="34"/>
      <c r="G233" s="35">
        <f>Table1[[#This Row],[Selling Price]]-Table1[[#This Row],[Cost Price]]</f>
        <v>0</v>
      </c>
      <c r="H233" s="32"/>
      <c r="I233" s="36" t="s">
        <v>36</v>
      </c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x14ac:dyDescent="0.25">
      <c r="A234" s="31"/>
      <c r="B234" s="32"/>
      <c r="C234" s="32"/>
      <c r="D234" s="32"/>
      <c r="E234" s="39"/>
      <c r="F234" s="34"/>
      <c r="G234" s="35">
        <f>Table1[[#This Row],[Selling Price]]-Table1[[#This Row],[Cost Price]]</f>
        <v>0</v>
      </c>
      <c r="H234" s="32"/>
      <c r="I234" s="36" t="s">
        <v>36</v>
      </c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x14ac:dyDescent="0.25">
      <c r="A235" s="31"/>
      <c r="B235" s="32"/>
      <c r="C235" s="32"/>
      <c r="D235" s="32"/>
      <c r="E235" s="39"/>
      <c r="F235" s="34"/>
      <c r="G235" s="35">
        <f>Table1[[#This Row],[Selling Price]]-Table1[[#This Row],[Cost Price]]</f>
        <v>0</v>
      </c>
      <c r="H235" s="32"/>
      <c r="I235" s="36" t="s">
        <v>36</v>
      </c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x14ac:dyDescent="0.25">
      <c r="A236" s="31"/>
      <c r="B236" s="32"/>
      <c r="C236" s="32"/>
      <c r="D236" s="32"/>
      <c r="E236" s="39"/>
      <c r="F236" s="34"/>
      <c r="G236" s="35">
        <f>Table1[[#This Row],[Selling Price]]-Table1[[#This Row],[Cost Price]]</f>
        <v>0</v>
      </c>
      <c r="H236" s="32"/>
      <c r="I236" s="36" t="s">
        <v>36</v>
      </c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x14ac:dyDescent="0.25">
      <c r="A237" s="31"/>
      <c r="B237" s="32"/>
      <c r="C237" s="32"/>
      <c r="D237" s="32"/>
      <c r="E237" s="39"/>
      <c r="F237" s="34"/>
      <c r="G237" s="35">
        <f>Table1[[#This Row],[Selling Price]]-Table1[[#This Row],[Cost Price]]</f>
        <v>0</v>
      </c>
      <c r="H237" s="32"/>
      <c r="I237" s="36" t="s">
        <v>36</v>
      </c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x14ac:dyDescent="0.25">
      <c r="A238" s="31"/>
      <c r="B238" s="32"/>
      <c r="C238" s="32"/>
      <c r="D238" s="32"/>
      <c r="E238" s="39"/>
      <c r="F238" s="34"/>
      <c r="G238" s="35">
        <f>Table1[[#This Row],[Selling Price]]-Table1[[#This Row],[Cost Price]]</f>
        <v>0</v>
      </c>
      <c r="H238" s="32"/>
      <c r="I238" s="36" t="s">
        <v>36</v>
      </c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x14ac:dyDescent="0.25">
      <c r="A239" s="31"/>
      <c r="B239" s="32"/>
      <c r="C239" s="32"/>
      <c r="D239" s="32"/>
      <c r="E239" s="39"/>
      <c r="F239" s="34"/>
      <c r="G239" s="35">
        <f>Table1[[#This Row],[Selling Price]]-Table1[[#This Row],[Cost Price]]</f>
        <v>0</v>
      </c>
      <c r="H239" s="32"/>
      <c r="I239" s="36" t="s">
        <v>36</v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x14ac:dyDescent="0.25">
      <c r="A240" s="31"/>
      <c r="B240" s="32"/>
      <c r="C240" s="32"/>
      <c r="D240" s="32"/>
      <c r="E240" s="39"/>
      <c r="F240" s="34"/>
      <c r="G240" s="35">
        <f>Table1[[#This Row],[Selling Price]]-Table1[[#This Row],[Cost Price]]</f>
        <v>0</v>
      </c>
      <c r="H240" s="32"/>
      <c r="I240" s="36" t="s">
        <v>36</v>
      </c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x14ac:dyDescent="0.25">
      <c r="A241" s="31"/>
      <c r="B241" s="32"/>
      <c r="C241" s="32"/>
      <c r="D241" s="32"/>
      <c r="E241" s="39"/>
      <c r="F241" s="34"/>
      <c r="G241" s="35">
        <f>Table1[[#This Row],[Selling Price]]-Table1[[#This Row],[Cost Price]]</f>
        <v>0</v>
      </c>
      <c r="H241" s="32"/>
      <c r="I241" s="36" t="s">
        <v>36</v>
      </c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x14ac:dyDescent="0.25">
      <c r="A242" s="31"/>
      <c r="B242" s="32"/>
      <c r="C242" s="32"/>
      <c r="D242" s="32"/>
      <c r="E242" s="39"/>
      <c r="F242" s="34"/>
      <c r="G242" s="35">
        <f>Table1[[#This Row],[Selling Price]]-Table1[[#This Row],[Cost Price]]</f>
        <v>0</v>
      </c>
      <c r="H242" s="32"/>
      <c r="I242" s="36" t="s">
        <v>36</v>
      </c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x14ac:dyDescent="0.25">
      <c r="A243" s="31"/>
      <c r="B243" s="32"/>
      <c r="C243" s="32"/>
      <c r="D243" s="32"/>
      <c r="E243" s="39"/>
      <c r="F243" s="34"/>
      <c r="G243" s="35">
        <f>Table1[[#This Row],[Selling Price]]-Table1[[#This Row],[Cost Price]]</f>
        <v>0</v>
      </c>
      <c r="H243" s="32"/>
      <c r="I243" s="36" t="s">
        <v>36</v>
      </c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x14ac:dyDescent="0.25">
      <c r="A244" s="31"/>
      <c r="B244" s="32"/>
      <c r="C244" s="32"/>
      <c r="D244" s="32"/>
      <c r="E244" s="39"/>
      <c r="F244" s="34"/>
      <c r="G244" s="35">
        <f>Table1[[#This Row],[Selling Price]]-Table1[[#This Row],[Cost Price]]</f>
        <v>0</v>
      </c>
      <c r="H244" s="32"/>
      <c r="I244" s="36" t="s">
        <v>36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x14ac:dyDescent="0.25">
      <c r="A245" s="31"/>
      <c r="B245" s="32"/>
      <c r="C245" s="32"/>
      <c r="D245" s="32"/>
      <c r="E245" s="39"/>
      <c r="F245" s="34"/>
      <c r="G245" s="35">
        <f>Table1[[#This Row],[Selling Price]]-Table1[[#This Row],[Cost Price]]</f>
        <v>0</v>
      </c>
      <c r="H245" s="32"/>
      <c r="I245" s="36" t="s">
        <v>36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x14ac:dyDescent="0.25">
      <c r="A246" s="31"/>
      <c r="B246" s="32"/>
      <c r="C246" s="32"/>
      <c r="D246" s="32"/>
      <c r="E246" s="39"/>
      <c r="F246" s="34"/>
      <c r="G246" s="35">
        <f>Table1[[#This Row],[Selling Price]]-Table1[[#This Row],[Cost Price]]</f>
        <v>0</v>
      </c>
      <c r="H246" s="32"/>
      <c r="I246" s="36" t="s">
        <v>36</v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x14ac:dyDescent="0.25">
      <c r="A247" s="31"/>
      <c r="B247" s="32"/>
      <c r="C247" s="32"/>
      <c r="D247" s="32"/>
      <c r="E247" s="39"/>
      <c r="F247" s="34"/>
      <c r="G247" s="35">
        <f>Table1[[#This Row],[Selling Price]]-Table1[[#This Row],[Cost Price]]</f>
        <v>0</v>
      </c>
      <c r="H247" s="32"/>
      <c r="I247" s="36" t="s">
        <v>36</v>
      </c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x14ac:dyDescent="0.25">
      <c r="A248" s="31"/>
      <c r="B248" s="32"/>
      <c r="C248" s="32"/>
      <c r="D248" s="32"/>
      <c r="E248" s="39"/>
      <c r="F248" s="34"/>
      <c r="G248" s="35">
        <f>Table1[[#This Row],[Selling Price]]-Table1[[#This Row],[Cost Price]]</f>
        <v>0</v>
      </c>
      <c r="H248" s="32"/>
      <c r="I248" s="36" t="s">
        <v>36</v>
      </c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x14ac:dyDescent="0.25">
      <c r="A249" s="31"/>
      <c r="B249" s="32"/>
      <c r="C249" s="32"/>
      <c r="D249" s="32"/>
      <c r="E249" s="39"/>
      <c r="F249" s="34"/>
      <c r="G249" s="35">
        <f>Table1[[#This Row],[Selling Price]]-Table1[[#This Row],[Cost Price]]</f>
        <v>0</v>
      </c>
      <c r="H249" s="32"/>
      <c r="I249" s="36" t="s">
        <v>36</v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x14ac:dyDescent="0.25">
      <c r="A250" s="31"/>
      <c r="B250" s="32"/>
      <c r="C250" s="32"/>
      <c r="D250" s="32"/>
      <c r="E250" s="39"/>
      <c r="F250" s="34"/>
      <c r="G250" s="35">
        <f>Table1[[#This Row],[Selling Price]]-Table1[[#This Row],[Cost Price]]</f>
        <v>0</v>
      </c>
      <c r="H250" s="32"/>
      <c r="I250" s="36" t="s">
        <v>36</v>
      </c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x14ac:dyDescent="0.25">
      <c r="A251" s="31"/>
      <c r="B251" s="32"/>
      <c r="C251" s="32"/>
      <c r="D251" s="32"/>
      <c r="E251" s="39"/>
      <c r="F251" s="34"/>
      <c r="G251" s="35">
        <f>Table1[[#This Row],[Selling Price]]-Table1[[#This Row],[Cost Price]]</f>
        <v>0</v>
      </c>
      <c r="H251" s="32"/>
      <c r="I251" s="36" t="s">
        <v>36</v>
      </c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x14ac:dyDescent="0.25">
      <c r="A252" s="31"/>
      <c r="B252" s="32"/>
      <c r="C252" s="32"/>
      <c r="D252" s="32"/>
      <c r="E252" s="39"/>
      <c r="F252" s="34"/>
      <c r="G252" s="35">
        <f>Table1[[#This Row],[Selling Price]]-Table1[[#This Row],[Cost Price]]</f>
        <v>0</v>
      </c>
      <c r="H252" s="32"/>
      <c r="I252" s="36" t="s">
        <v>36</v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x14ac:dyDescent="0.25">
      <c r="A253" s="31"/>
      <c r="B253" s="32"/>
      <c r="C253" s="32"/>
      <c r="D253" s="32"/>
      <c r="E253" s="39"/>
      <c r="F253" s="34"/>
      <c r="G253" s="35">
        <f>Table1[[#This Row],[Selling Price]]-Table1[[#This Row],[Cost Price]]</f>
        <v>0</v>
      </c>
      <c r="H253" s="32"/>
      <c r="I253" s="36" t="s">
        <v>36</v>
      </c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x14ac:dyDescent="0.25">
      <c r="A254" s="31"/>
      <c r="B254" s="32"/>
      <c r="C254" s="32"/>
      <c r="D254" s="32"/>
      <c r="E254" s="39"/>
      <c r="F254" s="34"/>
      <c r="G254" s="35">
        <f>Table1[[#This Row],[Selling Price]]-Table1[[#This Row],[Cost Price]]</f>
        <v>0</v>
      </c>
      <c r="H254" s="32"/>
      <c r="I254" s="36" t="s">
        <v>36</v>
      </c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x14ac:dyDescent="0.25">
      <c r="A255" s="31"/>
      <c r="B255" s="32"/>
      <c r="C255" s="32"/>
      <c r="D255" s="32"/>
      <c r="E255" s="39"/>
      <c r="F255" s="34"/>
      <c r="G255" s="35">
        <f>Table1[[#This Row],[Selling Price]]-Table1[[#This Row],[Cost Price]]</f>
        <v>0</v>
      </c>
      <c r="H255" s="32"/>
      <c r="I255" s="36" t="s">
        <v>36</v>
      </c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x14ac:dyDescent="0.25">
      <c r="A256" s="31"/>
      <c r="B256" s="32"/>
      <c r="C256" s="32"/>
      <c r="D256" s="32"/>
      <c r="E256" s="39"/>
      <c r="F256" s="34"/>
      <c r="G256" s="35">
        <f>Table1[[#This Row],[Selling Price]]-Table1[[#This Row],[Cost Price]]</f>
        <v>0</v>
      </c>
      <c r="H256" s="32"/>
      <c r="I256" s="36" t="s">
        <v>36</v>
      </c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x14ac:dyDescent="0.25">
      <c r="A257" s="31"/>
      <c r="B257" s="32"/>
      <c r="C257" s="32"/>
      <c r="D257" s="32"/>
      <c r="E257" s="39"/>
      <c r="F257" s="34"/>
      <c r="G257" s="35">
        <f>Table1[[#This Row],[Selling Price]]-Table1[[#This Row],[Cost Price]]</f>
        <v>0</v>
      </c>
      <c r="H257" s="32"/>
      <c r="I257" s="36" t="s">
        <v>36</v>
      </c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x14ac:dyDescent="0.25">
      <c r="A258" s="31"/>
      <c r="B258" s="32"/>
      <c r="C258" s="32"/>
      <c r="D258" s="32"/>
      <c r="E258" s="39"/>
      <c r="F258" s="34"/>
      <c r="G258" s="35">
        <f>Table1[[#This Row],[Selling Price]]-Table1[[#This Row],[Cost Price]]</f>
        <v>0</v>
      </c>
      <c r="H258" s="32"/>
      <c r="I258" s="36" t="s">
        <v>36</v>
      </c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x14ac:dyDescent="0.25">
      <c r="A259" s="31"/>
      <c r="B259" s="32"/>
      <c r="C259" s="32"/>
      <c r="D259" s="32"/>
      <c r="E259" s="39"/>
      <c r="F259" s="34"/>
      <c r="G259" s="35">
        <f>Table1[[#This Row],[Selling Price]]-Table1[[#This Row],[Cost Price]]</f>
        <v>0</v>
      </c>
      <c r="H259" s="32"/>
      <c r="I259" s="36" t="s">
        <v>36</v>
      </c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x14ac:dyDescent="0.25">
      <c r="A260" s="31"/>
      <c r="B260" s="32"/>
      <c r="C260" s="32"/>
      <c r="D260" s="32"/>
      <c r="E260" s="39"/>
      <c r="F260" s="34"/>
      <c r="G260" s="35">
        <f>Table1[[#This Row],[Selling Price]]-Table1[[#This Row],[Cost Price]]</f>
        <v>0</v>
      </c>
      <c r="H260" s="32"/>
      <c r="I260" s="36" t="s">
        <v>36</v>
      </c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x14ac:dyDescent="0.25">
      <c r="A261" s="31"/>
      <c r="B261" s="32"/>
      <c r="C261" s="32"/>
      <c r="D261" s="32"/>
      <c r="E261" s="39"/>
      <c r="F261" s="34"/>
      <c r="G261" s="35">
        <f>Table1[[#This Row],[Selling Price]]-Table1[[#This Row],[Cost Price]]</f>
        <v>0</v>
      </c>
      <c r="H261" s="32"/>
      <c r="I261" s="36" t="s">
        <v>36</v>
      </c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x14ac:dyDescent="0.25">
      <c r="A262" s="31"/>
      <c r="B262" s="32"/>
      <c r="C262" s="32"/>
      <c r="D262" s="32"/>
      <c r="E262" s="39"/>
      <c r="F262" s="34"/>
      <c r="G262" s="35">
        <f>Table1[[#This Row],[Selling Price]]-Table1[[#This Row],[Cost Price]]</f>
        <v>0</v>
      </c>
      <c r="H262" s="32"/>
      <c r="I262" s="36" t="s">
        <v>36</v>
      </c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x14ac:dyDescent="0.25">
      <c r="A263" s="31"/>
      <c r="B263" s="32"/>
      <c r="C263" s="32"/>
      <c r="D263" s="32"/>
      <c r="E263" s="39"/>
      <c r="F263" s="34"/>
      <c r="G263" s="35">
        <f>Table1[[#This Row],[Selling Price]]-Table1[[#This Row],[Cost Price]]</f>
        <v>0</v>
      </c>
      <c r="H263" s="32"/>
      <c r="I263" s="36" t="s">
        <v>36</v>
      </c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x14ac:dyDescent="0.25">
      <c r="A264" s="31"/>
      <c r="B264" s="32"/>
      <c r="C264" s="32"/>
      <c r="D264" s="32"/>
      <c r="E264" s="39"/>
      <c r="F264" s="34"/>
      <c r="G264" s="35">
        <f>Table1[[#This Row],[Selling Price]]-Table1[[#This Row],[Cost Price]]</f>
        <v>0</v>
      </c>
      <c r="H264" s="32"/>
      <c r="I264" s="36" t="s">
        <v>36</v>
      </c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x14ac:dyDescent="0.25">
      <c r="A265" s="31"/>
      <c r="B265" s="32"/>
      <c r="C265" s="32"/>
      <c r="D265" s="32"/>
      <c r="E265" s="39"/>
      <c r="F265" s="34"/>
      <c r="G265" s="35">
        <f>Table1[[#This Row],[Selling Price]]-Table1[[#This Row],[Cost Price]]</f>
        <v>0</v>
      </c>
      <c r="H265" s="32"/>
      <c r="I265" s="36" t="s">
        <v>36</v>
      </c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x14ac:dyDescent="0.25">
      <c r="A266" s="31"/>
      <c r="B266" s="32"/>
      <c r="C266" s="32"/>
      <c r="D266" s="32"/>
      <c r="E266" s="39"/>
      <c r="F266" s="34"/>
      <c r="G266" s="35">
        <f>Table1[[#This Row],[Selling Price]]-Table1[[#This Row],[Cost Price]]</f>
        <v>0</v>
      </c>
      <c r="H266" s="32"/>
      <c r="I266" s="36" t="s">
        <v>36</v>
      </c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x14ac:dyDescent="0.25">
      <c r="A267" s="31"/>
      <c r="B267" s="32"/>
      <c r="C267" s="32"/>
      <c r="D267" s="32"/>
      <c r="E267" s="39"/>
      <c r="F267" s="34"/>
      <c r="G267" s="35">
        <f>Table1[[#This Row],[Selling Price]]-Table1[[#This Row],[Cost Price]]</f>
        <v>0</v>
      </c>
      <c r="H267" s="32"/>
      <c r="I267" s="36" t="s">
        <v>36</v>
      </c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x14ac:dyDescent="0.25">
      <c r="A268" s="31"/>
      <c r="B268" s="32"/>
      <c r="C268" s="32"/>
      <c r="D268" s="32"/>
      <c r="E268" s="39"/>
      <c r="F268" s="34"/>
      <c r="G268" s="35">
        <f>Table1[[#This Row],[Selling Price]]-Table1[[#This Row],[Cost Price]]</f>
        <v>0</v>
      </c>
      <c r="H268" s="32"/>
      <c r="I268" s="36" t="s">
        <v>36</v>
      </c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x14ac:dyDescent="0.25">
      <c r="A269" s="31"/>
      <c r="B269" s="32"/>
      <c r="C269" s="32"/>
      <c r="D269" s="32"/>
      <c r="E269" s="39"/>
      <c r="F269" s="34"/>
      <c r="G269" s="35">
        <f>Table1[[#This Row],[Selling Price]]-Table1[[#This Row],[Cost Price]]</f>
        <v>0</v>
      </c>
      <c r="H269" s="32"/>
      <c r="I269" s="36" t="s">
        <v>36</v>
      </c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x14ac:dyDescent="0.25">
      <c r="A270" s="31"/>
      <c r="B270" s="32"/>
      <c r="C270" s="32"/>
      <c r="D270" s="32"/>
      <c r="E270" s="39"/>
      <c r="F270" s="34"/>
      <c r="G270" s="35">
        <f>Table1[[#This Row],[Selling Price]]-Table1[[#This Row],[Cost Price]]</f>
        <v>0</v>
      </c>
      <c r="H270" s="32"/>
      <c r="I270" s="36" t="s">
        <v>36</v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x14ac:dyDescent="0.25">
      <c r="A271" s="31"/>
      <c r="B271" s="32"/>
      <c r="C271" s="32"/>
      <c r="D271" s="32"/>
      <c r="E271" s="39"/>
      <c r="F271" s="34"/>
      <c r="G271" s="35">
        <f>Table1[[#This Row],[Selling Price]]-Table1[[#This Row],[Cost Price]]</f>
        <v>0</v>
      </c>
      <c r="H271" s="32"/>
      <c r="I271" s="36" t="s">
        <v>36</v>
      </c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x14ac:dyDescent="0.25">
      <c r="A272" s="31"/>
      <c r="B272" s="32"/>
      <c r="C272" s="32"/>
      <c r="D272" s="32"/>
      <c r="E272" s="39"/>
      <c r="F272" s="34"/>
      <c r="G272" s="35">
        <f>Table1[[#This Row],[Selling Price]]-Table1[[#This Row],[Cost Price]]</f>
        <v>0</v>
      </c>
      <c r="H272" s="32"/>
      <c r="I272" s="36" t="s">
        <v>36</v>
      </c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x14ac:dyDescent="0.25">
      <c r="A273" s="31"/>
      <c r="B273" s="32"/>
      <c r="C273" s="32"/>
      <c r="D273" s="32"/>
      <c r="E273" s="39"/>
      <c r="F273" s="34"/>
      <c r="G273" s="35">
        <f>Table1[[#This Row],[Selling Price]]-Table1[[#This Row],[Cost Price]]</f>
        <v>0</v>
      </c>
      <c r="H273" s="32"/>
      <c r="I273" s="36" t="s">
        <v>36</v>
      </c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x14ac:dyDescent="0.25">
      <c r="A274" s="31"/>
      <c r="B274" s="32"/>
      <c r="C274" s="32"/>
      <c r="D274" s="32"/>
      <c r="E274" s="39"/>
      <c r="F274" s="34"/>
      <c r="G274" s="35">
        <f>Table1[[#This Row],[Selling Price]]-Table1[[#This Row],[Cost Price]]</f>
        <v>0</v>
      </c>
      <c r="H274" s="32"/>
      <c r="I274" s="36" t="s">
        <v>36</v>
      </c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x14ac:dyDescent="0.25">
      <c r="A275" s="31"/>
      <c r="B275" s="32"/>
      <c r="C275" s="32"/>
      <c r="D275" s="32"/>
      <c r="E275" s="39"/>
      <c r="F275" s="34"/>
      <c r="G275" s="35">
        <f>Table1[[#This Row],[Selling Price]]-Table1[[#This Row],[Cost Price]]</f>
        <v>0</v>
      </c>
      <c r="H275" s="32"/>
      <c r="I275" s="36" t="s">
        <v>36</v>
      </c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x14ac:dyDescent="0.25">
      <c r="A276" s="31"/>
      <c r="B276" s="32"/>
      <c r="C276" s="32"/>
      <c r="D276" s="32"/>
      <c r="E276" s="39"/>
      <c r="F276" s="34"/>
      <c r="G276" s="35">
        <f>Table1[[#This Row],[Selling Price]]-Table1[[#This Row],[Cost Price]]</f>
        <v>0</v>
      </c>
      <c r="H276" s="32"/>
      <c r="I276" s="36" t="s">
        <v>36</v>
      </c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x14ac:dyDescent="0.25">
      <c r="A277" s="31"/>
      <c r="B277" s="32"/>
      <c r="C277" s="32"/>
      <c r="D277" s="32"/>
      <c r="E277" s="39"/>
      <c r="F277" s="34"/>
      <c r="G277" s="35">
        <f>Table1[[#This Row],[Selling Price]]-Table1[[#This Row],[Cost Price]]</f>
        <v>0</v>
      </c>
      <c r="H277" s="32"/>
      <c r="I277" s="36" t="s">
        <v>36</v>
      </c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x14ac:dyDescent="0.25">
      <c r="A278" s="31"/>
      <c r="B278" s="32"/>
      <c r="C278" s="32"/>
      <c r="D278" s="32"/>
      <c r="E278" s="39"/>
      <c r="F278" s="34"/>
      <c r="G278" s="35">
        <f>Table1[[#This Row],[Selling Price]]-Table1[[#This Row],[Cost Price]]</f>
        <v>0</v>
      </c>
      <c r="H278" s="32"/>
      <c r="I278" s="36" t="s">
        <v>36</v>
      </c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x14ac:dyDescent="0.25">
      <c r="A279" s="31"/>
      <c r="B279" s="32"/>
      <c r="C279" s="32"/>
      <c r="D279" s="32"/>
      <c r="E279" s="39"/>
      <c r="F279" s="34"/>
      <c r="G279" s="35">
        <f>Table1[[#This Row],[Selling Price]]-Table1[[#This Row],[Cost Price]]</f>
        <v>0</v>
      </c>
      <c r="H279" s="32"/>
      <c r="I279" s="36" t="s">
        <v>36</v>
      </c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x14ac:dyDescent="0.25">
      <c r="A280" s="31"/>
      <c r="B280" s="32"/>
      <c r="C280" s="32"/>
      <c r="D280" s="32"/>
      <c r="E280" s="39"/>
      <c r="F280" s="34"/>
      <c r="G280" s="35">
        <f>Table1[[#This Row],[Selling Price]]-Table1[[#This Row],[Cost Price]]</f>
        <v>0</v>
      </c>
      <c r="H280" s="32"/>
      <c r="I280" s="36" t="s">
        <v>36</v>
      </c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x14ac:dyDescent="0.25">
      <c r="A281" s="31"/>
      <c r="B281" s="32"/>
      <c r="C281" s="32"/>
      <c r="D281" s="32"/>
      <c r="E281" s="39"/>
      <c r="F281" s="34"/>
      <c r="G281" s="35">
        <f>Table1[[#This Row],[Selling Price]]-Table1[[#This Row],[Cost Price]]</f>
        <v>0</v>
      </c>
      <c r="H281" s="32"/>
      <c r="I281" s="36" t="s">
        <v>36</v>
      </c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x14ac:dyDescent="0.25">
      <c r="A282" s="31"/>
      <c r="B282" s="32"/>
      <c r="C282" s="32"/>
      <c r="D282" s="32"/>
      <c r="E282" s="39"/>
      <c r="F282" s="34"/>
      <c r="G282" s="35">
        <f>Table1[[#This Row],[Selling Price]]-Table1[[#This Row],[Cost Price]]</f>
        <v>0</v>
      </c>
      <c r="H282" s="32"/>
      <c r="I282" s="36" t="s">
        <v>36</v>
      </c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x14ac:dyDescent="0.25">
      <c r="A283" s="31"/>
      <c r="B283" s="32"/>
      <c r="C283" s="32"/>
      <c r="D283" s="32"/>
      <c r="E283" s="39"/>
      <c r="F283" s="34"/>
      <c r="G283" s="35">
        <f>Table1[[#This Row],[Selling Price]]-Table1[[#This Row],[Cost Price]]</f>
        <v>0</v>
      </c>
      <c r="H283" s="32"/>
      <c r="I283" s="36" t="s">
        <v>36</v>
      </c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x14ac:dyDescent="0.25">
      <c r="A284" s="31"/>
      <c r="B284" s="32"/>
      <c r="C284" s="32"/>
      <c r="D284" s="32"/>
      <c r="E284" s="39"/>
      <c r="F284" s="34"/>
      <c r="G284" s="35">
        <f>Table1[[#This Row],[Selling Price]]-Table1[[#This Row],[Cost Price]]</f>
        <v>0</v>
      </c>
      <c r="H284" s="32"/>
      <c r="I284" s="36" t="s">
        <v>36</v>
      </c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x14ac:dyDescent="0.25">
      <c r="A285" s="31"/>
      <c r="B285" s="32"/>
      <c r="C285" s="32"/>
      <c r="D285" s="32"/>
      <c r="E285" s="39"/>
      <c r="F285" s="34"/>
      <c r="G285" s="35">
        <f>Table1[[#This Row],[Selling Price]]-Table1[[#This Row],[Cost Price]]</f>
        <v>0</v>
      </c>
      <c r="H285" s="32"/>
      <c r="I285" s="36" t="s">
        <v>36</v>
      </c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x14ac:dyDescent="0.25">
      <c r="A286" s="31"/>
      <c r="B286" s="32"/>
      <c r="C286" s="32"/>
      <c r="D286" s="32"/>
      <c r="E286" s="39"/>
      <c r="F286" s="34"/>
      <c r="G286" s="35">
        <f>Table1[[#This Row],[Selling Price]]-Table1[[#This Row],[Cost Price]]</f>
        <v>0</v>
      </c>
      <c r="H286" s="32"/>
      <c r="I286" s="36" t="s">
        <v>36</v>
      </c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x14ac:dyDescent="0.25">
      <c r="A287" s="31"/>
      <c r="B287" s="32"/>
      <c r="C287" s="32"/>
      <c r="D287" s="32"/>
      <c r="E287" s="39"/>
      <c r="F287" s="34"/>
      <c r="G287" s="35">
        <f>Table1[[#This Row],[Selling Price]]-Table1[[#This Row],[Cost Price]]</f>
        <v>0</v>
      </c>
      <c r="H287" s="32"/>
      <c r="I287" s="36" t="s">
        <v>36</v>
      </c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x14ac:dyDescent="0.25">
      <c r="A288" s="31"/>
      <c r="B288" s="32"/>
      <c r="C288" s="32"/>
      <c r="D288" s="32"/>
      <c r="E288" s="39"/>
      <c r="F288" s="34"/>
      <c r="G288" s="35">
        <f>Table1[[#This Row],[Selling Price]]-Table1[[#This Row],[Cost Price]]</f>
        <v>0</v>
      </c>
      <c r="H288" s="32"/>
      <c r="I288" s="36" t="s">
        <v>36</v>
      </c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x14ac:dyDescent="0.25">
      <c r="A289" s="31"/>
      <c r="B289" s="32"/>
      <c r="C289" s="32"/>
      <c r="D289" s="32"/>
      <c r="E289" s="39"/>
      <c r="F289" s="34"/>
      <c r="G289" s="35">
        <f>Table1[[#This Row],[Selling Price]]-Table1[[#This Row],[Cost Price]]</f>
        <v>0</v>
      </c>
      <c r="H289" s="32"/>
      <c r="I289" s="36" t="s">
        <v>36</v>
      </c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x14ac:dyDescent="0.25">
      <c r="A290" s="31"/>
      <c r="B290" s="32"/>
      <c r="C290" s="32"/>
      <c r="D290" s="32"/>
      <c r="E290" s="39"/>
      <c r="F290" s="34"/>
      <c r="G290" s="35">
        <f>Table1[[#This Row],[Selling Price]]-Table1[[#This Row],[Cost Price]]</f>
        <v>0</v>
      </c>
      <c r="H290" s="32"/>
      <c r="I290" s="36" t="s">
        <v>36</v>
      </c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x14ac:dyDescent="0.25">
      <c r="A291" s="31"/>
      <c r="B291" s="32"/>
      <c r="C291" s="32"/>
      <c r="D291" s="32"/>
      <c r="E291" s="39"/>
      <c r="F291" s="34"/>
      <c r="G291" s="35">
        <f>Table1[[#This Row],[Selling Price]]-Table1[[#This Row],[Cost Price]]</f>
        <v>0</v>
      </c>
      <c r="H291" s="32"/>
      <c r="I291" s="36" t="s">
        <v>36</v>
      </c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x14ac:dyDescent="0.25">
      <c r="A292" s="31"/>
      <c r="B292" s="32"/>
      <c r="C292" s="32"/>
      <c r="D292" s="32"/>
      <c r="E292" s="39"/>
      <c r="F292" s="34"/>
      <c r="G292" s="35">
        <f>Table1[[#This Row],[Selling Price]]-Table1[[#This Row],[Cost Price]]</f>
        <v>0</v>
      </c>
      <c r="H292" s="32"/>
      <c r="I292" s="36" t="s">
        <v>36</v>
      </c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x14ac:dyDescent="0.25">
      <c r="A293" s="31"/>
      <c r="B293" s="32"/>
      <c r="C293" s="32"/>
      <c r="D293" s="32"/>
      <c r="E293" s="39"/>
      <c r="F293" s="34"/>
      <c r="G293" s="35">
        <f>Table1[[#This Row],[Selling Price]]-Table1[[#This Row],[Cost Price]]</f>
        <v>0</v>
      </c>
      <c r="H293" s="32"/>
      <c r="I293" s="36" t="s">
        <v>36</v>
      </c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x14ac:dyDescent="0.25">
      <c r="A294" s="31"/>
      <c r="B294" s="32"/>
      <c r="C294" s="32"/>
      <c r="D294" s="32"/>
      <c r="E294" s="39"/>
      <c r="F294" s="34"/>
      <c r="G294" s="35">
        <f>Table1[[#This Row],[Selling Price]]-Table1[[#This Row],[Cost Price]]</f>
        <v>0</v>
      </c>
      <c r="H294" s="32"/>
      <c r="I294" s="36" t="s">
        <v>36</v>
      </c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x14ac:dyDescent="0.25">
      <c r="A295" s="31"/>
      <c r="B295" s="32"/>
      <c r="C295" s="32"/>
      <c r="D295" s="32"/>
      <c r="E295" s="39"/>
      <c r="F295" s="34"/>
      <c r="G295" s="35">
        <f>Table1[[#This Row],[Selling Price]]-Table1[[#This Row],[Cost Price]]</f>
        <v>0</v>
      </c>
      <c r="H295" s="32"/>
      <c r="I295" s="36" t="s">
        <v>36</v>
      </c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x14ac:dyDescent="0.25">
      <c r="A296" s="31"/>
      <c r="B296" s="32"/>
      <c r="C296" s="32"/>
      <c r="D296" s="32"/>
      <c r="E296" s="39"/>
      <c r="F296" s="34"/>
      <c r="G296" s="35">
        <f>Table1[[#This Row],[Selling Price]]-Table1[[#This Row],[Cost Price]]</f>
        <v>0</v>
      </c>
      <c r="H296" s="32"/>
      <c r="I296" s="36" t="s">
        <v>36</v>
      </c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x14ac:dyDescent="0.25">
      <c r="A297" s="31"/>
      <c r="B297" s="32"/>
      <c r="C297" s="32"/>
      <c r="D297" s="32"/>
      <c r="E297" s="39"/>
      <c r="F297" s="34"/>
      <c r="G297" s="35">
        <f>Table1[[#This Row],[Selling Price]]-Table1[[#This Row],[Cost Price]]</f>
        <v>0</v>
      </c>
      <c r="H297" s="32"/>
      <c r="I297" s="36" t="s">
        <v>36</v>
      </c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x14ac:dyDescent="0.25">
      <c r="A298" s="31"/>
      <c r="B298" s="32"/>
      <c r="C298" s="32"/>
      <c r="D298" s="32"/>
      <c r="E298" s="39"/>
      <c r="F298" s="34"/>
      <c r="G298" s="35">
        <f>Table1[[#This Row],[Selling Price]]-Table1[[#This Row],[Cost Price]]</f>
        <v>0</v>
      </c>
      <c r="H298" s="32"/>
      <c r="I298" s="36" t="s">
        <v>36</v>
      </c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x14ac:dyDescent="0.25">
      <c r="A299" s="31"/>
      <c r="B299" s="32"/>
      <c r="C299" s="32"/>
      <c r="D299" s="32"/>
      <c r="E299" s="39"/>
      <c r="F299" s="34"/>
      <c r="G299" s="35">
        <f>Table1[[#This Row],[Selling Price]]-Table1[[#This Row],[Cost Price]]</f>
        <v>0</v>
      </c>
      <c r="H299" s="32"/>
      <c r="I299" s="36" t="s">
        <v>36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x14ac:dyDescent="0.25">
      <c r="A300" s="31"/>
      <c r="B300" s="32"/>
      <c r="C300" s="32"/>
      <c r="D300" s="32"/>
      <c r="E300" s="39"/>
      <c r="F300" s="34"/>
      <c r="G300" s="35">
        <f>Table1[[#This Row],[Selling Price]]-Table1[[#This Row],[Cost Price]]</f>
        <v>0</v>
      </c>
      <c r="H300" s="32"/>
      <c r="I300" s="36" t="s">
        <v>36</v>
      </c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x14ac:dyDescent="0.25">
      <c r="A301" s="31"/>
      <c r="B301" s="32"/>
      <c r="C301" s="32"/>
      <c r="D301" s="32"/>
      <c r="E301" s="39"/>
      <c r="F301" s="34"/>
      <c r="G301" s="35">
        <f>Table1[[#This Row],[Selling Price]]-Table1[[#This Row],[Cost Price]]</f>
        <v>0</v>
      </c>
      <c r="H301" s="32"/>
      <c r="I301" s="36" t="s">
        <v>36</v>
      </c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x14ac:dyDescent="0.25">
      <c r="A302" s="31"/>
      <c r="B302" s="32"/>
      <c r="C302" s="32"/>
      <c r="D302" s="32"/>
      <c r="E302" s="39"/>
      <c r="F302" s="34"/>
      <c r="G302" s="35">
        <f>Table1[[#This Row],[Selling Price]]-Table1[[#This Row],[Cost Price]]</f>
        <v>0</v>
      </c>
      <c r="H302" s="32"/>
      <c r="I302" s="36" t="s">
        <v>36</v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x14ac:dyDescent="0.25">
      <c r="A303" s="31"/>
      <c r="B303" s="32"/>
      <c r="C303" s="32"/>
      <c r="D303" s="32"/>
      <c r="E303" s="39"/>
      <c r="F303" s="34"/>
      <c r="G303" s="35">
        <f>Table1[[#This Row],[Selling Price]]-Table1[[#This Row],[Cost Price]]</f>
        <v>0</v>
      </c>
      <c r="H303" s="32"/>
      <c r="I303" s="36" t="s">
        <v>36</v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x14ac:dyDescent="0.25">
      <c r="A304" s="31"/>
      <c r="B304" s="32"/>
      <c r="C304" s="32"/>
      <c r="D304" s="32"/>
      <c r="E304" s="39"/>
      <c r="F304" s="34"/>
      <c r="G304" s="35">
        <f>Table1[[#This Row],[Selling Price]]-Table1[[#This Row],[Cost Price]]</f>
        <v>0</v>
      </c>
      <c r="H304" s="32"/>
      <c r="I304" s="36" t="s">
        <v>36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x14ac:dyDescent="0.25">
      <c r="A305" s="31"/>
      <c r="B305" s="32"/>
      <c r="C305" s="32"/>
      <c r="D305" s="32"/>
      <c r="E305" s="39"/>
      <c r="F305" s="34"/>
      <c r="G305" s="35">
        <f>Table1[[#This Row],[Selling Price]]-Table1[[#This Row],[Cost Price]]</f>
        <v>0</v>
      </c>
      <c r="H305" s="32"/>
      <c r="I305" s="36" t="s">
        <v>36</v>
      </c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x14ac:dyDescent="0.25">
      <c r="A306" s="31"/>
      <c r="B306" s="32"/>
      <c r="C306" s="32"/>
      <c r="D306" s="32"/>
      <c r="E306" s="39"/>
      <c r="F306" s="34"/>
      <c r="G306" s="35">
        <f>Table1[[#This Row],[Selling Price]]-Table1[[#This Row],[Cost Price]]</f>
        <v>0</v>
      </c>
      <c r="H306" s="32"/>
      <c r="I306" s="36" t="s">
        <v>36</v>
      </c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x14ac:dyDescent="0.25">
      <c r="A307" s="31"/>
      <c r="B307" s="32"/>
      <c r="C307" s="32"/>
      <c r="D307" s="32"/>
      <c r="E307" s="39"/>
      <c r="F307" s="34"/>
      <c r="G307" s="35">
        <f>Table1[[#This Row],[Selling Price]]-Table1[[#This Row],[Cost Price]]</f>
        <v>0</v>
      </c>
      <c r="H307" s="32"/>
      <c r="I307" s="36" t="s">
        <v>36</v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x14ac:dyDescent="0.25">
      <c r="A308" s="31"/>
      <c r="B308" s="32"/>
      <c r="C308" s="32"/>
      <c r="D308" s="32"/>
      <c r="E308" s="39"/>
      <c r="F308" s="34"/>
      <c r="G308" s="35">
        <f>Table1[[#This Row],[Selling Price]]-Table1[[#This Row],[Cost Price]]</f>
        <v>0</v>
      </c>
      <c r="H308" s="32"/>
      <c r="I308" s="36" t="s">
        <v>36</v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x14ac:dyDescent="0.25">
      <c r="A309" s="31"/>
      <c r="B309" s="32"/>
      <c r="C309" s="32"/>
      <c r="D309" s="32"/>
      <c r="E309" s="39"/>
      <c r="F309" s="34"/>
      <c r="G309" s="35">
        <f>Table1[[#This Row],[Selling Price]]-Table1[[#This Row],[Cost Price]]</f>
        <v>0</v>
      </c>
      <c r="H309" s="32"/>
      <c r="I309" s="36" t="s">
        <v>36</v>
      </c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x14ac:dyDescent="0.25">
      <c r="A310" s="31"/>
      <c r="B310" s="32"/>
      <c r="C310" s="32"/>
      <c r="D310" s="32"/>
      <c r="E310" s="39"/>
      <c r="F310" s="34"/>
      <c r="G310" s="35">
        <f>Table1[[#This Row],[Selling Price]]-Table1[[#This Row],[Cost Price]]</f>
        <v>0</v>
      </c>
      <c r="H310" s="32"/>
      <c r="I310" s="36" t="s">
        <v>36</v>
      </c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x14ac:dyDescent="0.25">
      <c r="A311" s="31"/>
      <c r="B311" s="32"/>
      <c r="C311" s="32"/>
      <c r="D311" s="32"/>
      <c r="E311" s="39"/>
      <c r="F311" s="34"/>
      <c r="G311" s="35">
        <f>Table1[[#This Row],[Selling Price]]-Table1[[#This Row],[Cost Price]]</f>
        <v>0</v>
      </c>
      <c r="H311" s="32"/>
      <c r="I311" s="36" t="s">
        <v>36</v>
      </c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x14ac:dyDescent="0.25">
      <c r="A312" s="31"/>
      <c r="B312" s="32"/>
      <c r="C312" s="32"/>
      <c r="D312" s="32"/>
      <c r="E312" s="39"/>
      <c r="F312" s="34"/>
      <c r="G312" s="35">
        <f>Table1[[#This Row],[Selling Price]]-Table1[[#This Row],[Cost Price]]</f>
        <v>0</v>
      </c>
      <c r="H312" s="32"/>
      <c r="I312" s="36" t="s">
        <v>36</v>
      </c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x14ac:dyDescent="0.25">
      <c r="A313" s="31"/>
      <c r="B313" s="32"/>
      <c r="C313" s="32"/>
      <c r="D313" s="32"/>
      <c r="E313" s="39"/>
      <c r="F313" s="34"/>
      <c r="G313" s="35">
        <f>Table1[[#This Row],[Selling Price]]-Table1[[#This Row],[Cost Price]]</f>
        <v>0</v>
      </c>
      <c r="H313" s="32"/>
      <c r="I313" s="36" t="s">
        <v>36</v>
      </c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x14ac:dyDescent="0.25">
      <c r="A314" s="31"/>
      <c r="B314" s="32"/>
      <c r="C314" s="32"/>
      <c r="D314" s="32"/>
      <c r="E314" s="39"/>
      <c r="F314" s="34"/>
      <c r="G314" s="35">
        <f>Table1[[#This Row],[Selling Price]]-Table1[[#This Row],[Cost Price]]</f>
        <v>0</v>
      </c>
      <c r="H314" s="32"/>
      <c r="I314" s="36" t="s">
        <v>36</v>
      </c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x14ac:dyDescent="0.25">
      <c r="A315" s="31"/>
      <c r="B315" s="32"/>
      <c r="C315" s="32"/>
      <c r="D315" s="32"/>
      <c r="E315" s="39"/>
      <c r="F315" s="34"/>
      <c r="G315" s="35">
        <f>Table1[[#This Row],[Selling Price]]-Table1[[#This Row],[Cost Price]]</f>
        <v>0</v>
      </c>
      <c r="H315" s="32"/>
      <c r="I315" s="36" t="s">
        <v>36</v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x14ac:dyDescent="0.25">
      <c r="A316" s="31"/>
      <c r="B316" s="32"/>
      <c r="C316" s="32"/>
      <c r="D316" s="32"/>
      <c r="E316" s="39"/>
      <c r="F316" s="34"/>
      <c r="G316" s="35">
        <f>Table1[[#This Row],[Selling Price]]-Table1[[#This Row],[Cost Price]]</f>
        <v>0</v>
      </c>
      <c r="H316" s="32"/>
      <c r="I316" s="36" t="s">
        <v>36</v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x14ac:dyDescent="0.25">
      <c r="A317" s="31"/>
      <c r="B317" s="32"/>
      <c r="C317" s="32"/>
      <c r="D317" s="32"/>
      <c r="E317" s="39"/>
      <c r="F317" s="34"/>
      <c r="G317" s="35">
        <f>Table1[[#This Row],[Selling Price]]-Table1[[#This Row],[Cost Price]]</f>
        <v>0</v>
      </c>
      <c r="H317" s="32"/>
      <c r="I317" s="36" t="s">
        <v>36</v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x14ac:dyDescent="0.25">
      <c r="A318" s="31"/>
      <c r="B318" s="32"/>
      <c r="C318" s="32"/>
      <c r="D318" s="32"/>
      <c r="E318" s="39"/>
      <c r="F318" s="34"/>
      <c r="G318" s="35">
        <f>Table1[[#This Row],[Selling Price]]-Table1[[#This Row],[Cost Price]]</f>
        <v>0</v>
      </c>
      <c r="H318" s="32"/>
      <c r="I318" s="36" t="s">
        <v>36</v>
      </c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x14ac:dyDescent="0.25">
      <c r="A319" s="31"/>
      <c r="B319" s="32"/>
      <c r="C319" s="32"/>
      <c r="D319" s="32"/>
      <c r="E319" s="39"/>
      <c r="F319" s="34"/>
      <c r="G319" s="35">
        <f>Table1[[#This Row],[Selling Price]]-Table1[[#This Row],[Cost Price]]</f>
        <v>0</v>
      </c>
      <c r="H319" s="32"/>
      <c r="I319" s="36" t="s">
        <v>36</v>
      </c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x14ac:dyDescent="0.25">
      <c r="A320" s="31"/>
      <c r="B320" s="32"/>
      <c r="C320" s="32"/>
      <c r="D320" s="32"/>
      <c r="E320" s="39"/>
      <c r="F320" s="34"/>
      <c r="G320" s="35">
        <f>Table1[[#This Row],[Selling Price]]-Table1[[#This Row],[Cost Price]]</f>
        <v>0</v>
      </c>
      <c r="H320" s="32"/>
      <c r="I320" s="36" t="s">
        <v>36</v>
      </c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x14ac:dyDescent="0.25">
      <c r="A321" s="31"/>
      <c r="B321" s="32"/>
      <c r="C321" s="32"/>
      <c r="D321" s="32"/>
      <c r="E321" s="39"/>
      <c r="F321" s="34"/>
      <c r="G321" s="35">
        <f>Table1[[#This Row],[Selling Price]]-Table1[[#This Row],[Cost Price]]</f>
        <v>0</v>
      </c>
      <c r="H321" s="32"/>
      <c r="I321" s="36" t="s">
        <v>36</v>
      </c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x14ac:dyDescent="0.25">
      <c r="A322" s="31"/>
      <c r="B322" s="32"/>
      <c r="C322" s="32"/>
      <c r="D322" s="32"/>
      <c r="E322" s="39"/>
      <c r="F322" s="34"/>
      <c r="G322" s="35">
        <f>Table1[[#This Row],[Selling Price]]-Table1[[#This Row],[Cost Price]]</f>
        <v>0</v>
      </c>
      <c r="H322" s="32"/>
      <c r="I322" s="36" t="s">
        <v>36</v>
      </c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x14ac:dyDescent="0.25">
      <c r="A323" s="31"/>
      <c r="B323" s="32"/>
      <c r="C323" s="32"/>
      <c r="D323" s="32"/>
      <c r="E323" s="39"/>
      <c r="F323" s="34"/>
      <c r="G323" s="35">
        <f>Table1[[#This Row],[Selling Price]]-Table1[[#This Row],[Cost Price]]</f>
        <v>0</v>
      </c>
      <c r="H323" s="32"/>
      <c r="I323" s="36" t="s">
        <v>36</v>
      </c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x14ac:dyDescent="0.25">
      <c r="A324" s="31"/>
      <c r="B324" s="32"/>
      <c r="C324" s="32"/>
      <c r="D324" s="32"/>
      <c r="E324" s="39"/>
      <c r="F324" s="34"/>
      <c r="G324" s="35">
        <f>Table1[[#This Row],[Selling Price]]-Table1[[#This Row],[Cost Price]]</f>
        <v>0</v>
      </c>
      <c r="H324" s="32"/>
      <c r="I324" s="36" t="s">
        <v>36</v>
      </c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x14ac:dyDescent="0.25">
      <c r="A325" s="31"/>
      <c r="B325" s="32"/>
      <c r="C325" s="32"/>
      <c r="D325" s="32"/>
      <c r="E325" s="39"/>
      <c r="F325" s="34"/>
      <c r="G325" s="35">
        <f>Table1[[#This Row],[Selling Price]]-Table1[[#This Row],[Cost Price]]</f>
        <v>0</v>
      </c>
      <c r="H325" s="32"/>
      <c r="I325" s="36" t="s">
        <v>36</v>
      </c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x14ac:dyDescent="0.25">
      <c r="A326" s="31"/>
      <c r="B326" s="32"/>
      <c r="C326" s="32"/>
      <c r="D326" s="32"/>
      <c r="E326" s="39"/>
      <c r="F326" s="34"/>
      <c r="G326" s="35">
        <f>Table1[[#This Row],[Selling Price]]-Table1[[#This Row],[Cost Price]]</f>
        <v>0</v>
      </c>
      <c r="H326" s="32"/>
      <c r="I326" s="36" t="s">
        <v>36</v>
      </c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x14ac:dyDescent="0.25">
      <c r="A327" s="31"/>
      <c r="B327" s="32"/>
      <c r="C327" s="32"/>
      <c r="D327" s="32"/>
      <c r="E327" s="39"/>
      <c r="F327" s="34"/>
      <c r="G327" s="35">
        <f>Table1[[#This Row],[Selling Price]]-Table1[[#This Row],[Cost Price]]</f>
        <v>0</v>
      </c>
      <c r="H327" s="32"/>
      <c r="I327" s="36" t="s">
        <v>36</v>
      </c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x14ac:dyDescent="0.25">
      <c r="A328" s="31"/>
      <c r="B328" s="32"/>
      <c r="C328" s="32"/>
      <c r="D328" s="32"/>
      <c r="E328" s="39"/>
      <c r="F328" s="34"/>
      <c r="G328" s="35">
        <f>Table1[[#This Row],[Selling Price]]-Table1[[#This Row],[Cost Price]]</f>
        <v>0</v>
      </c>
      <c r="H328" s="32"/>
      <c r="I328" s="36" t="s">
        <v>36</v>
      </c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x14ac:dyDescent="0.25">
      <c r="A329" s="31"/>
      <c r="B329" s="32"/>
      <c r="C329" s="32"/>
      <c r="D329" s="32"/>
      <c r="E329" s="39"/>
      <c r="F329" s="34"/>
      <c r="G329" s="35">
        <f>Table1[[#This Row],[Selling Price]]-Table1[[#This Row],[Cost Price]]</f>
        <v>0</v>
      </c>
      <c r="H329" s="32"/>
      <c r="I329" s="36" t="s">
        <v>36</v>
      </c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x14ac:dyDescent="0.25">
      <c r="A330" s="31"/>
      <c r="B330" s="32"/>
      <c r="C330" s="32"/>
      <c r="D330" s="32"/>
      <c r="E330" s="39"/>
      <c r="F330" s="34"/>
      <c r="G330" s="35">
        <f>Table1[[#This Row],[Selling Price]]-Table1[[#This Row],[Cost Price]]</f>
        <v>0</v>
      </c>
      <c r="H330" s="32"/>
      <c r="I330" s="36" t="s">
        <v>36</v>
      </c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x14ac:dyDescent="0.25">
      <c r="A331" s="31"/>
      <c r="B331" s="32"/>
      <c r="C331" s="32"/>
      <c r="D331" s="32"/>
      <c r="E331" s="39"/>
      <c r="F331" s="34"/>
      <c r="G331" s="35">
        <f>Table1[[#This Row],[Selling Price]]-Table1[[#This Row],[Cost Price]]</f>
        <v>0</v>
      </c>
      <c r="H331" s="32"/>
      <c r="I331" s="36" t="s">
        <v>36</v>
      </c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x14ac:dyDescent="0.25">
      <c r="A332" s="31"/>
      <c r="B332" s="32"/>
      <c r="C332" s="32"/>
      <c r="D332" s="32"/>
      <c r="E332" s="39"/>
      <c r="F332" s="34"/>
      <c r="G332" s="35">
        <f>Table1[[#This Row],[Selling Price]]-Table1[[#This Row],[Cost Price]]</f>
        <v>0</v>
      </c>
      <c r="H332" s="32"/>
      <c r="I332" s="36" t="s">
        <v>36</v>
      </c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x14ac:dyDescent="0.25">
      <c r="A333" s="31"/>
      <c r="B333" s="32"/>
      <c r="C333" s="32"/>
      <c r="D333" s="32"/>
      <c r="E333" s="39"/>
      <c r="F333" s="34"/>
      <c r="G333" s="35">
        <f>Table1[[#This Row],[Selling Price]]-Table1[[#This Row],[Cost Price]]</f>
        <v>0</v>
      </c>
      <c r="H333" s="32"/>
      <c r="I333" s="36" t="s">
        <v>36</v>
      </c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x14ac:dyDescent="0.25">
      <c r="A334" s="31"/>
      <c r="B334" s="32"/>
      <c r="C334" s="32"/>
      <c r="D334" s="32"/>
      <c r="E334" s="39"/>
      <c r="F334" s="34"/>
      <c r="G334" s="35">
        <f>Table1[[#This Row],[Selling Price]]-Table1[[#This Row],[Cost Price]]</f>
        <v>0</v>
      </c>
      <c r="H334" s="32"/>
      <c r="I334" s="36" t="s">
        <v>36</v>
      </c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x14ac:dyDescent="0.25">
      <c r="A335" s="31"/>
      <c r="B335" s="32"/>
      <c r="C335" s="32"/>
      <c r="D335" s="32"/>
      <c r="E335" s="39"/>
      <c r="F335" s="34"/>
      <c r="G335" s="35">
        <f>Table1[[#This Row],[Selling Price]]-Table1[[#This Row],[Cost Price]]</f>
        <v>0</v>
      </c>
      <c r="H335" s="32"/>
      <c r="I335" s="36" t="s">
        <v>36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x14ac:dyDescent="0.25">
      <c r="A336" s="31"/>
      <c r="B336" s="32"/>
      <c r="C336" s="32"/>
      <c r="D336" s="32"/>
      <c r="E336" s="39"/>
      <c r="F336" s="34"/>
      <c r="G336" s="35">
        <f>Table1[[#This Row],[Selling Price]]-Table1[[#This Row],[Cost Price]]</f>
        <v>0</v>
      </c>
      <c r="H336" s="32"/>
      <c r="I336" s="36" t="s">
        <v>36</v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x14ac:dyDescent="0.25">
      <c r="A337" s="31"/>
      <c r="B337" s="32"/>
      <c r="C337" s="32"/>
      <c r="D337" s="32"/>
      <c r="E337" s="39"/>
      <c r="F337" s="34"/>
      <c r="G337" s="35">
        <f>Table1[[#This Row],[Selling Price]]-Table1[[#This Row],[Cost Price]]</f>
        <v>0</v>
      </c>
      <c r="H337" s="32"/>
      <c r="I337" s="36" t="s">
        <v>36</v>
      </c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x14ac:dyDescent="0.25">
      <c r="A338" s="31"/>
      <c r="B338" s="32"/>
      <c r="C338" s="32"/>
      <c r="D338" s="32"/>
      <c r="E338" s="39"/>
      <c r="F338" s="34"/>
      <c r="G338" s="35">
        <f>Table1[[#This Row],[Selling Price]]-Table1[[#This Row],[Cost Price]]</f>
        <v>0</v>
      </c>
      <c r="H338" s="32"/>
      <c r="I338" s="36" t="s">
        <v>36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x14ac:dyDescent="0.25">
      <c r="A339" s="31"/>
      <c r="B339" s="32"/>
      <c r="C339" s="32"/>
      <c r="D339" s="32"/>
      <c r="E339" s="39"/>
      <c r="F339" s="34"/>
      <c r="G339" s="35">
        <f>Table1[[#This Row],[Selling Price]]-Table1[[#This Row],[Cost Price]]</f>
        <v>0</v>
      </c>
      <c r="H339" s="32"/>
      <c r="I339" s="36" t="s">
        <v>36</v>
      </c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x14ac:dyDescent="0.25">
      <c r="A340" s="31"/>
      <c r="B340" s="32"/>
      <c r="C340" s="32"/>
      <c r="D340" s="32"/>
      <c r="E340" s="39"/>
      <c r="F340" s="34"/>
      <c r="G340" s="35">
        <f>Table1[[#This Row],[Selling Price]]-Table1[[#This Row],[Cost Price]]</f>
        <v>0</v>
      </c>
      <c r="H340" s="32"/>
      <c r="I340" s="36" t="s">
        <v>36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x14ac:dyDescent="0.25">
      <c r="A341" s="31"/>
      <c r="B341" s="32"/>
      <c r="C341" s="32"/>
      <c r="D341" s="32"/>
      <c r="E341" s="39"/>
      <c r="F341" s="34"/>
      <c r="G341" s="35">
        <f>Table1[[#This Row],[Selling Price]]-Table1[[#This Row],[Cost Price]]</f>
        <v>0</v>
      </c>
      <c r="H341" s="32"/>
      <c r="I341" s="36" t="s">
        <v>36</v>
      </c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x14ac:dyDescent="0.25">
      <c r="A342" s="31"/>
      <c r="B342" s="32"/>
      <c r="C342" s="32"/>
      <c r="D342" s="32"/>
      <c r="E342" s="39"/>
      <c r="F342" s="34"/>
      <c r="G342" s="35">
        <f>Table1[[#This Row],[Selling Price]]-Table1[[#This Row],[Cost Price]]</f>
        <v>0</v>
      </c>
      <c r="H342" s="32"/>
      <c r="I342" s="36" t="s">
        <v>36</v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x14ac:dyDescent="0.25">
      <c r="A343" s="31"/>
      <c r="B343" s="32"/>
      <c r="C343" s="32"/>
      <c r="D343" s="32"/>
      <c r="E343" s="39"/>
      <c r="F343" s="34"/>
      <c r="G343" s="35">
        <f>Table1[[#This Row],[Selling Price]]-Table1[[#This Row],[Cost Price]]</f>
        <v>0</v>
      </c>
      <c r="H343" s="32"/>
      <c r="I343" s="36" t="s">
        <v>36</v>
      </c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x14ac:dyDescent="0.25">
      <c r="A344" s="31"/>
      <c r="B344" s="32"/>
      <c r="C344" s="32"/>
      <c r="D344" s="32"/>
      <c r="E344" s="39"/>
      <c r="F344" s="34"/>
      <c r="G344" s="35">
        <f>Table1[[#This Row],[Selling Price]]-Table1[[#This Row],[Cost Price]]</f>
        <v>0</v>
      </c>
      <c r="H344" s="32"/>
      <c r="I344" s="36" t="s">
        <v>36</v>
      </c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x14ac:dyDescent="0.25">
      <c r="A345" s="31"/>
      <c r="B345" s="32"/>
      <c r="C345" s="32"/>
      <c r="D345" s="32"/>
      <c r="E345" s="39"/>
      <c r="F345" s="34"/>
      <c r="G345" s="35">
        <f>Table1[[#This Row],[Selling Price]]-Table1[[#This Row],[Cost Price]]</f>
        <v>0</v>
      </c>
      <c r="H345" s="32"/>
      <c r="I345" s="36" t="s">
        <v>36</v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x14ac:dyDescent="0.25">
      <c r="A346" s="31"/>
      <c r="B346" s="32"/>
      <c r="C346" s="32"/>
      <c r="D346" s="32"/>
      <c r="E346" s="39"/>
      <c r="F346" s="34"/>
      <c r="G346" s="35">
        <f>Table1[[#This Row],[Selling Price]]-Table1[[#This Row],[Cost Price]]</f>
        <v>0</v>
      </c>
      <c r="H346" s="32"/>
      <c r="I346" s="36" t="s">
        <v>36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x14ac:dyDescent="0.25">
      <c r="A347" s="31"/>
      <c r="B347" s="32"/>
      <c r="C347" s="32"/>
      <c r="D347" s="32"/>
      <c r="E347" s="39"/>
      <c r="F347" s="34"/>
      <c r="G347" s="35">
        <f>Table1[[#This Row],[Selling Price]]-Table1[[#This Row],[Cost Price]]</f>
        <v>0</v>
      </c>
      <c r="H347" s="32"/>
      <c r="I347" s="36" t="s">
        <v>36</v>
      </c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x14ac:dyDescent="0.25">
      <c r="A348" s="31"/>
      <c r="B348" s="32"/>
      <c r="C348" s="32"/>
      <c r="D348" s="32"/>
      <c r="E348" s="39"/>
      <c r="F348" s="34"/>
      <c r="G348" s="35">
        <f>Table1[[#This Row],[Selling Price]]-Table1[[#This Row],[Cost Price]]</f>
        <v>0</v>
      </c>
      <c r="H348" s="32"/>
      <c r="I348" s="36" t="s">
        <v>36</v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x14ac:dyDescent="0.25">
      <c r="A349" s="31"/>
      <c r="B349" s="32"/>
      <c r="C349" s="32"/>
      <c r="D349" s="32"/>
      <c r="E349" s="39"/>
      <c r="F349" s="34"/>
      <c r="G349" s="35">
        <f>Table1[[#This Row],[Selling Price]]-Table1[[#This Row],[Cost Price]]</f>
        <v>0</v>
      </c>
      <c r="H349" s="32"/>
      <c r="I349" s="36" t="s">
        <v>36</v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x14ac:dyDescent="0.25">
      <c r="A350" s="31"/>
      <c r="B350" s="32"/>
      <c r="C350" s="32"/>
      <c r="D350" s="32"/>
      <c r="E350" s="39"/>
      <c r="F350" s="34"/>
      <c r="G350" s="35">
        <f>Table1[[#This Row],[Selling Price]]-Table1[[#This Row],[Cost Price]]</f>
        <v>0</v>
      </c>
      <c r="H350" s="32"/>
      <c r="I350" s="36" t="s">
        <v>36</v>
      </c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x14ac:dyDescent="0.25">
      <c r="A351" s="31"/>
      <c r="B351" s="32"/>
      <c r="C351" s="32"/>
      <c r="D351" s="32"/>
      <c r="E351" s="39"/>
      <c r="F351" s="34"/>
      <c r="G351" s="35">
        <f>Table1[[#This Row],[Selling Price]]-Table1[[#This Row],[Cost Price]]</f>
        <v>0</v>
      </c>
      <c r="H351" s="32"/>
      <c r="I351" s="36" t="s">
        <v>36</v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x14ac:dyDescent="0.25">
      <c r="A352" s="31"/>
      <c r="B352" s="32"/>
      <c r="C352" s="32"/>
      <c r="D352" s="32"/>
      <c r="E352" s="39"/>
      <c r="F352" s="34"/>
      <c r="G352" s="35">
        <f>Table1[[#This Row],[Selling Price]]-Table1[[#This Row],[Cost Price]]</f>
        <v>0</v>
      </c>
      <c r="H352" s="32"/>
      <c r="I352" s="36" t="s">
        <v>36</v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x14ac:dyDescent="0.25">
      <c r="A353" s="31"/>
      <c r="B353" s="32"/>
      <c r="C353" s="32"/>
      <c r="D353" s="32"/>
      <c r="E353" s="39"/>
      <c r="F353" s="34"/>
      <c r="G353" s="35">
        <f>Table1[[#This Row],[Selling Price]]-Table1[[#This Row],[Cost Price]]</f>
        <v>0</v>
      </c>
      <c r="H353" s="32"/>
      <c r="I353" s="36" t="s">
        <v>36</v>
      </c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x14ac:dyDescent="0.25">
      <c r="A354" s="31"/>
      <c r="B354" s="32"/>
      <c r="C354" s="32"/>
      <c r="D354" s="32"/>
      <c r="E354" s="39"/>
      <c r="F354" s="34"/>
      <c r="G354" s="35">
        <f>Table1[[#This Row],[Selling Price]]-Table1[[#This Row],[Cost Price]]</f>
        <v>0</v>
      </c>
      <c r="H354" s="32"/>
      <c r="I354" s="36" t="s">
        <v>36</v>
      </c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x14ac:dyDescent="0.25">
      <c r="A355" s="31"/>
      <c r="B355" s="32"/>
      <c r="C355" s="32"/>
      <c r="D355" s="32"/>
      <c r="E355" s="39"/>
      <c r="F355" s="34"/>
      <c r="G355" s="35">
        <f>Table1[[#This Row],[Selling Price]]-Table1[[#This Row],[Cost Price]]</f>
        <v>0</v>
      </c>
      <c r="H355" s="32"/>
      <c r="I355" s="36" t="s">
        <v>36</v>
      </c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x14ac:dyDescent="0.25">
      <c r="A356" s="31"/>
      <c r="B356" s="32"/>
      <c r="C356" s="32"/>
      <c r="D356" s="32"/>
      <c r="E356" s="39"/>
      <c r="F356" s="34"/>
      <c r="G356" s="35">
        <f>Table1[[#This Row],[Selling Price]]-Table1[[#This Row],[Cost Price]]</f>
        <v>0</v>
      </c>
      <c r="H356" s="32"/>
      <c r="I356" s="36" t="s">
        <v>36</v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x14ac:dyDescent="0.25">
      <c r="A357" s="31"/>
      <c r="B357" s="32"/>
      <c r="C357" s="32"/>
      <c r="D357" s="32"/>
      <c r="E357" s="39"/>
      <c r="F357" s="34"/>
      <c r="G357" s="35">
        <f>Table1[[#This Row],[Selling Price]]-Table1[[#This Row],[Cost Price]]</f>
        <v>0</v>
      </c>
      <c r="H357" s="32"/>
      <c r="I357" s="36" t="s">
        <v>36</v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x14ac:dyDescent="0.25">
      <c r="A358" s="31"/>
      <c r="B358" s="32"/>
      <c r="C358" s="32"/>
      <c r="D358" s="32"/>
      <c r="E358" s="39"/>
      <c r="F358" s="34"/>
      <c r="G358" s="35">
        <f>Table1[[#This Row],[Selling Price]]-Table1[[#This Row],[Cost Price]]</f>
        <v>0</v>
      </c>
      <c r="H358" s="32"/>
      <c r="I358" s="36" t="s">
        <v>36</v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x14ac:dyDescent="0.25">
      <c r="A359" s="31"/>
      <c r="B359" s="32"/>
      <c r="C359" s="32"/>
      <c r="D359" s="32"/>
      <c r="E359" s="39"/>
      <c r="F359" s="34"/>
      <c r="G359" s="35">
        <f>Table1[[#This Row],[Selling Price]]-Table1[[#This Row],[Cost Price]]</f>
        <v>0</v>
      </c>
      <c r="H359" s="32"/>
      <c r="I359" s="36" t="s">
        <v>36</v>
      </c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x14ac:dyDescent="0.25">
      <c r="A360" s="31"/>
      <c r="B360" s="32"/>
      <c r="C360" s="32"/>
      <c r="D360" s="32"/>
      <c r="E360" s="39"/>
      <c r="F360" s="34"/>
      <c r="G360" s="35">
        <f>Table1[[#This Row],[Selling Price]]-Table1[[#This Row],[Cost Price]]</f>
        <v>0</v>
      </c>
      <c r="H360" s="32"/>
      <c r="I360" s="36" t="s">
        <v>36</v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x14ac:dyDescent="0.25">
      <c r="A361" s="31"/>
      <c r="B361" s="32"/>
      <c r="C361" s="32"/>
      <c r="D361" s="32"/>
      <c r="E361" s="39"/>
      <c r="F361" s="34"/>
      <c r="G361" s="35">
        <f>Table1[[#This Row],[Selling Price]]-Table1[[#This Row],[Cost Price]]</f>
        <v>0</v>
      </c>
      <c r="H361" s="32"/>
      <c r="I361" s="36" t="s">
        <v>36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x14ac:dyDescent="0.25">
      <c r="A362" s="31"/>
      <c r="B362" s="32"/>
      <c r="C362" s="32"/>
      <c r="D362" s="32"/>
      <c r="E362" s="39"/>
      <c r="F362" s="34"/>
      <c r="G362" s="35">
        <f>Table1[[#This Row],[Selling Price]]-Table1[[#This Row],[Cost Price]]</f>
        <v>0</v>
      </c>
      <c r="H362" s="32"/>
      <c r="I362" s="36" t="s">
        <v>36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x14ac:dyDescent="0.25">
      <c r="A363" s="31"/>
      <c r="B363" s="32"/>
      <c r="C363" s="32"/>
      <c r="D363" s="32"/>
      <c r="E363" s="39"/>
      <c r="F363" s="34"/>
      <c r="G363" s="35">
        <f>Table1[[#This Row],[Selling Price]]-Table1[[#This Row],[Cost Price]]</f>
        <v>0</v>
      </c>
      <c r="H363" s="32"/>
      <c r="I363" s="36" t="s">
        <v>36</v>
      </c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x14ac:dyDescent="0.25">
      <c r="A364" s="31"/>
      <c r="B364" s="32"/>
      <c r="C364" s="32"/>
      <c r="D364" s="32"/>
      <c r="E364" s="39"/>
      <c r="F364" s="34"/>
      <c r="G364" s="35">
        <f>Table1[[#This Row],[Selling Price]]-Table1[[#This Row],[Cost Price]]</f>
        <v>0</v>
      </c>
      <c r="H364" s="32"/>
      <c r="I364" s="36" t="s">
        <v>36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x14ac:dyDescent="0.25">
      <c r="A365" s="31"/>
      <c r="B365" s="32"/>
      <c r="C365" s="32"/>
      <c r="D365" s="32"/>
      <c r="E365" s="39"/>
      <c r="F365" s="34"/>
      <c r="G365" s="35">
        <f>Table1[[#This Row],[Selling Price]]-Table1[[#This Row],[Cost Price]]</f>
        <v>0</v>
      </c>
      <c r="H365" s="32"/>
      <c r="I365" s="36" t="s">
        <v>36</v>
      </c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x14ac:dyDescent="0.25">
      <c r="A366" s="31"/>
      <c r="B366" s="32"/>
      <c r="C366" s="32"/>
      <c r="D366" s="32"/>
      <c r="E366" s="39"/>
      <c r="F366" s="34"/>
      <c r="G366" s="35">
        <f>Table1[[#This Row],[Selling Price]]-Table1[[#This Row],[Cost Price]]</f>
        <v>0</v>
      </c>
      <c r="H366" s="32"/>
      <c r="I366" s="36" t="s">
        <v>36</v>
      </c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x14ac:dyDescent="0.25">
      <c r="A367" s="31"/>
      <c r="B367" s="32"/>
      <c r="C367" s="32"/>
      <c r="D367" s="32"/>
      <c r="E367" s="39"/>
      <c r="F367" s="34"/>
      <c r="G367" s="35">
        <f>Table1[[#This Row],[Selling Price]]-Table1[[#This Row],[Cost Price]]</f>
        <v>0</v>
      </c>
      <c r="H367" s="32"/>
      <c r="I367" s="36" t="s">
        <v>36</v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x14ac:dyDescent="0.25">
      <c r="A368" s="31"/>
      <c r="B368" s="32"/>
      <c r="C368" s="32"/>
      <c r="D368" s="32"/>
      <c r="E368" s="39"/>
      <c r="F368" s="34"/>
      <c r="G368" s="35">
        <f>Table1[[#This Row],[Selling Price]]-Table1[[#This Row],[Cost Price]]</f>
        <v>0</v>
      </c>
      <c r="H368" s="32"/>
      <c r="I368" s="36" t="s">
        <v>36</v>
      </c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x14ac:dyDescent="0.25">
      <c r="A369" s="31"/>
      <c r="B369" s="32"/>
      <c r="C369" s="32"/>
      <c r="D369" s="32"/>
      <c r="E369" s="39"/>
      <c r="F369" s="34"/>
      <c r="G369" s="35">
        <f>Table1[[#This Row],[Selling Price]]-Table1[[#This Row],[Cost Price]]</f>
        <v>0</v>
      </c>
      <c r="H369" s="32"/>
      <c r="I369" s="36" t="s">
        <v>36</v>
      </c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x14ac:dyDescent="0.25">
      <c r="A370" s="31"/>
      <c r="B370" s="32"/>
      <c r="C370" s="32"/>
      <c r="D370" s="32"/>
      <c r="E370" s="39"/>
      <c r="F370" s="34"/>
      <c r="G370" s="35">
        <f>Table1[[#This Row],[Selling Price]]-Table1[[#This Row],[Cost Price]]</f>
        <v>0</v>
      </c>
      <c r="H370" s="32"/>
      <c r="I370" s="36" t="s">
        <v>36</v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x14ac:dyDescent="0.25">
      <c r="A371" s="31"/>
      <c r="B371" s="32"/>
      <c r="C371" s="32"/>
      <c r="D371" s="32"/>
      <c r="E371" s="39"/>
      <c r="F371" s="34"/>
      <c r="G371" s="35">
        <f>Table1[[#This Row],[Selling Price]]-Table1[[#This Row],[Cost Price]]</f>
        <v>0</v>
      </c>
      <c r="H371" s="32"/>
      <c r="I371" s="36" t="s">
        <v>36</v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x14ac:dyDescent="0.25">
      <c r="A372" s="31"/>
      <c r="B372" s="32"/>
      <c r="C372" s="32"/>
      <c r="D372" s="32"/>
      <c r="E372" s="39"/>
      <c r="F372" s="34"/>
      <c r="G372" s="35">
        <f>Table1[[#This Row],[Selling Price]]-Table1[[#This Row],[Cost Price]]</f>
        <v>0</v>
      </c>
      <c r="H372" s="32"/>
      <c r="I372" s="36" t="s">
        <v>36</v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x14ac:dyDescent="0.25">
      <c r="A373" s="31"/>
      <c r="B373" s="32"/>
      <c r="C373" s="32"/>
      <c r="D373" s="32"/>
      <c r="E373" s="39"/>
      <c r="F373" s="34"/>
      <c r="G373" s="35">
        <f>Table1[[#This Row],[Selling Price]]-Table1[[#This Row],[Cost Price]]</f>
        <v>0</v>
      </c>
      <c r="H373" s="32"/>
      <c r="I373" s="36" t="s">
        <v>36</v>
      </c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x14ac:dyDescent="0.25">
      <c r="A374" s="31"/>
      <c r="B374" s="32"/>
      <c r="C374" s="32"/>
      <c r="D374" s="32"/>
      <c r="E374" s="39"/>
      <c r="F374" s="34"/>
      <c r="G374" s="35">
        <f>Table1[[#This Row],[Selling Price]]-Table1[[#This Row],[Cost Price]]</f>
        <v>0</v>
      </c>
      <c r="H374" s="32"/>
      <c r="I374" s="36" t="s">
        <v>36</v>
      </c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x14ac:dyDescent="0.25">
      <c r="A375" s="31"/>
      <c r="B375" s="32"/>
      <c r="C375" s="32"/>
      <c r="D375" s="32"/>
      <c r="E375" s="39"/>
      <c r="F375" s="34"/>
      <c r="G375" s="35">
        <f>Table1[[#This Row],[Selling Price]]-Table1[[#This Row],[Cost Price]]</f>
        <v>0</v>
      </c>
      <c r="H375" s="32"/>
      <c r="I375" s="36" t="s">
        <v>36</v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x14ac:dyDescent="0.25">
      <c r="A376" s="31"/>
      <c r="B376" s="32"/>
      <c r="C376" s="32"/>
      <c r="D376" s="32"/>
      <c r="E376" s="39"/>
      <c r="F376" s="34"/>
      <c r="G376" s="35">
        <f>Table1[[#This Row],[Selling Price]]-Table1[[#This Row],[Cost Price]]</f>
        <v>0</v>
      </c>
      <c r="H376" s="32"/>
      <c r="I376" s="36" t="s">
        <v>36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x14ac:dyDescent="0.25">
      <c r="A377" s="31"/>
      <c r="B377" s="32"/>
      <c r="C377" s="32"/>
      <c r="D377" s="32"/>
      <c r="E377" s="39"/>
      <c r="F377" s="34"/>
      <c r="G377" s="35">
        <f>Table1[[#This Row],[Selling Price]]-Table1[[#This Row],[Cost Price]]</f>
        <v>0</v>
      </c>
      <c r="H377" s="32"/>
      <c r="I377" s="36" t="s">
        <v>36</v>
      </c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x14ac:dyDescent="0.25">
      <c r="A378" s="31"/>
      <c r="B378" s="32"/>
      <c r="C378" s="32"/>
      <c r="D378" s="32"/>
      <c r="E378" s="39"/>
      <c r="F378" s="34"/>
      <c r="G378" s="35">
        <f>Table1[[#This Row],[Selling Price]]-Table1[[#This Row],[Cost Price]]</f>
        <v>0</v>
      </c>
      <c r="H378" s="32"/>
      <c r="I378" s="36" t="s">
        <v>36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x14ac:dyDescent="0.25">
      <c r="A379" s="31"/>
      <c r="B379" s="32"/>
      <c r="C379" s="32"/>
      <c r="D379" s="32"/>
      <c r="E379" s="39"/>
      <c r="F379" s="34"/>
      <c r="G379" s="35">
        <f>Table1[[#This Row],[Selling Price]]-Table1[[#This Row],[Cost Price]]</f>
        <v>0</v>
      </c>
      <c r="H379" s="32"/>
      <c r="I379" s="36" t="s">
        <v>36</v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x14ac:dyDescent="0.25">
      <c r="A380" s="31"/>
      <c r="B380" s="32"/>
      <c r="C380" s="32"/>
      <c r="D380" s="32"/>
      <c r="E380" s="39"/>
      <c r="F380" s="34"/>
      <c r="G380" s="35">
        <f>Table1[[#This Row],[Selling Price]]-Table1[[#This Row],[Cost Price]]</f>
        <v>0</v>
      </c>
      <c r="H380" s="32"/>
      <c r="I380" s="36" t="s">
        <v>36</v>
      </c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x14ac:dyDescent="0.25">
      <c r="A381" s="31"/>
      <c r="B381" s="32"/>
      <c r="C381" s="32"/>
      <c r="D381" s="32"/>
      <c r="E381" s="39"/>
      <c r="F381" s="34"/>
      <c r="G381" s="35">
        <f>Table1[[#This Row],[Selling Price]]-Table1[[#This Row],[Cost Price]]</f>
        <v>0</v>
      </c>
      <c r="H381" s="32"/>
      <c r="I381" s="36" t="s">
        <v>36</v>
      </c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x14ac:dyDescent="0.25">
      <c r="A382" s="31"/>
      <c r="B382" s="32"/>
      <c r="C382" s="32"/>
      <c r="D382" s="32"/>
      <c r="E382" s="39"/>
      <c r="F382" s="34"/>
      <c r="G382" s="35">
        <f>Table1[[#This Row],[Selling Price]]-Table1[[#This Row],[Cost Price]]</f>
        <v>0</v>
      </c>
      <c r="H382" s="32"/>
      <c r="I382" s="36" t="s">
        <v>36</v>
      </c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x14ac:dyDescent="0.25">
      <c r="A383" s="31"/>
      <c r="B383" s="32"/>
      <c r="C383" s="32"/>
      <c r="D383" s="32"/>
      <c r="E383" s="39"/>
      <c r="F383" s="34"/>
      <c r="G383" s="35">
        <f>Table1[[#This Row],[Selling Price]]-Table1[[#This Row],[Cost Price]]</f>
        <v>0</v>
      </c>
      <c r="H383" s="32"/>
      <c r="I383" s="36" t="s">
        <v>36</v>
      </c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x14ac:dyDescent="0.25">
      <c r="A384" s="31"/>
      <c r="B384" s="32"/>
      <c r="C384" s="32"/>
      <c r="D384" s="32"/>
      <c r="E384" s="39"/>
      <c r="F384" s="34"/>
      <c r="G384" s="35">
        <f>Table1[[#This Row],[Selling Price]]-Table1[[#This Row],[Cost Price]]</f>
        <v>0</v>
      </c>
      <c r="H384" s="32"/>
      <c r="I384" s="36" t="s">
        <v>36</v>
      </c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x14ac:dyDescent="0.25">
      <c r="A385" s="31"/>
      <c r="B385" s="32"/>
      <c r="C385" s="32"/>
      <c r="D385" s="32"/>
      <c r="E385" s="39"/>
      <c r="F385" s="34"/>
      <c r="G385" s="35">
        <f>Table1[[#This Row],[Selling Price]]-Table1[[#This Row],[Cost Price]]</f>
        <v>0</v>
      </c>
      <c r="H385" s="32"/>
      <c r="I385" s="36" t="s">
        <v>36</v>
      </c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x14ac:dyDescent="0.25">
      <c r="A386" s="31"/>
      <c r="B386" s="32"/>
      <c r="C386" s="32"/>
      <c r="D386" s="32"/>
      <c r="E386" s="39"/>
      <c r="F386" s="34"/>
      <c r="G386" s="35">
        <f>Table1[[#This Row],[Selling Price]]-Table1[[#This Row],[Cost Price]]</f>
        <v>0</v>
      </c>
      <c r="H386" s="32"/>
      <c r="I386" s="36" t="s">
        <v>36</v>
      </c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x14ac:dyDescent="0.25">
      <c r="A387" s="31"/>
      <c r="B387" s="32"/>
      <c r="C387" s="32"/>
      <c r="D387" s="32"/>
      <c r="E387" s="39"/>
      <c r="F387" s="34"/>
      <c r="G387" s="35">
        <f>Table1[[#This Row],[Selling Price]]-Table1[[#This Row],[Cost Price]]</f>
        <v>0</v>
      </c>
      <c r="H387" s="32"/>
      <c r="I387" s="36" t="s">
        <v>36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x14ac:dyDescent="0.25">
      <c r="A388" s="31"/>
      <c r="B388" s="32"/>
      <c r="C388" s="32"/>
      <c r="D388" s="32"/>
      <c r="E388" s="39"/>
      <c r="F388" s="34"/>
      <c r="G388" s="35">
        <f>Table1[[#This Row],[Selling Price]]-Table1[[#This Row],[Cost Price]]</f>
        <v>0</v>
      </c>
      <c r="H388" s="32"/>
      <c r="I388" s="36" t="s">
        <v>36</v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x14ac:dyDescent="0.25">
      <c r="A389" s="31"/>
      <c r="B389" s="32"/>
      <c r="C389" s="32"/>
      <c r="D389" s="32"/>
      <c r="E389" s="39"/>
      <c r="F389" s="34"/>
      <c r="G389" s="35">
        <f>Table1[[#This Row],[Selling Price]]-Table1[[#This Row],[Cost Price]]</f>
        <v>0</v>
      </c>
      <c r="H389" s="32"/>
      <c r="I389" s="36" t="s">
        <v>36</v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x14ac:dyDescent="0.25">
      <c r="A390" s="31"/>
      <c r="B390" s="32"/>
      <c r="C390" s="32"/>
      <c r="D390" s="32"/>
      <c r="E390" s="39"/>
      <c r="F390" s="34"/>
      <c r="G390" s="35">
        <f>Table1[[#This Row],[Selling Price]]-Table1[[#This Row],[Cost Price]]</f>
        <v>0</v>
      </c>
      <c r="H390" s="32"/>
      <c r="I390" s="36" t="s">
        <v>36</v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x14ac:dyDescent="0.25">
      <c r="A391" s="31"/>
      <c r="B391" s="32"/>
      <c r="C391" s="32"/>
      <c r="D391" s="32"/>
      <c r="E391" s="39"/>
      <c r="F391" s="34"/>
      <c r="G391" s="35">
        <f>Table1[[#This Row],[Selling Price]]-Table1[[#This Row],[Cost Price]]</f>
        <v>0</v>
      </c>
      <c r="H391" s="32"/>
      <c r="I391" s="36" t="s">
        <v>36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x14ac:dyDescent="0.25">
      <c r="A392" s="31"/>
      <c r="B392" s="32"/>
      <c r="C392" s="32"/>
      <c r="D392" s="32"/>
      <c r="E392" s="39"/>
      <c r="F392" s="34"/>
      <c r="G392" s="35">
        <f>Table1[[#This Row],[Selling Price]]-Table1[[#This Row],[Cost Price]]</f>
        <v>0</v>
      </c>
      <c r="H392" s="32"/>
      <c r="I392" s="36" t="s">
        <v>36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x14ac:dyDescent="0.25">
      <c r="A393" s="31"/>
      <c r="B393" s="32"/>
      <c r="C393" s="32"/>
      <c r="D393" s="32"/>
      <c r="E393" s="39"/>
      <c r="F393" s="34"/>
      <c r="G393" s="35">
        <f>Table1[[#This Row],[Selling Price]]-Table1[[#This Row],[Cost Price]]</f>
        <v>0</v>
      </c>
      <c r="H393" s="32"/>
      <c r="I393" s="36" t="s">
        <v>36</v>
      </c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x14ac:dyDescent="0.25">
      <c r="A394" s="31"/>
      <c r="B394" s="32"/>
      <c r="C394" s="32"/>
      <c r="D394" s="32"/>
      <c r="E394" s="39"/>
      <c r="F394" s="34"/>
      <c r="G394" s="35">
        <f>Table1[[#This Row],[Selling Price]]-Table1[[#This Row],[Cost Price]]</f>
        <v>0</v>
      </c>
      <c r="H394" s="32"/>
      <c r="I394" s="36" t="s">
        <v>36</v>
      </c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x14ac:dyDescent="0.25">
      <c r="A395" s="31"/>
      <c r="B395" s="32"/>
      <c r="C395" s="32"/>
      <c r="D395" s="32"/>
      <c r="E395" s="39"/>
      <c r="F395" s="34"/>
      <c r="G395" s="35">
        <f>Table1[[#This Row],[Selling Price]]-Table1[[#This Row],[Cost Price]]</f>
        <v>0</v>
      </c>
      <c r="H395" s="32"/>
      <c r="I395" s="36" t="s">
        <v>36</v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x14ac:dyDescent="0.25">
      <c r="A396" s="31"/>
      <c r="B396" s="32"/>
      <c r="C396" s="32"/>
      <c r="D396" s="32"/>
      <c r="E396" s="39"/>
      <c r="F396" s="34"/>
      <c r="G396" s="35">
        <f>Table1[[#This Row],[Selling Price]]-Table1[[#This Row],[Cost Price]]</f>
        <v>0</v>
      </c>
      <c r="H396" s="32"/>
      <c r="I396" s="36" t="s">
        <v>36</v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x14ac:dyDescent="0.25">
      <c r="A397" s="31"/>
      <c r="B397" s="32"/>
      <c r="C397" s="32"/>
      <c r="D397" s="32"/>
      <c r="E397" s="39"/>
      <c r="F397" s="34"/>
      <c r="G397" s="35">
        <f>Table1[[#This Row],[Selling Price]]-Table1[[#This Row],[Cost Price]]</f>
        <v>0</v>
      </c>
      <c r="H397" s="32"/>
      <c r="I397" s="36" t="s">
        <v>36</v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x14ac:dyDescent="0.25">
      <c r="A398" s="31"/>
      <c r="B398" s="32"/>
      <c r="C398" s="32"/>
      <c r="D398" s="32"/>
      <c r="E398" s="39"/>
      <c r="F398" s="34"/>
      <c r="G398" s="35">
        <f>Table1[[#This Row],[Selling Price]]-Table1[[#This Row],[Cost Price]]</f>
        <v>0</v>
      </c>
      <c r="H398" s="32"/>
      <c r="I398" s="36" t="s">
        <v>36</v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x14ac:dyDescent="0.25">
      <c r="A399" s="31"/>
      <c r="B399" s="32"/>
      <c r="C399" s="32"/>
      <c r="D399" s="32"/>
      <c r="E399" s="39"/>
      <c r="F399" s="34"/>
      <c r="G399" s="35">
        <f>Table1[[#This Row],[Selling Price]]-Table1[[#This Row],[Cost Price]]</f>
        <v>0</v>
      </c>
      <c r="H399" s="32"/>
      <c r="I399" s="36" t="s">
        <v>36</v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x14ac:dyDescent="0.25">
      <c r="A400" s="31"/>
      <c r="B400" s="32"/>
      <c r="C400" s="32"/>
      <c r="D400" s="32"/>
      <c r="E400" s="39"/>
      <c r="F400" s="34"/>
      <c r="G400" s="35">
        <f>Table1[[#This Row],[Selling Price]]-Table1[[#This Row],[Cost Price]]</f>
        <v>0</v>
      </c>
      <c r="H400" s="32"/>
      <c r="I400" s="36" t="s">
        <v>36</v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x14ac:dyDescent="0.25">
      <c r="A401" s="31"/>
      <c r="B401" s="32"/>
      <c r="C401" s="32"/>
      <c r="D401" s="32"/>
      <c r="E401" s="39"/>
      <c r="F401" s="34"/>
      <c r="G401" s="35">
        <f>Table1[[#This Row],[Selling Price]]-Table1[[#This Row],[Cost Price]]</f>
        <v>0</v>
      </c>
      <c r="H401" s="32"/>
      <c r="I401" s="36" t="s">
        <v>36</v>
      </c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x14ac:dyDescent="0.25">
      <c r="A402" s="31"/>
      <c r="B402" s="32"/>
      <c r="C402" s="32"/>
      <c r="D402" s="32"/>
      <c r="E402" s="39"/>
      <c r="F402" s="34"/>
      <c r="G402" s="35">
        <f>Table1[[#This Row],[Selling Price]]-Table1[[#This Row],[Cost Price]]</f>
        <v>0</v>
      </c>
      <c r="H402" s="32"/>
      <c r="I402" s="36" t="s">
        <v>36</v>
      </c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x14ac:dyDescent="0.25">
      <c r="A403" s="31"/>
      <c r="B403" s="32"/>
      <c r="C403" s="32"/>
      <c r="D403" s="32"/>
      <c r="E403" s="39"/>
      <c r="F403" s="34"/>
      <c r="G403" s="35">
        <f>Table1[[#This Row],[Selling Price]]-Table1[[#This Row],[Cost Price]]</f>
        <v>0</v>
      </c>
      <c r="H403" s="32"/>
      <c r="I403" s="36" t="s">
        <v>36</v>
      </c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x14ac:dyDescent="0.25">
      <c r="A404" s="31"/>
      <c r="B404" s="32"/>
      <c r="C404" s="32"/>
      <c r="D404" s="32"/>
      <c r="E404" s="39"/>
      <c r="F404" s="34"/>
      <c r="G404" s="35">
        <f>Table1[[#This Row],[Selling Price]]-Table1[[#This Row],[Cost Price]]</f>
        <v>0</v>
      </c>
      <c r="H404" s="32"/>
      <c r="I404" s="36" t="s">
        <v>36</v>
      </c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x14ac:dyDescent="0.25">
      <c r="A405" s="31"/>
      <c r="B405" s="32"/>
      <c r="C405" s="32"/>
      <c r="D405" s="32"/>
      <c r="E405" s="39"/>
      <c r="F405" s="34"/>
      <c r="G405" s="35">
        <f>Table1[[#This Row],[Selling Price]]-Table1[[#This Row],[Cost Price]]</f>
        <v>0</v>
      </c>
      <c r="H405" s="32"/>
      <c r="I405" s="36" t="s">
        <v>36</v>
      </c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x14ac:dyDescent="0.25">
      <c r="A406" s="31"/>
      <c r="B406" s="32"/>
      <c r="C406" s="32"/>
      <c r="D406" s="32"/>
      <c r="E406" s="39"/>
      <c r="F406" s="34"/>
      <c r="G406" s="35">
        <f>Table1[[#This Row],[Selling Price]]-Table1[[#This Row],[Cost Price]]</f>
        <v>0</v>
      </c>
      <c r="H406" s="32"/>
      <c r="I406" s="36" t="s">
        <v>36</v>
      </c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x14ac:dyDescent="0.25">
      <c r="A407" s="31"/>
      <c r="B407" s="32"/>
      <c r="C407" s="32"/>
      <c r="D407" s="32"/>
      <c r="E407" s="39"/>
      <c r="F407" s="34"/>
      <c r="G407" s="35">
        <f>Table1[[#This Row],[Selling Price]]-Table1[[#This Row],[Cost Price]]</f>
        <v>0</v>
      </c>
      <c r="H407" s="32"/>
      <c r="I407" s="36" t="s">
        <v>36</v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x14ac:dyDescent="0.25">
      <c r="A408" s="31"/>
      <c r="B408" s="32"/>
      <c r="C408" s="32"/>
      <c r="D408" s="32"/>
      <c r="E408" s="39"/>
      <c r="F408" s="34"/>
      <c r="G408" s="35">
        <f>Table1[[#This Row],[Selling Price]]-Table1[[#This Row],[Cost Price]]</f>
        <v>0</v>
      </c>
      <c r="H408" s="32"/>
      <c r="I408" s="36" t="s">
        <v>36</v>
      </c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x14ac:dyDescent="0.25">
      <c r="A409" s="31"/>
      <c r="B409" s="32"/>
      <c r="C409" s="32"/>
      <c r="D409" s="32"/>
      <c r="E409" s="39"/>
      <c r="F409" s="34"/>
      <c r="G409" s="35">
        <f>Table1[[#This Row],[Selling Price]]-Table1[[#This Row],[Cost Price]]</f>
        <v>0</v>
      </c>
      <c r="H409" s="32"/>
      <c r="I409" s="36" t="s">
        <v>36</v>
      </c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x14ac:dyDescent="0.25">
      <c r="A410" s="31"/>
      <c r="B410" s="32"/>
      <c r="C410" s="32"/>
      <c r="D410" s="32"/>
      <c r="E410" s="39"/>
      <c r="F410" s="34"/>
      <c r="G410" s="35">
        <f>Table1[[#This Row],[Selling Price]]-Table1[[#This Row],[Cost Price]]</f>
        <v>0</v>
      </c>
      <c r="H410" s="32"/>
      <c r="I410" s="36" t="s">
        <v>36</v>
      </c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x14ac:dyDescent="0.25">
      <c r="A411" s="31"/>
      <c r="B411" s="32"/>
      <c r="C411" s="32"/>
      <c r="D411" s="32"/>
      <c r="E411" s="39"/>
      <c r="F411" s="34"/>
      <c r="G411" s="35">
        <f>Table1[[#This Row],[Selling Price]]-Table1[[#This Row],[Cost Price]]</f>
        <v>0</v>
      </c>
      <c r="H411" s="32"/>
      <c r="I411" s="36" t="s">
        <v>36</v>
      </c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x14ac:dyDescent="0.25">
      <c r="A412" s="31"/>
      <c r="B412" s="32"/>
      <c r="C412" s="32"/>
      <c r="D412" s="32"/>
      <c r="E412" s="39"/>
      <c r="F412" s="34"/>
      <c r="G412" s="35">
        <f>Table1[[#This Row],[Selling Price]]-Table1[[#This Row],[Cost Price]]</f>
        <v>0</v>
      </c>
      <c r="H412" s="32"/>
      <c r="I412" s="36" t="s">
        <v>36</v>
      </c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x14ac:dyDescent="0.25">
      <c r="A413" s="31"/>
      <c r="B413" s="32"/>
      <c r="C413" s="32"/>
      <c r="D413" s="32"/>
      <c r="E413" s="39"/>
      <c r="F413" s="34"/>
      <c r="G413" s="35">
        <f>Table1[[#This Row],[Selling Price]]-Table1[[#This Row],[Cost Price]]</f>
        <v>0</v>
      </c>
      <c r="H413" s="32"/>
      <c r="I413" s="36" t="s">
        <v>36</v>
      </c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x14ac:dyDescent="0.25">
      <c r="A414" s="31"/>
      <c r="B414" s="32"/>
      <c r="C414" s="32"/>
      <c r="D414" s="32"/>
      <c r="E414" s="39"/>
      <c r="F414" s="34"/>
      <c r="G414" s="35">
        <f>Table1[[#This Row],[Selling Price]]-Table1[[#This Row],[Cost Price]]</f>
        <v>0</v>
      </c>
      <c r="H414" s="32"/>
      <c r="I414" s="36" t="s">
        <v>36</v>
      </c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x14ac:dyDescent="0.25">
      <c r="A415" s="31"/>
      <c r="B415" s="32"/>
      <c r="C415" s="32"/>
      <c r="D415" s="32"/>
      <c r="E415" s="39"/>
      <c r="F415" s="34"/>
      <c r="G415" s="35">
        <f>Table1[[#This Row],[Selling Price]]-Table1[[#This Row],[Cost Price]]</f>
        <v>0</v>
      </c>
      <c r="H415" s="32"/>
      <c r="I415" s="36" t="s">
        <v>36</v>
      </c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x14ac:dyDescent="0.25">
      <c r="A416" s="31"/>
      <c r="B416" s="32"/>
      <c r="C416" s="32"/>
      <c r="D416" s="32"/>
      <c r="E416" s="39"/>
      <c r="F416" s="34"/>
      <c r="G416" s="35">
        <f>Table1[[#This Row],[Selling Price]]-Table1[[#This Row],[Cost Price]]</f>
        <v>0</v>
      </c>
      <c r="H416" s="32"/>
      <c r="I416" s="36" t="s">
        <v>36</v>
      </c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x14ac:dyDescent="0.25">
      <c r="A417" s="31"/>
      <c r="B417" s="32"/>
      <c r="C417" s="32"/>
      <c r="D417" s="32"/>
      <c r="E417" s="39"/>
      <c r="F417" s="34"/>
      <c r="G417" s="35">
        <f>Table1[[#This Row],[Selling Price]]-Table1[[#This Row],[Cost Price]]</f>
        <v>0</v>
      </c>
      <c r="H417" s="32"/>
      <c r="I417" s="36" t="s">
        <v>36</v>
      </c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x14ac:dyDescent="0.25">
      <c r="A418" s="31"/>
      <c r="B418" s="32"/>
      <c r="C418" s="32"/>
      <c r="D418" s="32"/>
      <c r="E418" s="39"/>
      <c r="F418" s="34"/>
      <c r="G418" s="35">
        <f>Table1[[#This Row],[Selling Price]]-Table1[[#This Row],[Cost Price]]</f>
        <v>0</v>
      </c>
      <c r="H418" s="32"/>
      <c r="I418" s="36" t="s">
        <v>36</v>
      </c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x14ac:dyDescent="0.25">
      <c r="A419" s="31"/>
      <c r="B419" s="32"/>
      <c r="C419" s="32"/>
      <c r="D419" s="32"/>
      <c r="E419" s="39"/>
      <c r="F419" s="34"/>
      <c r="G419" s="35">
        <f>Table1[[#This Row],[Selling Price]]-Table1[[#This Row],[Cost Price]]</f>
        <v>0</v>
      </c>
      <c r="H419" s="32"/>
      <c r="I419" s="36" t="s">
        <v>36</v>
      </c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x14ac:dyDescent="0.25">
      <c r="A420" s="31"/>
      <c r="B420" s="32"/>
      <c r="C420" s="32"/>
      <c r="D420" s="32"/>
      <c r="E420" s="39"/>
      <c r="F420" s="34"/>
      <c r="G420" s="35">
        <f>Table1[[#This Row],[Selling Price]]-Table1[[#This Row],[Cost Price]]</f>
        <v>0</v>
      </c>
      <c r="H420" s="32"/>
      <c r="I420" s="36" t="s">
        <v>36</v>
      </c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x14ac:dyDescent="0.25">
      <c r="A421" s="31"/>
      <c r="B421" s="32"/>
      <c r="C421" s="32"/>
      <c r="D421" s="32"/>
      <c r="E421" s="39"/>
      <c r="F421" s="34"/>
      <c r="G421" s="35">
        <f>Table1[[#This Row],[Selling Price]]-Table1[[#This Row],[Cost Price]]</f>
        <v>0</v>
      </c>
      <c r="H421" s="32"/>
      <c r="I421" s="36" t="s">
        <v>36</v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x14ac:dyDescent="0.25">
      <c r="A422" s="31"/>
      <c r="B422" s="32"/>
      <c r="C422" s="32"/>
      <c r="D422" s="32"/>
      <c r="E422" s="39"/>
      <c r="F422" s="34"/>
      <c r="G422" s="35">
        <f>Table1[[#This Row],[Selling Price]]-Table1[[#This Row],[Cost Price]]</f>
        <v>0</v>
      </c>
      <c r="H422" s="32"/>
      <c r="I422" s="36" t="s">
        <v>36</v>
      </c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x14ac:dyDescent="0.25">
      <c r="A423" s="31"/>
      <c r="B423" s="32"/>
      <c r="C423" s="32"/>
      <c r="D423" s="32"/>
      <c r="E423" s="39"/>
      <c r="F423" s="34"/>
      <c r="G423" s="35">
        <f>Table1[[#This Row],[Selling Price]]-Table1[[#This Row],[Cost Price]]</f>
        <v>0</v>
      </c>
      <c r="H423" s="32"/>
      <c r="I423" s="36" t="s">
        <v>36</v>
      </c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x14ac:dyDescent="0.25">
      <c r="A424" s="31"/>
      <c r="B424" s="32"/>
      <c r="C424" s="32"/>
      <c r="D424" s="32"/>
      <c r="E424" s="39"/>
      <c r="F424" s="34"/>
      <c r="G424" s="35">
        <f>Table1[[#This Row],[Selling Price]]-Table1[[#This Row],[Cost Price]]</f>
        <v>0</v>
      </c>
      <c r="H424" s="32"/>
      <c r="I424" s="36" t="s">
        <v>36</v>
      </c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x14ac:dyDescent="0.25">
      <c r="A425" s="31"/>
      <c r="B425" s="32"/>
      <c r="C425" s="32"/>
      <c r="D425" s="32"/>
      <c r="E425" s="39"/>
      <c r="F425" s="34"/>
      <c r="G425" s="35">
        <f>Table1[[#This Row],[Selling Price]]-Table1[[#This Row],[Cost Price]]</f>
        <v>0</v>
      </c>
      <c r="H425" s="32"/>
      <c r="I425" s="36" t="s">
        <v>36</v>
      </c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x14ac:dyDescent="0.25">
      <c r="A426" s="31"/>
      <c r="B426" s="32"/>
      <c r="C426" s="32"/>
      <c r="D426" s="32"/>
      <c r="E426" s="39"/>
      <c r="F426" s="34"/>
      <c r="G426" s="35">
        <f>Table1[[#This Row],[Selling Price]]-Table1[[#This Row],[Cost Price]]</f>
        <v>0</v>
      </c>
      <c r="H426" s="32"/>
      <c r="I426" s="36" t="s">
        <v>36</v>
      </c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x14ac:dyDescent="0.25">
      <c r="A427" s="31"/>
      <c r="B427" s="32"/>
      <c r="C427" s="32"/>
      <c r="D427" s="32"/>
      <c r="E427" s="39"/>
      <c r="F427" s="34"/>
      <c r="G427" s="35">
        <f>Table1[[#This Row],[Selling Price]]-Table1[[#This Row],[Cost Price]]</f>
        <v>0</v>
      </c>
      <c r="H427" s="32"/>
      <c r="I427" s="36" t="s">
        <v>36</v>
      </c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x14ac:dyDescent="0.25">
      <c r="A428" s="31"/>
      <c r="B428" s="32"/>
      <c r="C428" s="32"/>
      <c r="D428" s="32"/>
      <c r="E428" s="39"/>
      <c r="F428" s="34"/>
      <c r="G428" s="35">
        <f>Table1[[#This Row],[Selling Price]]-Table1[[#This Row],[Cost Price]]</f>
        <v>0</v>
      </c>
      <c r="H428" s="32"/>
      <c r="I428" s="36" t="s">
        <v>36</v>
      </c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x14ac:dyDescent="0.25">
      <c r="A429" s="31"/>
      <c r="B429" s="32"/>
      <c r="C429" s="32"/>
      <c r="D429" s="32"/>
      <c r="E429" s="39"/>
      <c r="F429" s="34"/>
      <c r="G429" s="35">
        <f>Table1[[#This Row],[Selling Price]]-Table1[[#This Row],[Cost Price]]</f>
        <v>0</v>
      </c>
      <c r="H429" s="32"/>
      <c r="I429" s="36" t="s">
        <v>36</v>
      </c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x14ac:dyDescent="0.25">
      <c r="A430" s="31"/>
      <c r="B430" s="32"/>
      <c r="C430" s="32"/>
      <c r="D430" s="32"/>
      <c r="E430" s="39"/>
      <c r="F430" s="34"/>
      <c r="G430" s="35">
        <f>Table1[[#This Row],[Selling Price]]-Table1[[#This Row],[Cost Price]]</f>
        <v>0</v>
      </c>
      <c r="H430" s="32"/>
      <c r="I430" s="36" t="s">
        <v>36</v>
      </c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x14ac:dyDescent="0.25">
      <c r="A431" s="31"/>
      <c r="B431" s="32"/>
      <c r="C431" s="32"/>
      <c r="D431" s="32"/>
      <c r="E431" s="39"/>
      <c r="F431" s="34"/>
      <c r="G431" s="35">
        <f>Table1[[#This Row],[Selling Price]]-Table1[[#This Row],[Cost Price]]</f>
        <v>0</v>
      </c>
      <c r="H431" s="32"/>
      <c r="I431" s="36" t="s">
        <v>36</v>
      </c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x14ac:dyDescent="0.25">
      <c r="A432" s="31"/>
      <c r="B432" s="32"/>
      <c r="C432" s="32"/>
      <c r="D432" s="32"/>
      <c r="E432" s="39"/>
      <c r="F432" s="34"/>
      <c r="G432" s="35">
        <f>Table1[[#This Row],[Selling Price]]-Table1[[#This Row],[Cost Price]]</f>
        <v>0</v>
      </c>
      <c r="H432" s="32"/>
      <c r="I432" s="36" t="s">
        <v>36</v>
      </c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x14ac:dyDescent="0.25">
      <c r="A433" s="31"/>
      <c r="B433" s="32"/>
      <c r="C433" s="32"/>
      <c r="D433" s="32"/>
      <c r="E433" s="39"/>
      <c r="F433" s="34"/>
      <c r="G433" s="35">
        <f>Table1[[#This Row],[Selling Price]]-Table1[[#This Row],[Cost Price]]</f>
        <v>0</v>
      </c>
      <c r="H433" s="32"/>
      <c r="I433" s="36" t="s">
        <v>36</v>
      </c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x14ac:dyDescent="0.25">
      <c r="A434" s="31"/>
      <c r="B434" s="32"/>
      <c r="C434" s="32"/>
      <c r="D434" s="32"/>
      <c r="E434" s="39"/>
      <c r="F434" s="34"/>
      <c r="G434" s="35">
        <f>Table1[[#This Row],[Selling Price]]-Table1[[#This Row],[Cost Price]]</f>
        <v>0</v>
      </c>
      <c r="H434" s="32"/>
      <c r="I434" s="36" t="s">
        <v>36</v>
      </c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x14ac:dyDescent="0.25">
      <c r="A435" s="31"/>
      <c r="B435" s="32"/>
      <c r="C435" s="32"/>
      <c r="D435" s="32"/>
      <c r="E435" s="39"/>
      <c r="F435" s="34"/>
      <c r="G435" s="35">
        <f>Table1[[#This Row],[Selling Price]]-Table1[[#This Row],[Cost Price]]</f>
        <v>0</v>
      </c>
      <c r="H435" s="32"/>
      <c r="I435" s="36" t="s">
        <v>36</v>
      </c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x14ac:dyDescent="0.25">
      <c r="A436" s="31"/>
      <c r="B436" s="32"/>
      <c r="C436" s="32"/>
      <c r="D436" s="32"/>
      <c r="E436" s="39"/>
      <c r="F436" s="34"/>
      <c r="G436" s="35">
        <f>Table1[[#This Row],[Selling Price]]-Table1[[#This Row],[Cost Price]]</f>
        <v>0</v>
      </c>
      <c r="H436" s="32"/>
      <c r="I436" s="36" t="s">
        <v>36</v>
      </c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x14ac:dyDescent="0.25">
      <c r="A437" s="31"/>
      <c r="B437" s="32"/>
      <c r="C437" s="32"/>
      <c r="D437" s="32"/>
      <c r="E437" s="39"/>
      <c r="F437" s="34"/>
      <c r="G437" s="35">
        <f>Table1[[#This Row],[Selling Price]]-Table1[[#This Row],[Cost Price]]</f>
        <v>0</v>
      </c>
      <c r="H437" s="32"/>
      <c r="I437" s="36" t="s">
        <v>36</v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x14ac:dyDescent="0.25">
      <c r="A438" s="31"/>
      <c r="B438" s="32"/>
      <c r="C438" s="32"/>
      <c r="D438" s="32"/>
      <c r="E438" s="39"/>
      <c r="F438" s="34"/>
      <c r="G438" s="35">
        <f>Table1[[#This Row],[Selling Price]]-Table1[[#This Row],[Cost Price]]</f>
        <v>0</v>
      </c>
      <c r="H438" s="32"/>
      <c r="I438" s="36" t="s">
        <v>36</v>
      </c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x14ac:dyDescent="0.25">
      <c r="A439" s="31"/>
      <c r="B439" s="32"/>
      <c r="C439" s="32"/>
      <c r="D439" s="32"/>
      <c r="E439" s="39"/>
      <c r="F439" s="34"/>
      <c r="G439" s="35">
        <f>Table1[[#This Row],[Selling Price]]-Table1[[#This Row],[Cost Price]]</f>
        <v>0</v>
      </c>
      <c r="H439" s="32"/>
      <c r="I439" s="36" t="s">
        <v>36</v>
      </c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x14ac:dyDescent="0.25">
      <c r="A440" s="31"/>
      <c r="B440" s="32"/>
      <c r="C440" s="32"/>
      <c r="D440" s="32"/>
      <c r="E440" s="39"/>
      <c r="F440" s="34"/>
      <c r="G440" s="35">
        <f>Table1[[#This Row],[Selling Price]]-Table1[[#This Row],[Cost Price]]</f>
        <v>0</v>
      </c>
      <c r="H440" s="32"/>
      <c r="I440" s="36" t="s">
        <v>36</v>
      </c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x14ac:dyDescent="0.25">
      <c r="A441" s="31"/>
      <c r="B441" s="32"/>
      <c r="C441" s="32"/>
      <c r="D441" s="32"/>
      <c r="E441" s="39"/>
      <c r="F441" s="34"/>
      <c r="G441" s="35">
        <f>Table1[[#This Row],[Selling Price]]-Table1[[#This Row],[Cost Price]]</f>
        <v>0</v>
      </c>
      <c r="H441" s="32"/>
      <c r="I441" s="36" t="s">
        <v>36</v>
      </c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x14ac:dyDescent="0.25">
      <c r="A442" s="31"/>
      <c r="B442" s="32"/>
      <c r="C442" s="32"/>
      <c r="D442" s="32"/>
      <c r="E442" s="39"/>
      <c r="F442" s="34"/>
      <c r="G442" s="35">
        <f>Table1[[#This Row],[Selling Price]]-Table1[[#This Row],[Cost Price]]</f>
        <v>0</v>
      </c>
      <c r="H442" s="32"/>
      <c r="I442" s="36" t="s">
        <v>36</v>
      </c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x14ac:dyDescent="0.25">
      <c r="A443" s="31"/>
      <c r="B443" s="32"/>
      <c r="C443" s="32"/>
      <c r="D443" s="32"/>
      <c r="E443" s="39"/>
      <c r="F443" s="34"/>
      <c r="G443" s="35">
        <f>Table1[[#This Row],[Selling Price]]-Table1[[#This Row],[Cost Price]]</f>
        <v>0</v>
      </c>
      <c r="H443" s="32"/>
      <c r="I443" s="36" t="s">
        <v>36</v>
      </c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x14ac:dyDescent="0.25">
      <c r="A444" s="31"/>
      <c r="B444" s="32"/>
      <c r="C444" s="32"/>
      <c r="D444" s="32"/>
      <c r="E444" s="39"/>
      <c r="F444" s="34"/>
      <c r="G444" s="35">
        <f>Table1[[#This Row],[Selling Price]]-Table1[[#This Row],[Cost Price]]</f>
        <v>0</v>
      </c>
      <c r="H444" s="32"/>
      <c r="I444" s="36" t="s">
        <v>36</v>
      </c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x14ac:dyDescent="0.25">
      <c r="A445" s="31"/>
      <c r="B445" s="32"/>
      <c r="C445" s="32"/>
      <c r="D445" s="32"/>
      <c r="E445" s="39"/>
      <c r="F445" s="34"/>
      <c r="G445" s="35">
        <f>Table1[[#This Row],[Selling Price]]-Table1[[#This Row],[Cost Price]]</f>
        <v>0</v>
      </c>
      <c r="H445" s="32"/>
      <c r="I445" s="36" t="s">
        <v>36</v>
      </c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x14ac:dyDescent="0.25">
      <c r="A446" s="31"/>
      <c r="B446" s="32"/>
      <c r="C446" s="32"/>
      <c r="D446" s="32"/>
      <c r="E446" s="39"/>
      <c r="F446" s="34"/>
      <c r="G446" s="35">
        <f>Table1[[#This Row],[Selling Price]]-Table1[[#This Row],[Cost Price]]</f>
        <v>0</v>
      </c>
      <c r="H446" s="32"/>
      <c r="I446" s="36" t="s">
        <v>36</v>
      </c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x14ac:dyDescent="0.25">
      <c r="A447" s="31"/>
      <c r="B447" s="32"/>
      <c r="C447" s="32"/>
      <c r="D447" s="32"/>
      <c r="E447" s="39"/>
      <c r="F447" s="34"/>
      <c r="G447" s="35">
        <f>Table1[[#This Row],[Selling Price]]-Table1[[#This Row],[Cost Price]]</f>
        <v>0</v>
      </c>
      <c r="H447" s="32"/>
      <c r="I447" s="36" t="s">
        <v>36</v>
      </c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x14ac:dyDescent="0.25">
      <c r="A448" s="31"/>
      <c r="B448" s="32"/>
      <c r="C448" s="32"/>
      <c r="D448" s="32"/>
      <c r="E448" s="39"/>
      <c r="F448" s="34"/>
      <c r="G448" s="35">
        <f>Table1[[#This Row],[Selling Price]]-Table1[[#This Row],[Cost Price]]</f>
        <v>0</v>
      </c>
      <c r="H448" s="32"/>
      <c r="I448" s="36" t="s">
        <v>36</v>
      </c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x14ac:dyDescent="0.25">
      <c r="A449" s="31"/>
      <c r="B449" s="32"/>
      <c r="C449" s="32"/>
      <c r="D449" s="32"/>
      <c r="E449" s="39"/>
      <c r="F449" s="34"/>
      <c r="G449" s="35">
        <f>Table1[[#This Row],[Selling Price]]-Table1[[#This Row],[Cost Price]]</f>
        <v>0</v>
      </c>
      <c r="H449" s="32"/>
      <c r="I449" s="36" t="s">
        <v>36</v>
      </c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x14ac:dyDescent="0.25">
      <c r="A450" s="31"/>
      <c r="B450" s="32"/>
      <c r="C450" s="32"/>
      <c r="D450" s="32"/>
      <c r="E450" s="39"/>
      <c r="F450" s="34"/>
      <c r="G450" s="35">
        <f>Table1[[#This Row],[Selling Price]]-Table1[[#This Row],[Cost Price]]</f>
        <v>0</v>
      </c>
      <c r="H450" s="32"/>
      <c r="I450" s="36" t="s">
        <v>36</v>
      </c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x14ac:dyDescent="0.25">
      <c r="A451" s="31"/>
      <c r="B451" s="32"/>
      <c r="C451" s="32"/>
      <c r="D451" s="32"/>
      <c r="E451" s="39"/>
      <c r="F451" s="34"/>
      <c r="G451" s="35">
        <f>Table1[[#This Row],[Selling Price]]-Table1[[#This Row],[Cost Price]]</f>
        <v>0</v>
      </c>
      <c r="H451" s="32"/>
      <c r="I451" s="36" t="s">
        <v>36</v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x14ac:dyDescent="0.25">
      <c r="A452" s="31"/>
      <c r="B452" s="32"/>
      <c r="C452" s="32"/>
      <c r="D452" s="32"/>
      <c r="E452" s="39"/>
      <c r="F452" s="34"/>
      <c r="G452" s="35">
        <f>Table1[[#This Row],[Selling Price]]-Table1[[#This Row],[Cost Price]]</f>
        <v>0</v>
      </c>
      <c r="H452" s="32"/>
      <c r="I452" s="36" t="s">
        <v>36</v>
      </c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x14ac:dyDescent="0.25">
      <c r="A453" s="31"/>
      <c r="B453" s="32"/>
      <c r="C453" s="32"/>
      <c r="D453" s="32"/>
      <c r="E453" s="39"/>
      <c r="F453" s="34"/>
      <c r="G453" s="35">
        <f>Table1[[#This Row],[Selling Price]]-Table1[[#This Row],[Cost Price]]</f>
        <v>0</v>
      </c>
      <c r="H453" s="32"/>
      <c r="I453" s="36" t="s">
        <v>36</v>
      </c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x14ac:dyDescent="0.25">
      <c r="A454" s="31"/>
      <c r="B454" s="32"/>
      <c r="C454" s="32"/>
      <c r="D454" s="32"/>
      <c r="E454" s="39"/>
      <c r="F454" s="34"/>
      <c r="G454" s="35">
        <f>Table1[[#This Row],[Selling Price]]-Table1[[#This Row],[Cost Price]]</f>
        <v>0</v>
      </c>
      <c r="H454" s="32"/>
      <c r="I454" s="36" t="s">
        <v>36</v>
      </c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x14ac:dyDescent="0.25">
      <c r="A455" s="31"/>
      <c r="B455" s="32"/>
      <c r="C455" s="32"/>
      <c r="D455" s="32"/>
      <c r="E455" s="39"/>
      <c r="F455" s="34"/>
      <c r="G455" s="35">
        <f>Table1[[#This Row],[Selling Price]]-Table1[[#This Row],[Cost Price]]</f>
        <v>0</v>
      </c>
      <c r="H455" s="32"/>
      <c r="I455" s="36" t="s">
        <v>36</v>
      </c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x14ac:dyDescent="0.25">
      <c r="A456" s="31"/>
      <c r="B456" s="32"/>
      <c r="C456" s="32"/>
      <c r="D456" s="32"/>
      <c r="E456" s="39"/>
      <c r="F456" s="34"/>
      <c r="G456" s="35">
        <f>Table1[[#This Row],[Selling Price]]-Table1[[#This Row],[Cost Price]]</f>
        <v>0</v>
      </c>
      <c r="H456" s="32"/>
      <c r="I456" s="36" t="s">
        <v>36</v>
      </c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x14ac:dyDescent="0.25">
      <c r="A457" s="31"/>
      <c r="B457" s="32"/>
      <c r="C457" s="32"/>
      <c r="D457" s="32"/>
      <c r="E457" s="39"/>
      <c r="F457" s="34"/>
      <c r="G457" s="35">
        <f>Table1[[#This Row],[Selling Price]]-Table1[[#This Row],[Cost Price]]</f>
        <v>0</v>
      </c>
      <c r="H457" s="32"/>
      <c r="I457" s="36" t="s">
        <v>36</v>
      </c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x14ac:dyDescent="0.25">
      <c r="A458" s="31"/>
      <c r="B458" s="32"/>
      <c r="C458" s="32"/>
      <c r="D458" s="32"/>
      <c r="E458" s="39"/>
      <c r="F458" s="34"/>
      <c r="G458" s="35">
        <f>Table1[[#This Row],[Selling Price]]-Table1[[#This Row],[Cost Price]]</f>
        <v>0</v>
      </c>
      <c r="H458" s="32"/>
      <c r="I458" s="36" t="s">
        <v>36</v>
      </c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x14ac:dyDescent="0.25">
      <c r="A459" s="31"/>
      <c r="B459" s="32"/>
      <c r="C459" s="32"/>
      <c r="D459" s="32"/>
      <c r="E459" s="39"/>
      <c r="F459" s="34"/>
      <c r="G459" s="35">
        <f>Table1[[#This Row],[Selling Price]]-Table1[[#This Row],[Cost Price]]</f>
        <v>0</v>
      </c>
      <c r="H459" s="32"/>
      <c r="I459" s="36" t="s">
        <v>36</v>
      </c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x14ac:dyDescent="0.25">
      <c r="A460" s="31"/>
      <c r="B460" s="32"/>
      <c r="C460" s="32"/>
      <c r="D460" s="32"/>
      <c r="E460" s="39"/>
      <c r="F460" s="34"/>
      <c r="G460" s="35">
        <f>Table1[[#This Row],[Selling Price]]-Table1[[#This Row],[Cost Price]]</f>
        <v>0</v>
      </c>
      <c r="H460" s="32"/>
      <c r="I460" s="36" t="s">
        <v>36</v>
      </c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x14ac:dyDescent="0.25">
      <c r="A461" s="31"/>
      <c r="B461" s="32"/>
      <c r="C461" s="32"/>
      <c r="D461" s="32"/>
      <c r="E461" s="39"/>
      <c r="F461" s="34"/>
      <c r="G461" s="35">
        <f>Table1[[#This Row],[Selling Price]]-Table1[[#This Row],[Cost Price]]</f>
        <v>0</v>
      </c>
      <c r="H461" s="32"/>
      <c r="I461" s="36" t="s">
        <v>36</v>
      </c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x14ac:dyDescent="0.25">
      <c r="A462" s="31"/>
      <c r="B462" s="32"/>
      <c r="C462" s="32"/>
      <c r="D462" s="32"/>
      <c r="E462" s="39"/>
      <c r="F462" s="34"/>
      <c r="G462" s="35">
        <f>Table1[[#This Row],[Selling Price]]-Table1[[#This Row],[Cost Price]]</f>
        <v>0</v>
      </c>
      <c r="H462" s="32"/>
      <c r="I462" s="36" t="s">
        <v>36</v>
      </c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x14ac:dyDescent="0.25">
      <c r="A463" s="31"/>
      <c r="B463" s="32"/>
      <c r="C463" s="32"/>
      <c r="D463" s="32"/>
      <c r="E463" s="39"/>
      <c r="F463" s="34"/>
      <c r="G463" s="35">
        <f>Table1[[#This Row],[Selling Price]]-Table1[[#This Row],[Cost Price]]</f>
        <v>0</v>
      </c>
      <c r="H463" s="32"/>
      <c r="I463" s="36" t="s">
        <v>36</v>
      </c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x14ac:dyDescent="0.25">
      <c r="A464" s="31"/>
      <c r="B464" s="32"/>
      <c r="C464" s="32"/>
      <c r="D464" s="32"/>
      <c r="E464" s="39"/>
      <c r="F464" s="34"/>
      <c r="G464" s="35">
        <f>Table1[[#This Row],[Selling Price]]-Table1[[#This Row],[Cost Price]]</f>
        <v>0</v>
      </c>
      <c r="H464" s="32"/>
      <c r="I464" s="36" t="s">
        <v>36</v>
      </c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x14ac:dyDescent="0.25">
      <c r="A465" s="31"/>
      <c r="B465" s="32"/>
      <c r="C465" s="32"/>
      <c r="D465" s="32"/>
      <c r="E465" s="39"/>
      <c r="F465" s="34"/>
      <c r="G465" s="35">
        <f>Table1[[#This Row],[Selling Price]]-Table1[[#This Row],[Cost Price]]</f>
        <v>0</v>
      </c>
      <c r="H465" s="32"/>
      <c r="I465" s="36" t="s">
        <v>36</v>
      </c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x14ac:dyDescent="0.25">
      <c r="A466" s="31"/>
      <c r="B466" s="32"/>
      <c r="C466" s="32"/>
      <c r="D466" s="32"/>
      <c r="E466" s="39"/>
      <c r="F466" s="34"/>
      <c r="G466" s="35">
        <f>Table1[[#This Row],[Selling Price]]-Table1[[#This Row],[Cost Price]]</f>
        <v>0</v>
      </c>
      <c r="H466" s="32"/>
      <c r="I466" s="36" t="s">
        <v>36</v>
      </c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x14ac:dyDescent="0.25">
      <c r="A467" s="31"/>
      <c r="B467" s="32"/>
      <c r="C467" s="32"/>
      <c r="D467" s="32"/>
      <c r="E467" s="39"/>
      <c r="F467" s="34"/>
      <c r="G467" s="35">
        <f>Table1[[#This Row],[Selling Price]]-Table1[[#This Row],[Cost Price]]</f>
        <v>0</v>
      </c>
      <c r="H467" s="32"/>
      <c r="I467" s="36" t="s">
        <v>36</v>
      </c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x14ac:dyDescent="0.25">
      <c r="A468" s="31"/>
      <c r="B468" s="32"/>
      <c r="C468" s="32"/>
      <c r="D468" s="32"/>
      <c r="E468" s="39"/>
      <c r="F468" s="34"/>
      <c r="G468" s="35">
        <f>Table1[[#This Row],[Selling Price]]-Table1[[#This Row],[Cost Price]]</f>
        <v>0</v>
      </c>
      <c r="H468" s="32"/>
      <c r="I468" s="36" t="s">
        <v>36</v>
      </c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x14ac:dyDescent="0.25">
      <c r="A469" s="31"/>
      <c r="B469" s="32"/>
      <c r="C469" s="32"/>
      <c r="D469" s="32"/>
      <c r="E469" s="39"/>
      <c r="F469" s="34"/>
      <c r="G469" s="35">
        <f>Table1[[#This Row],[Selling Price]]-Table1[[#This Row],[Cost Price]]</f>
        <v>0</v>
      </c>
      <c r="H469" s="32"/>
      <c r="I469" s="36" t="s">
        <v>36</v>
      </c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x14ac:dyDescent="0.25">
      <c r="A470" s="31"/>
      <c r="B470" s="32"/>
      <c r="C470" s="32"/>
      <c r="D470" s="32"/>
      <c r="E470" s="39"/>
      <c r="F470" s="34"/>
      <c r="G470" s="35">
        <f>Table1[[#This Row],[Selling Price]]-Table1[[#This Row],[Cost Price]]</f>
        <v>0</v>
      </c>
      <c r="H470" s="32"/>
      <c r="I470" s="36" t="s">
        <v>36</v>
      </c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x14ac:dyDescent="0.25">
      <c r="A471" s="31"/>
      <c r="B471" s="32"/>
      <c r="C471" s="32"/>
      <c r="D471" s="32"/>
      <c r="E471" s="39"/>
      <c r="F471" s="34"/>
      <c r="G471" s="35">
        <f>Table1[[#This Row],[Selling Price]]-Table1[[#This Row],[Cost Price]]</f>
        <v>0</v>
      </c>
      <c r="H471" s="32"/>
      <c r="I471" s="36" t="s">
        <v>36</v>
      </c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x14ac:dyDescent="0.25">
      <c r="A472" s="31"/>
      <c r="B472" s="32"/>
      <c r="C472" s="32"/>
      <c r="D472" s="32"/>
      <c r="E472" s="39"/>
      <c r="F472" s="34"/>
      <c r="G472" s="35">
        <f>Table1[[#This Row],[Selling Price]]-Table1[[#This Row],[Cost Price]]</f>
        <v>0</v>
      </c>
      <c r="H472" s="32"/>
      <c r="I472" s="36" t="s">
        <v>36</v>
      </c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x14ac:dyDescent="0.25">
      <c r="A473" s="31"/>
      <c r="B473" s="32"/>
      <c r="C473" s="32"/>
      <c r="D473" s="32"/>
      <c r="E473" s="39"/>
      <c r="F473" s="34"/>
      <c r="G473" s="35">
        <f>Table1[[#This Row],[Selling Price]]-Table1[[#This Row],[Cost Price]]</f>
        <v>0</v>
      </c>
      <c r="H473" s="32"/>
      <c r="I473" s="36" t="s">
        <v>36</v>
      </c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x14ac:dyDescent="0.25">
      <c r="A474" s="31"/>
      <c r="B474" s="32"/>
      <c r="C474" s="32"/>
      <c r="D474" s="32"/>
      <c r="E474" s="39"/>
      <c r="F474" s="34"/>
      <c r="G474" s="35">
        <f>Table1[[#This Row],[Selling Price]]-Table1[[#This Row],[Cost Price]]</f>
        <v>0</v>
      </c>
      <c r="H474" s="32"/>
      <c r="I474" s="36" t="s">
        <v>36</v>
      </c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x14ac:dyDescent="0.25">
      <c r="A475" s="31"/>
      <c r="B475" s="32"/>
      <c r="C475" s="32"/>
      <c r="D475" s="32"/>
      <c r="E475" s="39"/>
      <c r="F475" s="34"/>
      <c r="G475" s="35">
        <f>Table1[[#This Row],[Selling Price]]-Table1[[#This Row],[Cost Price]]</f>
        <v>0</v>
      </c>
      <c r="H475" s="32"/>
      <c r="I475" s="36" t="s">
        <v>36</v>
      </c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x14ac:dyDescent="0.25">
      <c r="A476" s="31"/>
      <c r="B476" s="32"/>
      <c r="C476" s="32"/>
      <c r="D476" s="32"/>
      <c r="E476" s="39"/>
      <c r="F476" s="34"/>
      <c r="G476" s="35">
        <f>Table1[[#This Row],[Selling Price]]-Table1[[#This Row],[Cost Price]]</f>
        <v>0</v>
      </c>
      <c r="H476" s="32"/>
      <c r="I476" s="36" t="s">
        <v>36</v>
      </c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x14ac:dyDescent="0.25">
      <c r="A477" s="31"/>
      <c r="B477" s="32"/>
      <c r="C477" s="32"/>
      <c r="D477" s="32"/>
      <c r="E477" s="39"/>
      <c r="F477" s="34"/>
      <c r="G477" s="35">
        <f>Table1[[#This Row],[Selling Price]]-Table1[[#This Row],[Cost Price]]</f>
        <v>0</v>
      </c>
      <c r="H477" s="32"/>
      <c r="I477" s="36" t="s">
        <v>36</v>
      </c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x14ac:dyDescent="0.25">
      <c r="A478" s="31"/>
      <c r="B478" s="32"/>
      <c r="C478" s="32"/>
      <c r="D478" s="32"/>
      <c r="E478" s="39"/>
      <c r="F478" s="34"/>
      <c r="G478" s="35">
        <f>Table1[[#This Row],[Selling Price]]-Table1[[#This Row],[Cost Price]]</f>
        <v>0</v>
      </c>
      <c r="H478" s="32"/>
      <c r="I478" s="36" t="s">
        <v>36</v>
      </c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x14ac:dyDescent="0.25">
      <c r="A479" s="31"/>
      <c r="B479" s="32"/>
      <c r="C479" s="32"/>
      <c r="D479" s="32"/>
      <c r="E479" s="39"/>
      <c r="F479" s="34"/>
      <c r="G479" s="35">
        <f>Table1[[#This Row],[Selling Price]]-Table1[[#This Row],[Cost Price]]</f>
        <v>0</v>
      </c>
      <c r="H479" s="32"/>
      <c r="I479" s="36" t="s">
        <v>36</v>
      </c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x14ac:dyDescent="0.25">
      <c r="A480" s="31"/>
      <c r="B480" s="32"/>
      <c r="C480" s="32"/>
      <c r="D480" s="32"/>
      <c r="E480" s="39"/>
      <c r="F480" s="34"/>
      <c r="G480" s="35">
        <f>Table1[[#This Row],[Selling Price]]-Table1[[#This Row],[Cost Price]]</f>
        <v>0</v>
      </c>
      <c r="H480" s="32"/>
      <c r="I480" s="36" t="s">
        <v>36</v>
      </c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x14ac:dyDescent="0.25">
      <c r="A481" s="31"/>
      <c r="B481" s="32"/>
      <c r="C481" s="32"/>
      <c r="D481" s="32"/>
      <c r="E481" s="39"/>
      <c r="F481" s="34"/>
      <c r="G481" s="35">
        <f>Table1[[#This Row],[Selling Price]]-Table1[[#This Row],[Cost Price]]</f>
        <v>0</v>
      </c>
      <c r="H481" s="32"/>
      <c r="I481" s="36" t="s">
        <v>36</v>
      </c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x14ac:dyDescent="0.25">
      <c r="A482" s="31"/>
      <c r="B482" s="32"/>
      <c r="C482" s="32"/>
      <c r="D482" s="32"/>
      <c r="E482" s="39"/>
      <c r="F482" s="34"/>
      <c r="G482" s="35">
        <f>Table1[[#This Row],[Selling Price]]-Table1[[#This Row],[Cost Price]]</f>
        <v>0</v>
      </c>
      <c r="H482" s="32"/>
      <c r="I482" s="36" t="s">
        <v>36</v>
      </c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x14ac:dyDescent="0.25">
      <c r="A483" s="31"/>
      <c r="B483" s="32"/>
      <c r="C483" s="32"/>
      <c r="D483" s="32"/>
      <c r="E483" s="39"/>
      <c r="F483" s="34"/>
      <c r="G483" s="35">
        <f>Table1[[#This Row],[Selling Price]]-Table1[[#This Row],[Cost Price]]</f>
        <v>0</v>
      </c>
      <c r="H483" s="32"/>
      <c r="I483" s="36" t="s">
        <v>36</v>
      </c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x14ac:dyDescent="0.25">
      <c r="A484" s="31"/>
      <c r="B484" s="32"/>
      <c r="C484" s="32"/>
      <c r="D484" s="32"/>
      <c r="E484" s="39"/>
      <c r="F484" s="34"/>
      <c r="G484" s="35">
        <f>Table1[[#This Row],[Selling Price]]-Table1[[#This Row],[Cost Price]]</f>
        <v>0</v>
      </c>
      <c r="H484" s="32"/>
      <c r="I484" s="36" t="s">
        <v>36</v>
      </c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x14ac:dyDescent="0.25">
      <c r="A485" s="31"/>
      <c r="B485" s="32"/>
      <c r="C485" s="32"/>
      <c r="D485" s="32"/>
      <c r="E485" s="39"/>
      <c r="F485" s="34"/>
      <c r="G485" s="35">
        <f>Table1[[#This Row],[Selling Price]]-Table1[[#This Row],[Cost Price]]</f>
        <v>0</v>
      </c>
      <c r="H485" s="32"/>
      <c r="I485" s="36" t="s">
        <v>36</v>
      </c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x14ac:dyDescent="0.25">
      <c r="A486" s="31"/>
      <c r="B486" s="32"/>
      <c r="C486" s="32"/>
      <c r="D486" s="32"/>
      <c r="E486" s="39"/>
      <c r="F486" s="34"/>
      <c r="G486" s="35">
        <f>Table1[[#This Row],[Selling Price]]-Table1[[#This Row],[Cost Price]]</f>
        <v>0</v>
      </c>
      <c r="H486" s="32"/>
      <c r="I486" s="36" t="s">
        <v>36</v>
      </c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x14ac:dyDescent="0.25">
      <c r="A487" s="31"/>
      <c r="B487" s="32"/>
      <c r="C487" s="32"/>
      <c r="D487" s="32"/>
      <c r="E487" s="39"/>
      <c r="F487" s="34"/>
      <c r="G487" s="35">
        <f>Table1[[#This Row],[Selling Price]]-Table1[[#This Row],[Cost Price]]</f>
        <v>0</v>
      </c>
      <c r="H487" s="32"/>
      <c r="I487" s="36" t="s">
        <v>36</v>
      </c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x14ac:dyDescent="0.25">
      <c r="A488" s="31"/>
      <c r="B488" s="32"/>
      <c r="C488" s="32"/>
      <c r="D488" s="32"/>
      <c r="E488" s="39"/>
      <c r="F488" s="34"/>
      <c r="G488" s="35">
        <f>Table1[[#This Row],[Selling Price]]-Table1[[#This Row],[Cost Price]]</f>
        <v>0</v>
      </c>
      <c r="H488" s="32"/>
      <c r="I488" s="36" t="s">
        <v>36</v>
      </c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x14ac:dyDescent="0.25">
      <c r="A489" s="31"/>
      <c r="B489" s="32"/>
      <c r="C489" s="32"/>
      <c r="D489" s="32"/>
      <c r="E489" s="39"/>
      <c r="F489" s="34"/>
      <c r="G489" s="35">
        <f>Table1[[#This Row],[Selling Price]]-Table1[[#This Row],[Cost Price]]</f>
        <v>0</v>
      </c>
      <c r="H489" s="32"/>
      <c r="I489" s="36" t="s">
        <v>36</v>
      </c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x14ac:dyDescent="0.25">
      <c r="A490" s="31"/>
      <c r="B490" s="32"/>
      <c r="C490" s="32"/>
      <c r="D490" s="32"/>
      <c r="E490" s="39"/>
      <c r="F490" s="34"/>
      <c r="G490" s="35">
        <f>Table1[[#This Row],[Selling Price]]-Table1[[#This Row],[Cost Price]]</f>
        <v>0</v>
      </c>
      <c r="H490" s="32"/>
      <c r="I490" s="36" t="s">
        <v>36</v>
      </c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x14ac:dyDescent="0.25">
      <c r="A491" s="31"/>
      <c r="B491" s="32"/>
      <c r="C491" s="32"/>
      <c r="D491" s="32"/>
      <c r="E491" s="39"/>
      <c r="F491" s="34"/>
      <c r="G491" s="35">
        <f>Table1[[#This Row],[Selling Price]]-Table1[[#This Row],[Cost Price]]</f>
        <v>0</v>
      </c>
      <c r="H491" s="32"/>
      <c r="I491" s="36" t="s">
        <v>36</v>
      </c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x14ac:dyDescent="0.25">
      <c r="A492" s="31"/>
      <c r="B492" s="32"/>
      <c r="C492" s="32"/>
      <c r="D492" s="32"/>
      <c r="E492" s="39"/>
      <c r="F492" s="34"/>
      <c r="G492" s="35">
        <f>Table1[[#This Row],[Selling Price]]-Table1[[#This Row],[Cost Price]]</f>
        <v>0</v>
      </c>
      <c r="H492" s="32"/>
      <c r="I492" s="36" t="s">
        <v>36</v>
      </c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x14ac:dyDescent="0.25">
      <c r="A493" s="31"/>
      <c r="B493" s="32"/>
      <c r="C493" s="32"/>
      <c r="D493" s="32"/>
      <c r="E493" s="39"/>
      <c r="F493" s="34"/>
      <c r="G493" s="35">
        <f>Table1[[#This Row],[Selling Price]]-Table1[[#This Row],[Cost Price]]</f>
        <v>0</v>
      </c>
      <c r="H493" s="32"/>
      <c r="I493" s="36" t="s">
        <v>36</v>
      </c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x14ac:dyDescent="0.25">
      <c r="A494" s="31"/>
      <c r="B494" s="32"/>
      <c r="C494" s="32"/>
      <c r="D494" s="32"/>
      <c r="E494" s="39"/>
      <c r="F494" s="34"/>
      <c r="G494" s="35">
        <f>Table1[[#This Row],[Selling Price]]-Table1[[#This Row],[Cost Price]]</f>
        <v>0</v>
      </c>
      <c r="H494" s="32"/>
      <c r="I494" s="36" t="s">
        <v>36</v>
      </c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x14ac:dyDescent="0.25">
      <c r="A495" s="31"/>
      <c r="B495" s="32"/>
      <c r="C495" s="32"/>
      <c r="D495" s="32"/>
      <c r="E495" s="39"/>
      <c r="F495" s="34"/>
      <c r="G495" s="35">
        <f>Table1[[#This Row],[Selling Price]]-Table1[[#This Row],[Cost Price]]</f>
        <v>0</v>
      </c>
      <c r="H495" s="32"/>
      <c r="I495" s="36" t="s">
        <v>36</v>
      </c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x14ac:dyDescent="0.25">
      <c r="A496" s="31"/>
      <c r="B496" s="32"/>
      <c r="C496" s="32"/>
      <c r="D496" s="32"/>
      <c r="E496" s="39"/>
      <c r="F496" s="34"/>
      <c r="G496" s="35">
        <f>Table1[[#This Row],[Selling Price]]-Table1[[#This Row],[Cost Price]]</f>
        <v>0</v>
      </c>
      <c r="H496" s="32"/>
      <c r="I496" s="36" t="s">
        <v>36</v>
      </c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x14ac:dyDescent="0.25">
      <c r="A497" s="31"/>
      <c r="B497" s="32"/>
      <c r="C497" s="32"/>
      <c r="D497" s="32"/>
      <c r="E497" s="39"/>
      <c r="F497" s="34"/>
      <c r="G497" s="35">
        <f>Table1[[#This Row],[Selling Price]]-Table1[[#This Row],[Cost Price]]</f>
        <v>0</v>
      </c>
      <c r="H497" s="32"/>
      <c r="I497" s="36" t="s">
        <v>36</v>
      </c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x14ac:dyDescent="0.25">
      <c r="A498" s="31"/>
      <c r="B498" s="32"/>
      <c r="C498" s="32"/>
      <c r="D498" s="32"/>
      <c r="E498" s="39"/>
      <c r="F498" s="34"/>
      <c r="G498" s="35">
        <f>Table1[[#This Row],[Selling Price]]-Table1[[#This Row],[Cost Price]]</f>
        <v>0</v>
      </c>
      <c r="H498" s="32"/>
      <c r="I498" s="36" t="s">
        <v>36</v>
      </c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x14ac:dyDescent="0.25">
      <c r="A499" s="31"/>
      <c r="B499" s="32"/>
      <c r="C499" s="32"/>
      <c r="D499" s="32"/>
      <c r="E499" s="39"/>
      <c r="F499" s="34"/>
      <c r="G499" s="35">
        <f>Table1[[#This Row],[Selling Price]]-Table1[[#This Row],[Cost Price]]</f>
        <v>0</v>
      </c>
      <c r="H499" s="32"/>
      <c r="I499" s="36" t="s">
        <v>36</v>
      </c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x14ac:dyDescent="0.25">
      <c r="A500" s="31"/>
      <c r="B500" s="32"/>
      <c r="C500" s="32"/>
      <c r="D500" s="32"/>
      <c r="E500" s="39"/>
      <c r="F500" s="34"/>
      <c r="G500" s="35">
        <f>Table1[[#This Row],[Selling Price]]-Table1[[#This Row],[Cost Price]]</f>
        <v>0</v>
      </c>
      <c r="H500" s="32"/>
      <c r="I500" s="36" t="s">
        <v>36</v>
      </c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x14ac:dyDescent="0.25">
      <c r="A501" s="31"/>
      <c r="B501" s="32"/>
      <c r="C501" s="32"/>
      <c r="D501" s="32"/>
      <c r="E501" s="39"/>
      <c r="F501" s="34"/>
      <c r="G501" s="35">
        <f>Table1[[#This Row],[Selling Price]]-Table1[[#This Row],[Cost Price]]</f>
        <v>0</v>
      </c>
      <c r="H501" s="32"/>
      <c r="I501" s="36" t="s">
        <v>36</v>
      </c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x14ac:dyDescent="0.25">
      <c r="A502" s="31"/>
      <c r="B502" s="32"/>
      <c r="C502" s="32"/>
      <c r="D502" s="32"/>
      <c r="E502" s="39"/>
      <c r="F502" s="34"/>
      <c r="G502" s="35">
        <f>Table1[[#This Row],[Selling Price]]-Table1[[#This Row],[Cost Price]]</f>
        <v>0</v>
      </c>
      <c r="H502" s="32"/>
      <c r="I502" s="36" t="s">
        <v>36</v>
      </c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x14ac:dyDescent="0.25">
      <c r="A503" s="31"/>
      <c r="B503" s="32"/>
      <c r="C503" s="32"/>
      <c r="D503" s="32"/>
      <c r="E503" s="39"/>
      <c r="F503" s="34"/>
      <c r="G503" s="35">
        <f>Table1[[#This Row],[Selling Price]]-Table1[[#This Row],[Cost Price]]</f>
        <v>0</v>
      </c>
      <c r="H503" s="32"/>
      <c r="I503" s="36" t="s">
        <v>36</v>
      </c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x14ac:dyDescent="0.25">
      <c r="A504" s="31"/>
      <c r="B504" s="32"/>
      <c r="C504" s="32"/>
      <c r="D504" s="32"/>
      <c r="E504" s="39"/>
      <c r="F504" s="34"/>
      <c r="G504" s="35">
        <f>Table1[[#This Row],[Selling Price]]-Table1[[#This Row],[Cost Price]]</f>
        <v>0</v>
      </c>
      <c r="H504" s="32"/>
      <c r="I504" s="36" t="s">
        <v>36</v>
      </c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x14ac:dyDescent="0.25">
      <c r="A505" s="31"/>
      <c r="B505" s="32"/>
      <c r="C505" s="32"/>
      <c r="D505" s="32"/>
      <c r="E505" s="39"/>
      <c r="F505" s="34"/>
      <c r="G505" s="35">
        <f>Table1[[#This Row],[Selling Price]]-Table1[[#This Row],[Cost Price]]</f>
        <v>0</v>
      </c>
      <c r="H505" s="32"/>
      <c r="I505" s="36" t="s">
        <v>36</v>
      </c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x14ac:dyDescent="0.25">
      <c r="A506" s="31"/>
      <c r="B506" s="32"/>
      <c r="C506" s="32"/>
      <c r="D506" s="32"/>
      <c r="E506" s="39"/>
      <c r="F506" s="34"/>
      <c r="G506" s="35">
        <f>Table1[[#This Row],[Selling Price]]-Table1[[#This Row],[Cost Price]]</f>
        <v>0</v>
      </c>
      <c r="H506" s="32"/>
      <c r="I506" s="36" t="s">
        <v>36</v>
      </c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x14ac:dyDescent="0.25">
      <c r="A507" s="31"/>
      <c r="B507" s="32"/>
      <c r="C507" s="32"/>
      <c r="D507" s="32"/>
      <c r="E507" s="39"/>
      <c r="F507" s="34"/>
      <c r="G507" s="35">
        <f>Table1[[#This Row],[Selling Price]]-Table1[[#This Row],[Cost Price]]</f>
        <v>0</v>
      </c>
      <c r="H507" s="32"/>
      <c r="I507" s="36" t="s">
        <v>36</v>
      </c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x14ac:dyDescent="0.25">
      <c r="A508" s="31"/>
      <c r="B508" s="32"/>
      <c r="C508" s="32"/>
      <c r="D508" s="32"/>
      <c r="E508" s="39"/>
      <c r="F508" s="34"/>
      <c r="G508" s="35">
        <f>Table1[[#This Row],[Selling Price]]-Table1[[#This Row],[Cost Price]]</f>
        <v>0</v>
      </c>
      <c r="H508" s="32"/>
      <c r="I508" s="36" t="s">
        <v>36</v>
      </c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x14ac:dyDescent="0.25">
      <c r="A509" s="31"/>
      <c r="B509" s="32"/>
      <c r="C509" s="32"/>
      <c r="D509" s="32"/>
      <c r="E509" s="39"/>
      <c r="F509" s="34"/>
      <c r="G509" s="35">
        <f>Table1[[#This Row],[Selling Price]]-Table1[[#This Row],[Cost Price]]</f>
        <v>0</v>
      </c>
      <c r="H509" s="32"/>
      <c r="I509" s="36" t="s">
        <v>36</v>
      </c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x14ac:dyDescent="0.25">
      <c r="A510" s="31"/>
      <c r="B510" s="32"/>
      <c r="C510" s="32"/>
      <c r="D510" s="32"/>
      <c r="E510" s="39"/>
      <c r="F510" s="34"/>
      <c r="G510" s="35">
        <f>Table1[[#This Row],[Selling Price]]-Table1[[#This Row],[Cost Price]]</f>
        <v>0</v>
      </c>
      <c r="H510" s="32"/>
      <c r="I510" s="36" t="s">
        <v>36</v>
      </c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x14ac:dyDescent="0.25">
      <c r="A511" s="31"/>
      <c r="B511" s="32"/>
      <c r="C511" s="32"/>
      <c r="D511" s="32"/>
      <c r="E511" s="39"/>
      <c r="F511" s="34"/>
      <c r="G511" s="35">
        <f>Table1[[#This Row],[Selling Price]]-Table1[[#This Row],[Cost Price]]</f>
        <v>0</v>
      </c>
      <c r="H511" s="32"/>
      <c r="I511" s="36" t="s">
        <v>36</v>
      </c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x14ac:dyDescent="0.25">
      <c r="A512" s="31"/>
      <c r="B512" s="32"/>
      <c r="C512" s="32"/>
      <c r="D512" s="32"/>
      <c r="E512" s="39"/>
      <c r="F512" s="34"/>
      <c r="G512" s="35">
        <f>Table1[[#This Row],[Selling Price]]-Table1[[#This Row],[Cost Price]]</f>
        <v>0</v>
      </c>
      <c r="H512" s="32"/>
      <c r="I512" s="36" t="s">
        <v>36</v>
      </c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x14ac:dyDescent="0.25">
      <c r="A513" s="31"/>
      <c r="B513" s="32"/>
      <c r="C513" s="32"/>
      <c r="D513" s="32"/>
      <c r="E513" s="39"/>
      <c r="F513" s="34"/>
      <c r="G513" s="35">
        <f>Table1[[#This Row],[Selling Price]]-Table1[[#This Row],[Cost Price]]</f>
        <v>0</v>
      </c>
      <c r="H513" s="32"/>
      <c r="I513" s="36" t="s">
        <v>36</v>
      </c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x14ac:dyDescent="0.25">
      <c r="A514" s="31"/>
      <c r="B514" s="32"/>
      <c r="C514" s="32"/>
      <c r="D514" s="32"/>
      <c r="E514" s="39"/>
      <c r="F514" s="34"/>
      <c r="G514" s="35">
        <f>Table1[[#This Row],[Selling Price]]-Table1[[#This Row],[Cost Price]]</f>
        <v>0</v>
      </c>
      <c r="H514" s="32"/>
      <c r="I514" s="36" t="s">
        <v>36</v>
      </c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x14ac:dyDescent="0.25">
      <c r="A515" s="31"/>
      <c r="B515" s="32"/>
      <c r="C515" s="32"/>
      <c r="D515" s="32"/>
      <c r="E515" s="39"/>
      <c r="F515" s="34"/>
      <c r="G515" s="35">
        <f>Table1[[#This Row],[Selling Price]]-Table1[[#This Row],[Cost Price]]</f>
        <v>0</v>
      </c>
      <c r="H515" s="32"/>
      <c r="I515" s="36" t="s">
        <v>36</v>
      </c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x14ac:dyDescent="0.25">
      <c r="A516" s="31"/>
      <c r="B516" s="32"/>
      <c r="C516" s="32"/>
      <c r="D516" s="32"/>
      <c r="E516" s="39"/>
      <c r="F516" s="34"/>
      <c r="G516" s="35">
        <f>Table1[[#This Row],[Selling Price]]-Table1[[#This Row],[Cost Price]]</f>
        <v>0</v>
      </c>
      <c r="H516" s="32"/>
      <c r="I516" s="36" t="s">
        <v>36</v>
      </c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x14ac:dyDescent="0.25">
      <c r="A517" s="31"/>
      <c r="B517" s="32"/>
      <c r="C517" s="32"/>
      <c r="D517" s="32"/>
      <c r="E517" s="39"/>
      <c r="F517" s="34"/>
      <c r="G517" s="35">
        <f>Table1[[#This Row],[Selling Price]]-Table1[[#This Row],[Cost Price]]</f>
        <v>0</v>
      </c>
      <c r="H517" s="32"/>
      <c r="I517" s="36" t="s">
        <v>36</v>
      </c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x14ac:dyDescent="0.25">
      <c r="A518" s="31"/>
      <c r="B518" s="32"/>
      <c r="C518" s="32"/>
      <c r="D518" s="32"/>
      <c r="E518" s="39"/>
      <c r="F518" s="34"/>
      <c r="G518" s="35">
        <f>Table1[[#This Row],[Selling Price]]-Table1[[#This Row],[Cost Price]]</f>
        <v>0</v>
      </c>
      <c r="H518" s="32"/>
      <c r="I518" s="36" t="s">
        <v>36</v>
      </c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x14ac:dyDescent="0.25">
      <c r="A519" s="31"/>
      <c r="B519" s="32"/>
      <c r="C519" s="32"/>
      <c r="D519" s="32"/>
      <c r="E519" s="39"/>
      <c r="F519" s="34"/>
      <c r="G519" s="35">
        <f>Table1[[#This Row],[Selling Price]]-Table1[[#This Row],[Cost Price]]</f>
        <v>0</v>
      </c>
      <c r="H519" s="32"/>
      <c r="I519" s="36" t="s">
        <v>36</v>
      </c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x14ac:dyDescent="0.25">
      <c r="A520" s="31"/>
      <c r="B520" s="32"/>
      <c r="C520" s="32"/>
      <c r="D520" s="32"/>
      <c r="E520" s="39"/>
      <c r="F520" s="34"/>
      <c r="G520" s="35">
        <f>Table1[[#This Row],[Selling Price]]-Table1[[#This Row],[Cost Price]]</f>
        <v>0</v>
      </c>
      <c r="H520" s="32"/>
      <c r="I520" s="36" t="s">
        <v>36</v>
      </c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x14ac:dyDescent="0.25">
      <c r="A521" s="31"/>
      <c r="B521" s="32"/>
      <c r="C521" s="32"/>
      <c r="D521" s="32"/>
      <c r="E521" s="39"/>
      <c r="F521" s="34"/>
      <c r="G521" s="35">
        <f>Table1[[#This Row],[Selling Price]]-Table1[[#This Row],[Cost Price]]</f>
        <v>0</v>
      </c>
      <c r="H521" s="32"/>
      <c r="I521" s="36" t="s">
        <v>36</v>
      </c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x14ac:dyDescent="0.25">
      <c r="A522" s="31"/>
      <c r="B522" s="32"/>
      <c r="C522" s="32"/>
      <c r="D522" s="32"/>
      <c r="E522" s="39"/>
      <c r="F522" s="34"/>
      <c r="G522" s="35">
        <f>Table1[[#This Row],[Selling Price]]-Table1[[#This Row],[Cost Price]]</f>
        <v>0</v>
      </c>
      <c r="H522" s="32"/>
      <c r="I522" s="36" t="s">
        <v>36</v>
      </c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x14ac:dyDescent="0.25">
      <c r="A523" s="31"/>
      <c r="B523" s="32"/>
      <c r="C523" s="32"/>
      <c r="D523" s="32"/>
      <c r="E523" s="39"/>
      <c r="F523" s="34"/>
      <c r="G523" s="35">
        <f>Table1[[#This Row],[Selling Price]]-Table1[[#This Row],[Cost Price]]</f>
        <v>0</v>
      </c>
      <c r="H523" s="32"/>
      <c r="I523" s="36" t="s">
        <v>36</v>
      </c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x14ac:dyDescent="0.25">
      <c r="A524" s="31"/>
      <c r="B524" s="32"/>
      <c r="C524" s="32"/>
      <c r="D524" s="32"/>
      <c r="E524" s="39"/>
      <c r="F524" s="34"/>
      <c r="G524" s="35">
        <f>Table1[[#This Row],[Selling Price]]-Table1[[#This Row],[Cost Price]]</f>
        <v>0</v>
      </c>
      <c r="H524" s="32"/>
      <c r="I524" s="36" t="s">
        <v>36</v>
      </c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x14ac:dyDescent="0.25">
      <c r="A525" s="31"/>
      <c r="B525" s="32"/>
      <c r="C525" s="32"/>
      <c r="D525" s="32"/>
      <c r="E525" s="39"/>
      <c r="F525" s="34"/>
      <c r="G525" s="35">
        <f>Table1[[#This Row],[Selling Price]]-Table1[[#This Row],[Cost Price]]</f>
        <v>0</v>
      </c>
      <c r="H525" s="32"/>
      <c r="I525" s="36" t="s">
        <v>36</v>
      </c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x14ac:dyDescent="0.25">
      <c r="A526" s="31"/>
      <c r="B526" s="32"/>
      <c r="C526" s="32"/>
      <c r="D526" s="32"/>
      <c r="E526" s="39"/>
      <c r="F526" s="34"/>
      <c r="G526" s="35">
        <f>Table1[[#This Row],[Selling Price]]-Table1[[#This Row],[Cost Price]]</f>
        <v>0</v>
      </c>
      <c r="H526" s="32"/>
      <c r="I526" s="36" t="s">
        <v>36</v>
      </c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x14ac:dyDescent="0.25">
      <c r="A527" s="31"/>
      <c r="B527" s="32"/>
      <c r="C527" s="32"/>
      <c r="D527" s="32"/>
      <c r="E527" s="39"/>
      <c r="F527" s="34"/>
      <c r="G527" s="35">
        <f>Table1[[#This Row],[Selling Price]]-Table1[[#This Row],[Cost Price]]</f>
        <v>0</v>
      </c>
      <c r="H527" s="32"/>
      <c r="I527" s="36" t="s">
        <v>36</v>
      </c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x14ac:dyDescent="0.25">
      <c r="A528" s="31"/>
      <c r="B528" s="32"/>
      <c r="C528" s="32"/>
      <c r="D528" s="32"/>
      <c r="E528" s="39"/>
      <c r="F528" s="34"/>
      <c r="G528" s="35">
        <f>Table1[[#This Row],[Selling Price]]-Table1[[#This Row],[Cost Price]]</f>
        <v>0</v>
      </c>
      <c r="H528" s="32"/>
      <c r="I528" s="36" t="s">
        <v>36</v>
      </c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x14ac:dyDescent="0.25">
      <c r="A529" s="31"/>
      <c r="B529" s="32"/>
      <c r="C529" s="32"/>
      <c r="D529" s="32"/>
      <c r="E529" s="39"/>
      <c r="F529" s="34"/>
      <c r="G529" s="35">
        <f>Table1[[#This Row],[Selling Price]]-Table1[[#This Row],[Cost Price]]</f>
        <v>0</v>
      </c>
      <c r="H529" s="32"/>
      <c r="I529" s="36" t="s">
        <v>36</v>
      </c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x14ac:dyDescent="0.25">
      <c r="A530" s="31"/>
      <c r="B530" s="32"/>
      <c r="C530" s="32"/>
      <c r="D530" s="32"/>
      <c r="E530" s="39"/>
      <c r="F530" s="34"/>
      <c r="G530" s="35">
        <f>Table1[[#This Row],[Selling Price]]-Table1[[#This Row],[Cost Price]]</f>
        <v>0</v>
      </c>
      <c r="H530" s="32"/>
      <c r="I530" s="36" t="s">
        <v>36</v>
      </c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x14ac:dyDescent="0.25">
      <c r="A531" s="31"/>
      <c r="B531" s="32"/>
      <c r="C531" s="32"/>
      <c r="D531" s="32"/>
      <c r="E531" s="39"/>
      <c r="F531" s="34"/>
      <c r="G531" s="35">
        <f>Table1[[#This Row],[Selling Price]]-Table1[[#This Row],[Cost Price]]</f>
        <v>0</v>
      </c>
      <c r="H531" s="32"/>
      <c r="I531" s="36" t="s">
        <v>36</v>
      </c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x14ac:dyDescent="0.25">
      <c r="A532" s="31"/>
      <c r="B532" s="32"/>
      <c r="C532" s="32"/>
      <c r="D532" s="32"/>
      <c r="E532" s="39"/>
      <c r="F532" s="34"/>
      <c r="G532" s="35">
        <f>Table1[[#This Row],[Selling Price]]-Table1[[#This Row],[Cost Price]]</f>
        <v>0</v>
      </c>
      <c r="H532" s="32"/>
      <c r="I532" s="36" t="s">
        <v>36</v>
      </c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x14ac:dyDescent="0.25">
      <c r="A533" s="31"/>
      <c r="B533" s="32"/>
      <c r="C533" s="32"/>
      <c r="D533" s="32"/>
      <c r="E533" s="39"/>
      <c r="F533" s="34"/>
      <c r="G533" s="35">
        <f>Table1[[#This Row],[Selling Price]]-Table1[[#This Row],[Cost Price]]</f>
        <v>0</v>
      </c>
      <c r="H533" s="32"/>
      <c r="I533" s="36" t="s">
        <v>36</v>
      </c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x14ac:dyDescent="0.25">
      <c r="A534" s="31"/>
      <c r="B534" s="32"/>
      <c r="C534" s="32"/>
      <c r="D534" s="32"/>
      <c r="E534" s="39"/>
      <c r="F534" s="34"/>
      <c r="G534" s="35">
        <f>Table1[[#This Row],[Selling Price]]-Table1[[#This Row],[Cost Price]]</f>
        <v>0</v>
      </c>
      <c r="H534" s="32"/>
      <c r="I534" s="36" t="s">
        <v>36</v>
      </c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x14ac:dyDescent="0.25">
      <c r="A535" s="31"/>
      <c r="B535" s="32"/>
      <c r="C535" s="32"/>
      <c r="D535" s="32"/>
      <c r="E535" s="39"/>
      <c r="F535" s="34"/>
      <c r="G535" s="35">
        <f>Table1[[#This Row],[Selling Price]]-Table1[[#This Row],[Cost Price]]</f>
        <v>0</v>
      </c>
      <c r="H535" s="32"/>
      <c r="I535" s="36" t="s">
        <v>36</v>
      </c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x14ac:dyDescent="0.25">
      <c r="A536" s="31"/>
      <c r="B536" s="32"/>
      <c r="C536" s="32"/>
      <c r="D536" s="32"/>
      <c r="E536" s="39"/>
      <c r="F536" s="34"/>
      <c r="G536" s="35">
        <f>Table1[[#This Row],[Selling Price]]-Table1[[#This Row],[Cost Price]]</f>
        <v>0</v>
      </c>
      <c r="H536" s="32"/>
      <c r="I536" s="36" t="s">
        <v>36</v>
      </c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x14ac:dyDescent="0.25">
      <c r="A537" s="31"/>
      <c r="B537" s="32"/>
      <c r="C537" s="32"/>
      <c r="D537" s="32"/>
      <c r="E537" s="39"/>
      <c r="F537" s="34"/>
      <c r="G537" s="35">
        <f>Table1[[#This Row],[Selling Price]]-Table1[[#This Row],[Cost Price]]</f>
        <v>0</v>
      </c>
      <c r="H537" s="32"/>
      <c r="I537" s="36" t="s">
        <v>36</v>
      </c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x14ac:dyDescent="0.25">
      <c r="A538" s="31"/>
      <c r="B538" s="32"/>
      <c r="C538" s="32"/>
      <c r="D538" s="32"/>
      <c r="E538" s="39"/>
      <c r="F538" s="34"/>
      <c r="G538" s="35">
        <f>Table1[[#This Row],[Selling Price]]-Table1[[#This Row],[Cost Price]]</f>
        <v>0</v>
      </c>
      <c r="H538" s="32"/>
      <c r="I538" s="36" t="s">
        <v>36</v>
      </c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x14ac:dyDescent="0.25">
      <c r="A539" s="31"/>
      <c r="B539" s="32"/>
      <c r="C539" s="32"/>
      <c r="D539" s="32"/>
      <c r="E539" s="39"/>
      <c r="F539" s="34"/>
      <c r="G539" s="35">
        <f>Table1[[#This Row],[Selling Price]]-Table1[[#This Row],[Cost Price]]</f>
        <v>0</v>
      </c>
      <c r="H539" s="32"/>
      <c r="I539" s="36" t="s">
        <v>36</v>
      </c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x14ac:dyDescent="0.25">
      <c r="A540" s="31"/>
      <c r="B540" s="32"/>
      <c r="C540" s="32"/>
      <c r="D540" s="32"/>
      <c r="E540" s="39"/>
      <c r="F540" s="34"/>
      <c r="G540" s="35">
        <f>Table1[[#This Row],[Selling Price]]-Table1[[#This Row],[Cost Price]]</f>
        <v>0</v>
      </c>
      <c r="H540" s="32"/>
      <c r="I540" s="36" t="s">
        <v>36</v>
      </c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x14ac:dyDescent="0.25">
      <c r="A541" s="31"/>
      <c r="B541" s="32"/>
      <c r="C541" s="32"/>
      <c r="D541" s="32"/>
      <c r="E541" s="39"/>
      <c r="F541" s="34"/>
      <c r="G541" s="35">
        <f>Table1[[#This Row],[Selling Price]]-Table1[[#This Row],[Cost Price]]</f>
        <v>0</v>
      </c>
      <c r="H541" s="32"/>
      <c r="I541" s="36" t="s">
        <v>36</v>
      </c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x14ac:dyDescent="0.25">
      <c r="A542" s="31"/>
      <c r="B542" s="32"/>
      <c r="C542" s="32"/>
      <c r="D542" s="32"/>
      <c r="E542" s="39"/>
      <c r="F542" s="34"/>
      <c r="G542" s="35">
        <f>Table1[[#This Row],[Selling Price]]-Table1[[#This Row],[Cost Price]]</f>
        <v>0</v>
      </c>
      <c r="H542" s="32"/>
      <c r="I542" s="36" t="s">
        <v>36</v>
      </c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x14ac:dyDescent="0.25">
      <c r="A543" s="31"/>
      <c r="B543" s="32"/>
      <c r="C543" s="32"/>
      <c r="D543" s="32"/>
      <c r="E543" s="39"/>
      <c r="F543" s="34"/>
      <c r="G543" s="35">
        <f>Table1[[#This Row],[Selling Price]]-Table1[[#This Row],[Cost Price]]</f>
        <v>0</v>
      </c>
      <c r="H543" s="32"/>
      <c r="I543" s="36" t="s">
        <v>36</v>
      </c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x14ac:dyDescent="0.25">
      <c r="A544" s="31"/>
      <c r="B544" s="32"/>
      <c r="C544" s="32"/>
      <c r="D544" s="32"/>
      <c r="E544" s="39"/>
      <c r="F544" s="34"/>
      <c r="G544" s="35">
        <f>Table1[[#This Row],[Selling Price]]-Table1[[#This Row],[Cost Price]]</f>
        <v>0</v>
      </c>
      <c r="H544" s="32"/>
      <c r="I544" s="36" t="s">
        <v>36</v>
      </c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x14ac:dyDescent="0.25">
      <c r="A545" s="31"/>
      <c r="B545" s="32"/>
      <c r="C545" s="32"/>
      <c r="D545" s="32"/>
      <c r="E545" s="39"/>
      <c r="F545" s="34"/>
      <c r="G545" s="35">
        <f>Table1[[#This Row],[Selling Price]]-Table1[[#This Row],[Cost Price]]</f>
        <v>0</v>
      </c>
      <c r="H545" s="32"/>
      <c r="I545" s="36" t="s">
        <v>36</v>
      </c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x14ac:dyDescent="0.25">
      <c r="A546" s="31"/>
      <c r="B546" s="32"/>
      <c r="C546" s="32"/>
      <c r="D546" s="32"/>
      <c r="E546" s="39"/>
      <c r="F546" s="34"/>
      <c r="G546" s="35">
        <f>Table1[[#This Row],[Selling Price]]-Table1[[#This Row],[Cost Price]]</f>
        <v>0</v>
      </c>
      <c r="H546" s="32"/>
      <c r="I546" s="36" t="s">
        <v>36</v>
      </c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x14ac:dyDescent="0.25">
      <c r="A547" s="31"/>
      <c r="B547" s="32"/>
      <c r="C547" s="32"/>
      <c r="D547" s="32"/>
      <c r="E547" s="39"/>
      <c r="F547" s="34"/>
      <c r="G547" s="35">
        <f>Table1[[#This Row],[Selling Price]]-Table1[[#This Row],[Cost Price]]</f>
        <v>0</v>
      </c>
      <c r="H547" s="32"/>
      <c r="I547" s="36" t="s">
        <v>36</v>
      </c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x14ac:dyDescent="0.25">
      <c r="A548" s="31"/>
      <c r="B548" s="32"/>
      <c r="C548" s="32"/>
      <c r="D548" s="32"/>
      <c r="E548" s="39"/>
      <c r="F548" s="34"/>
      <c r="G548" s="35">
        <f>Table1[[#This Row],[Selling Price]]-Table1[[#This Row],[Cost Price]]</f>
        <v>0</v>
      </c>
      <c r="H548" s="32"/>
      <c r="I548" s="36" t="s">
        <v>36</v>
      </c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x14ac:dyDescent="0.25">
      <c r="A549" s="31"/>
      <c r="B549" s="32"/>
      <c r="C549" s="32"/>
      <c r="D549" s="32"/>
      <c r="E549" s="39"/>
      <c r="F549" s="34"/>
      <c r="G549" s="35">
        <f>Table1[[#This Row],[Selling Price]]-Table1[[#This Row],[Cost Price]]</f>
        <v>0</v>
      </c>
      <c r="H549" s="32"/>
      <c r="I549" s="36" t="s">
        <v>36</v>
      </c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x14ac:dyDescent="0.25">
      <c r="A550" s="31"/>
      <c r="B550" s="32"/>
      <c r="C550" s="32"/>
      <c r="D550" s="32"/>
      <c r="E550" s="39"/>
      <c r="F550" s="34"/>
      <c r="G550" s="35">
        <f>Table1[[#This Row],[Selling Price]]-Table1[[#This Row],[Cost Price]]</f>
        <v>0</v>
      </c>
      <c r="H550" s="32"/>
      <c r="I550" s="36" t="s">
        <v>36</v>
      </c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x14ac:dyDescent="0.25">
      <c r="A551" s="31"/>
      <c r="B551" s="32"/>
      <c r="C551" s="32"/>
      <c r="D551" s="32"/>
      <c r="E551" s="39"/>
      <c r="F551" s="34"/>
      <c r="G551" s="35">
        <f>Table1[[#This Row],[Selling Price]]-Table1[[#This Row],[Cost Price]]</f>
        <v>0</v>
      </c>
      <c r="H551" s="32"/>
      <c r="I551" s="36" t="s">
        <v>36</v>
      </c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x14ac:dyDescent="0.25">
      <c r="A552" s="31"/>
      <c r="B552" s="32"/>
      <c r="C552" s="32"/>
      <c r="D552" s="32"/>
      <c r="E552" s="39"/>
      <c r="F552" s="34"/>
      <c r="G552" s="35">
        <f>Table1[[#This Row],[Selling Price]]-Table1[[#This Row],[Cost Price]]</f>
        <v>0</v>
      </c>
      <c r="H552" s="32"/>
      <c r="I552" s="36" t="s">
        <v>36</v>
      </c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x14ac:dyDescent="0.25">
      <c r="A553" s="31"/>
      <c r="B553" s="32"/>
      <c r="C553" s="32"/>
      <c r="D553" s="32"/>
      <c r="E553" s="39"/>
      <c r="F553" s="34"/>
      <c r="G553" s="35">
        <f>Table1[[#This Row],[Selling Price]]-Table1[[#This Row],[Cost Price]]</f>
        <v>0</v>
      </c>
      <c r="H553" s="32"/>
      <c r="I553" s="36" t="s">
        <v>36</v>
      </c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x14ac:dyDescent="0.25">
      <c r="A554" s="31"/>
      <c r="B554" s="32"/>
      <c r="C554" s="32"/>
      <c r="D554" s="32"/>
      <c r="E554" s="39"/>
      <c r="F554" s="34"/>
      <c r="G554" s="35">
        <f>Table1[[#This Row],[Selling Price]]-Table1[[#This Row],[Cost Price]]</f>
        <v>0</v>
      </c>
      <c r="H554" s="32"/>
      <c r="I554" s="36" t="s">
        <v>36</v>
      </c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x14ac:dyDescent="0.25">
      <c r="A555" s="31"/>
      <c r="B555" s="32"/>
      <c r="C555" s="32"/>
      <c r="D555" s="32"/>
      <c r="E555" s="39"/>
      <c r="F555" s="34"/>
      <c r="G555" s="35">
        <f>Table1[[#This Row],[Selling Price]]-Table1[[#This Row],[Cost Price]]</f>
        <v>0</v>
      </c>
      <c r="H555" s="32"/>
      <c r="I555" s="36" t="s">
        <v>36</v>
      </c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x14ac:dyDescent="0.25">
      <c r="A556" s="31"/>
      <c r="B556" s="32"/>
      <c r="C556" s="32"/>
      <c r="D556" s="32"/>
      <c r="E556" s="39"/>
      <c r="F556" s="34"/>
      <c r="G556" s="35">
        <f>Table1[[#This Row],[Selling Price]]-Table1[[#This Row],[Cost Price]]</f>
        <v>0</v>
      </c>
      <c r="H556" s="32"/>
      <c r="I556" s="36" t="s">
        <v>36</v>
      </c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x14ac:dyDescent="0.25">
      <c r="A557" s="31"/>
      <c r="B557" s="32"/>
      <c r="C557" s="32"/>
      <c r="D557" s="32"/>
      <c r="E557" s="39"/>
      <c r="F557" s="34"/>
      <c r="G557" s="35">
        <f>Table1[[#This Row],[Selling Price]]-Table1[[#This Row],[Cost Price]]</f>
        <v>0</v>
      </c>
      <c r="H557" s="32"/>
      <c r="I557" s="36" t="s">
        <v>36</v>
      </c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x14ac:dyDescent="0.25">
      <c r="A558" s="31"/>
      <c r="B558" s="32"/>
      <c r="C558" s="32"/>
      <c r="D558" s="32"/>
      <c r="E558" s="39"/>
      <c r="F558" s="34"/>
      <c r="G558" s="35">
        <f>Table1[[#This Row],[Selling Price]]-Table1[[#This Row],[Cost Price]]</f>
        <v>0</v>
      </c>
      <c r="H558" s="32"/>
      <c r="I558" s="36" t="s">
        <v>36</v>
      </c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x14ac:dyDescent="0.25">
      <c r="A559" s="31"/>
      <c r="B559" s="32"/>
      <c r="C559" s="32"/>
      <c r="D559" s="32"/>
      <c r="E559" s="39"/>
      <c r="F559" s="34"/>
      <c r="G559" s="35">
        <f>Table1[[#This Row],[Selling Price]]-Table1[[#This Row],[Cost Price]]</f>
        <v>0</v>
      </c>
      <c r="H559" s="32"/>
      <c r="I559" s="36" t="s">
        <v>36</v>
      </c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x14ac:dyDescent="0.25">
      <c r="A560" s="31"/>
      <c r="B560" s="32"/>
      <c r="C560" s="32"/>
      <c r="D560" s="32"/>
      <c r="E560" s="39"/>
      <c r="F560" s="34"/>
      <c r="G560" s="35">
        <f>Table1[[#This Row],[Selling Price]]-Table1[[#This Row],[Cost Price]]</f>
        <v>0</v>
      </c>
      <c r="H560" s="32"/>
      <c r="I560" s="36" t="s">
        <v>36</v>
      </c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x14ac:dyDescent="0.25">
      <c r="A561" s="31"/>
      <c r="B561" s="32"/>
      <c r="C561" s="32"/>
      <c r="D561" s="32"/>
      <c r="E561" s="39"/>
      <c r="F561" s="34"/>
      <c r="G561" s="35">
        <f>Table1[[#This Row],[Selling Price]]-Table1[[#This Row],[Cost Price]]</f>
        <v>0</v>
      </c>
      <c r="H561" s="32"/>
      <c r="I561" s="36" t="s">
        <v>36</v>
      </c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x14ac:dyDescent="0.25">
      <c r="A562" s="31"/>
      <c r="B562" s="32"/>
      <c r="C562" s="32"/>
      <c r="D562" s="32"/>
      <c r="E562" s="39"/>
      <c r="F562" s="34"/>
      <c r="G562" s="35">
        <f>Table1[[#This Row],[Selling Price]]-Table1[[#This Row],[Cost Price]]</f>
        <v>0</v>
      </c>
      <c r="H562" s="32"/>
      <c r="I562" s="36" t="s">
        <v>36</v>
      </c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x14ac:dyDescent="0.25">
      <c r="A563" s="31"/>
      <c r="B563" s="32"/>
      <c r="C563" s="32"/>
      <c r="D563" s="32"/>
      <c r="E563" s="39"/>
      <c r="F563" s="34"/>
      <c r="G563" s="35">
        <f>Table1[[#This Row],[Selling Price]]-Table1[[#This Row],[Cost Price]]</f>
        <v>0</v>
      </c>
      <c r="H563" s="32"/>
      <c r="I563" s="36" t="s">
        <v>36</v>
      </c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x14ac:dyDescent="0.25">
      <c r="A564" s="31"/>
      <c r="B564" s="32"/>
      <c r="C564" s="32"/>
      <c r="D564" s="32"/>
      <c r="E564" s="39"/>
      <c r="F564" s="34"/>
      <c r="G564" s="35">
        <f>Table1[[#This Row],[Selling Price]]-Table1[[#This Row],[Cost Price]]</f>
        <v>0</v>
      </c>
      <c r="H564" s="32"/>
      <c r="I564" s="36" t="s">
        <v>36</v>
      </c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x14ac:dyDescent="0.25">
      <c r="A565" s="31"/>
      <c r="B565" s="32"/>
      <c r="C565" s="32"/>
      <c r="D565" s="32"/>
      <c r="E565" s="39"/>
      <c r="F565" s="34"/>
      <c r="G565" s="35">
        <f>Table1[[#This Row],[Selling Price]]-Table1[[#This Row],[Cost Price]]</f>
        <v>0</v>
      </c>
      <c r="H565" s="32"/>
      <c r="I565" s="36" t="s">
        <v>36</v>
      </c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x14ac:dyDescent="0.25">
      <c r="A566" s="31"/>
      <c r="B566" s="32"/>
      <c r="C566" s="32"/>
      <c r="D566" s="32"/>
      <c r="E566" s="39"/>
      <c r="F566" s="34"/>
      <c r="G566" s="35">
        <f>Table1[[#This Row],[Selling Price]]-Table1[[#This Row],[Cost Price]]</f>
        <v>0</v>
      </c>
      <c r="H566" s="32"/>
      <c r="I566" s="36" t="s">
        <v>36</v>
      </c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x14ac:dyDescent="0.25">
      <c r="A567" s="31"/>
      <c r="B567" s="32"/>
      <c r="C567" s="32"/>
      <c r="D567" s="32"/>
      <c r="E567" s="39"/>
      <c r="F567" s="34"/>
      <c r="G567" s="35">
        <f>Table1[[#This Row],[Selling Price]]-Table1[[#This Row],[Cost Price]]</f>
        <v>0</v>
      </c>
      <c r="H567" s="32"/>
      <c r="I567" s="36" t="s">
        <v>36</v>
      </c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x14ac:dyDescent="0.25">
      <c r="A568" s="31"/>
      <c r="B568" s="32"/>
      <c r="C568" s="32"/>
      <c r="D568" s="32"/>
      <c r="E568" s="39"/>
      <c r="F568" s="34"/>
      <c r="G568" s="35">
        <f>Table1[[#This Row],[Selling Price]]-Table1[[#This Row],[Cost Price]]</f>
        <v>0</v>
      </c>
      <c r="H568" s="32"/>
      <c r="I568" s="36" t="s">
        <v>36</v>
      </c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x14ac:dyDescent="0.25">
      <c r="A569" s="31"/>
      <c r="B569" s="32"/>
      <c r="C569" s="32"/>
      <c r="D569" s="32"/>
      <c r="E569" s="39"/>
      <c r="F569" s="34"/>
      <c r="G569" s="35">
        <f>Table1[[#This Row],[Selling Price]]-Table1[[#This Row],[Cost Price]]</f>
        <v>0</v>
      </c>
      <c r="H569" s="32"/>
      <c r="I569" s="36" t="s">
        <v>36</v>
      </c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x14ac:dyDescent="0.25">
      <c r="A570" s="31"/>
      <c r="B570" s="32"/>
      <c r="C570" s="32"/>
      <c r="D570" s="32"/>
      <c r="E570" s="39"/>
      <c r="F570" s="34"/>
      <c r="G570" s="35">
        <f>Table1[[#This Row],[Selling Price]]-Table1[[#This Row],[Cost Price]]</f>
        <v>0</v>
      </c>
      <c r="H570" s="32"/>
      <c r="I570" s="36" t="s">
        <v>36</v>
      </c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x14ac:dyDescent="0.25">
      <c r="A571" s="31"/>
      <c r="B571" s="32"/>
      <c r="C571" s="32"/>
      <c r="D571" s="32"/>
      <c r="E571" s="39"/>
      <c r="F571" s="34"/>
      <c r="G571" s="35">
        <f>Table1[[#This Row],[Selling Price]]-Table1[[#This Row],[Cost Price]]</f>
        <v>0</v>
      </c>
      <c r="H571" s="32"/>
      <c r="I571" s="36" t="s">
        <v>36</v>
      </c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x14ac:dyDescent="0.25">
      <c r="A572" s="31"/>
      <c r="B572" s="32"/>
      <c r="C572" s="32"/>
      <c r="D572" s="32"/>
      <c r="E572" s="39"/>
      <c r="F572" s="34"/>
      <c r="G572" s="35">
        <f>Table1[[#This Row],[Selling Price]]-Table1[[#This Row],[Cost Price]]</f>
        <v>0</v>
      </c>
      <c r="H572" s="32"/>
      <c r="I572" s="36" t="s">
        <v>36</v>
      </c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x14ac:dyDescent="0.25">
      <c r="A573" s="31"/>
      <c r="B573" s="32"/>
      <c r="C573" s="32"/>
      <c r="D573" s="32"/>
      <c r="E573" s="39"/>
      <c r="F573" s="34"/>
      <c r="G573" s="35">
        <f>Table1[[#This Row],[Selling Price]]-Table1[[#This Row],[Cost Price]]</f>
        <v>0</v>
      </c>
      <c r="H573" s="32"/>
      <c r="I573" s="36" t="s">
        <v>36</v>
      </c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x14ac:dyDescent="0.25">
      <c r="A574" s="31"/>
      <c r="B574" s="32"/>
      <c r="C574" s="32"/>
      <c r="D574" s="32"/>
      <c r="E574" s="39"/>
      <c r="F574" s="34"/>
      <c r="G574" s="35">
        <f>Table1[[#This Row],[Selling Price]]-Table1[[#This Row],[Cost Price]]</f>
        <v>0</v>
      </c>
      <c r="H574" s="32"/>
      <c r="I574" s="36" t="s">
        <v>36</v>
      </c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x14ac:dyDescent="0.25">
      <c r="A575" s="31"/>
      <c r="B575" s="32"/>
      <c r="C575" s="32"/>
      <c r="D575" s="32"/>
      <c r="E575" s="39"/>
      <c r="F575" s="34"/>
      <c r="G575" s="35">
        <f>Table1[[#This Row],[Selling Price]]-Table1[[#This Row],[Cost Price]]</f>
        <v>0</v>
      </c>
      <c r="H575" s="32"/>
      <c r="I575" s="36" t="s">
        <v>36</v>
      </c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x14ac:dyDescent="0.25">
      <c r="A576" s="31"/>
      <c r="B576" s="32"/>
      <c r="C576" s="32"/>
      <c r="D576" s="32"/>
      <c r="E576" s="39"/>
      <c r="F576" s="34"/>
      <c r="G576" s="35">
        <f>Table1[[#This Row],[Selling Price]]-Table1[[#This Row],[Cost Price]]</f>
        <v>0</v>
      </c>
      <c r="H576" s="32"/>
      <c r="I576" s="36" t="s">
        <v>36</v>
      </c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x14ac:dyDescent="0.25">
      <c r="A577" s="31"/>
      <c r="B577" s="32"/>
      <c r="C577" s="32"/>
      <c r="D577" s="32"/>
      <c r="E577" s="39"/>
      <c r="F577" s="34"/>
      <c r="G577" s="35">
        <f>Table1[[#This Row],[Selling Price]]-Table1[[#This Row],[Cost Price]]</f>
        <v>0</v>
      </c>
      <c r="H577" s="32"/>
      <c r="I577" s="36" t="s">
        <v>36</v>
      </c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x14ac:dyDescent="0.25">
      <c r="A578" s="31"/>
      <c r="B578" s="32"/>
      <c r="C578" s="32"/>
      <c r="D578" s="32"/>
      <c r="E578" s="39"/>
      <c r="F578" s="34"/>
      <c r="G578" s="35">
        <f>Table1[[#This Row],[Selling Price]]-Table1[[#This Row],[Cost Price]]</f>
        <v>0</v>
      </c>
      <c r="H578" s="32"/>
      <c r="I578" s="36" t="s">
        <v>36</v>
      </c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x14ac:dyDescent="0.25">
      <c r="A579" s="31"/>
      <c r="B579" s="32"/>
      <c r="C579" s="32"/>
      <c r="D579" s="32"/>
      <c r="E579" s="39"/>
      <c r="F579" s="34"/>
      <c r="G579" s="35">
        <f>Table1[[#This Row],[Selling Price]]-Table1[[#This Row],[Cost Price]]</f>
        <v>0</v>
      </c>
      <c r="H579" s="32"/>
      <c r="I579" s="36" t="s">
        <v>36</v>
      </c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x14ac:dyDescent="0.25">
      <c r="A580" s="31"/>
      <c r="B580" s="32"/>
      <c r="C580" s="32"/>
      <c r="D580" s="32"/>
      <c r="E580" s="39"/>
      <c r="F580" s="34"/>
      <c r="G580" s="35">
        <f>Table1[[#This Row],[Selling Price]]-Table1[[#This Row],[Cost Price]]</f>
        <v>0</v>
      </c>
      <c r="H580" s="32"/>
      <c r="I580" s="36" t="s">
        <v>36</v>
      </c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x14ac:dyDescent="0.25">
      <c r="A581" s="31"/>
      <c r="B581" s="32"/>
      <c r="C581" s="32"/>
      <c r="D581" s="32"/>
      <c r="E581" s="39"/>
      <c r="F581" s="34"/>
      <c r="G581" s="35">
        <f>Table1[[#This Row],[Selling Price]]-Table1[[#This Row],[Cost Price]]</f>
        <v>0</v>
      </c>
      <c r="H581" s="32"/>
      <c r="I581" s="36" t="s">
        <v>36</v>
      </c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x14ac:dyDescent="0.25">
      <c r="A582" s="31"/>
      <c r="B582" s="32"/>
      <c r="C582" s="32"/>
      <c r="D582" s="32"/>
      <c r="E582" s="39"/>
      <c r="F582" s="34"/>
      <c r="G582" s="35">
        <f>Table1[[#This Row],[Selling Price]]-Table1[[#This Row],[Cost Price]]</f>
        <v>0</v>
      </c>
      <c r="H582" s="32"/>
      <c r="I582" s="36" t="s">
        <v>36</v>
      </c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x14ac:dyDescent="0.25">
      <c r="A583" s="31"/>
      <c r="B583" s="32"/>
      <c r="C583" s="32"/>
      <c r="D583" s="32"/>
      <c r="E583" s="39"/>
      <c r="F583" s="34"/>
      <c r="G583" s="35">
        <f>Table1[[#This Row],[Selling Price]]-Table1[[#This Row],[Cost Price]]</f>
        <v>0</v>
      </c>
      <c r="H583" s="32"/>
      <c r="I583" s="36" t="s">
        <v>36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x14ac:dyDescent="0.25">
      <c r="A584" s="31"/>
      <c r="B584" s="32"/>
      <c r="C584" s="32"/>
      <c r="D584" s="32"/>
      <c r="E584" s="39"/>
      <c r="F584" s="34"/>
      <c r="G584" s="35">
        <f>Table1[[#This Row],[Selling Price]]-Table1[[#This Row],[Cost Price]]</f>
        <v>0</v>
      </c>
      <c r="H584" s="32"/>
      <c r="I584" s="36" t="s">
        <v>36</v>
      </c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x14ac:dyDescent="0.25">
      <c r="A585" s="31"/>
      <c r="B585" s="32"/>
      <c r="C585" s="32"/>
      <c r="D585" s="32"/>
      <c r="E585" s="39"/>
      <c r="F585" s="34"/>
      <c r="G585" s="35">
        <f>Table1[[#This Row],[Selling Price]]-Table1[[#This Row],[Cost Price]]</f>
        <v>0</v>
      </c>
      <c r="H585" s="32"/>
      <c r="I585" s="36" t="s">
        <v>36</v>
      </c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x14ac:dyDescent="0.25">
      <c r="A586" s="31"/>
      <c r="B586" s="32"/>
      <c r="C586" s="32"/>
      <c r="D586" s="32"/>
      <c r="E586" s="39"/>
      <c r="F586" s="34"/>
      <c r="G586" s="35">
        <f>Table1[[#This Row],[Selling Price]]-Table1[[#This Row],[Cost Price]]</f>
        <v>0</v>
      </c>
      <c r="H586" s="32"/>
      <c r="I586" s="36" t="s">
        <v>36</v>
      </c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x14ac:dyDescent="0.25">
      <c r="A587" s="31"/>
      <c r="B587" s="32"/>
      <c r="C587" s="32"/>
      <c r="D587" s="32"/>
      <c r="E587" s="39"/>
      <c r="F587" s="34"/>
      <c r="G587" s="35">
        <f>Table1[[#This Row],[Selling Price]]-Table1[[#This Row],[Cost Price]]</f>
        <v>0</v>
      </c>
      <c r="H587" s="32"/>
      <c r="I587" s="36" t="s">
        <v>36</v>
      </c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x14ac:dyDescent="0.25">
      <c r="A588" s="31"/>
      <c r="B588" s="32"/>
      <c r="C588" s="32"/>
      <c r="D588" s="32"/>
      <c r="E588" s="39"/>
      <c r="F588" s="34"/>
      <c r="G588" s="35">
        <f>Table1[[#This Row],[Selling Price]]-Table1[[#This Row],[Cost Price]]</f>
        <v>0</v>
      </c>
      <c r="H588" s="32"/>
      <c r="I588" s="36" t="s">
        <v>36</v>
      </c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x14ac:dyDescent="0.25">
      <c r="A589" s="31"/>
      <c r="B589" s="32"/>
      <c r="C589" s="32"/>
      <c r="D589" s="32"/>
      <c r="E589" s="39"/>
      <c r="F589" s="34"/>
      <c r="G589" s="35">
        <f>Table1[[#This Row],[Selling Price]]-Table1[[#This Row],[Cost Price]]</f>
        <v>0</v>
      </c>
      <c r="H589" s="32"/>
      <c r="I589" s="36" t="s">
        <v>36</v>
      </c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x14ac:dyDescent="0.25">
      <c r="A590" s="31"/>
      <c r="B590" s="32"/>
      <c r="C590" s="32"/>
      <c r="D590" s="32"/>
      <c r="E590" s="39"/>
      <c r="F590" s="34"/>
      <c r="G590" s="35">
        <f>Table1[[#This Row],[Selling Price]]-Table1[[#This Row],[Cost Price]]</f>
        <v>0</v>
      </c>
      <c r="H590" s="32"/>
      <c r="I590" s="36" t="s">
        <v>36</v>
      </c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x14ac:dyDescent="0.25">
      <c r="A591" s="31"/>
      <c r="B591" s="32"/>
      <c r="C591" s="32"/>
      <c r="D591" s="32"/>
      <c r="E591" s="39"/>
      <c r="F591" s="34"/>
      <c r="G591" s="35">
        <f>Table1[[#This Row],[Selling Price]]-Table1[[#This Row],[Cost Price]]</f>
        <v>0</v>
      </c>
      <c r="H591" s="32"/>
      <c r="I591" s="36" t="s">
        <v>36</v>
      </c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x14ac:dyDescent="0.25">
      <c r="A592" s="31"/>
      <c r="B592" s="32"/>
      <c r="C592" s="32"/>
      <c r="D592" s="32"/>
      <c r="E592" s="39"/>
      <c r="F592" s="34"/>
      <c r="G592" s="35">
        <f>Table1[[#This Row],[Selling Price]]-Table1[[#This Row],[Cost Price]]</f>
        <v>0</v>
      </c>
      <c r="H592" s="32"/>
      <c r="I592" s="36" t="s">
        <v>36</v>
      </c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x14ac:dyDescent="0.25">
      <c r="A593" s="31"/>
      <c r="B593" s="32"/>
      <c r="C593" s="32"/>
      <c r="D593" s="32"/>
      <c r="E593" s="39"/>
      <c r="F593" s="34"/>
      <c r="G593" s="35">
        <f>Table1[[#This Row],[Selling Price]]-Table1[[#This Row],[Cost Price]]</f>
        <v>0</v>
      </c>
      <c r="H593" s="32"/>
      <c r="I593" s="36" t="s">
        <v>36</v>
      </c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x14ac:dyDescent="0.25">
      <c r="A594" s="31"/>
      <c r="B594" s="32"/>
      <c r="C594" s="32"/>
      <c r="D594" s="32"/>
      <c r="E594" s="39"/>
      <c r="F594" s="34"/>
      <c r="G594" s="35">
        <f>Table1[[#This Row],[Selling Price]]-Table1[[#This Row],[Cost Price]]</f>
        <v>0</v>
      </c>
      <c r="H594" s="32"/>
      <c r="I594" s="36" t="s">
        <v>36</v>
      </c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x14ac:dyDescent="0.25">
      <c r="A595" s="31"/>
      <c r="B595" s="32"/>
      <c r="C595" s="32"/>
      <c r="D595" s="32"/>
      <c r="E595" s="39"/>
      <c r="F595" s="34"/>
      <c r="G595" s="35">
        <f>Table1[[#This Row],[Selling Price]]-Table1[[#This Row],[Cost Price]]</f>
        <v>0</v>
      </c>
      <c r="H595" s="32"/>
      <c r="I595" s="36" t="s">
        <v>36</v>
      </c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x14ac:dyDescent="0.25">
      <c r="A596" s="31"/>
      <c r="B596" s="32"/>
      <c r="C596" s="32"/>
      <c r="D596" s="32"/>
      <c r="E596" s="39"/>
      <c r="F596" s="34"/>
      <c r="G596" s="35">
        <f>Table1[[#This Row],[Selling Price]]-Table1[[#This Row],[Cost Price]]</f>
        <v>0</v>
      </c>
      <c r="H596" s="32"/>
      <c r="I596" s="36" t="s">
        <v>36</v>
      </c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x14ac:dyDescent="0.25">
      <c r="A597" s="31"/>
      <c r="B597" s="32"/>
      <c r="C597" s="32"/>
      <c r="D597" s="32"/>
      <c r="E597" s="39"/>
      <c r="F597" s="34"/>
      <c r="G597" s="35">
        <f>Table1[[#This Row],[Selling Price]]-Table1[[#This Row],[Cost Price]]</f>
        <v>0</v>
      </c>
      <c r="H597" s="32"/>
      <c r="I597" s="36" t="s">
        <v>36</v>
      </c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x14ac:dyDescent="0.25">
      <c r="A598" s="31"/>
      <c r="B598" s="32"/>
      <c r="C598" s="32"/>
      <c r="D598" s="32"/>
      <c r="E598" s="39"/>
      <c r="F598" s="34"/>
      <c r="G598" s="35">
        <f>Table1[[#This Row],[Selling Price]]-Table1[[#This Row],[Cost Price]]</f>
        <v>0</v>
      </c>
      <c r="H598" s="32"/>
      <c r="I598" s="36" t="s">
        <v>36</v>
      </c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x14ac:dyDescent="0.25">
      <c r="A599" s="31"/>
      <c r="B599" s="32"/>
      <c r="C599" s="32"/>
      <c r="D599" s="32"/>
      <c r="E599" s="39"/>
      <c r="F599" s="34"/>
      <c r="G599" s="35">
        <f>Table1[[#This Row],[Selling Price]]-Table1[[#This Row],[Cost Price]]</f>
        <v>0</v>
      </c>
      <c r="H599" s="32"/>
      <c r="I599" s="36" t="s">
        <v>36</v>
      </c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x14ac:dyDescent="0.25">
      <c r="A600" s="31"/>
      <c r="B600" s="32"/>
      <c r="C600" s="32"/>
      <c r="D600" s="32"/>
      <c r="E600" s="39"/>
      <c r="F600" s="34"/>
      <c r="G600" s="35">
        <f>Table1[[#This Row],[Selling Price]]-Table1[[#This Row],[Cost Price]]</f>
        <v>0</v>
      </c>
      <c r="H600" s="32"/>
      <c r="I600" s="36" t="s">
        <v>36</v>
      </c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x14ac:dyDescent="0.25">
      <c r="A601" s="31"/>
      <c r="B601" s="32"/>
      <c r="C601" s="32"/>
      <c r="D601" s="32"/>
      <c r="E601" s="39"/>
      <c r="F601" s="34"/>
      <c r="G601" s="35">
        <f>Table1[[#This Row],[Selling Price]]-Table1[[#This Row],[Cost Price]]</f>
        <v>0</v>
      </c>
      <c r="H601" s="32"/>
      <c r="I601" s="36" t="s">
        <v>36</v>
      </c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x14ac:dyDescent="0.25">
      <c r="A602" s="31"/>
      <c r="B602" s="32"/>
      <c r="C602" s="32"/>
      <c r="D602" s="32"/>
      <c r="E602" s="39"/>
      <c r="F602" s="34"/>
      <c r="G602" s="35">
        <f>Table1[[#This Row],[Selling Price]]-Table1[[#This Row],[Cost Price]]</f>
        <v>0</v>
      </c>
      <c r="H602" s="32"/>
      <c r="I602" s="36" t="s">
        <v>36</v>
      </c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x14ac:dyDescent="0.25">
      <c r="A603" s="31"/>
      <c r="B603" s="32"/>
      <c r="C603" s="32"/>
      <c r="D603" s="32"/>
      <c r="E603" s="39"/>
      <c r="F603" s="34"/>
      <c r="G603" s="35">
        <f>Table1[[#This Row],[Selling Price]]-Table1[[#This Row],[Cost Price]]</f>
        <v>0</v>
      </c>
      <c r="H603" s="32"/>
      <c r="I603" s="36" t="s">
        <v>36</v>
      </c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x14ac:dyDescent="0.25">
      <c r="A604" s="31"/>
      <c r="B604" s="32"/>
      <c r="C604" s="32"/>
      <c r="D604" s="32"/>
      <c r="E604" s="39"/>
      <c r="F604" s="34"/>
      <c r="G604" s="35">
        <f>Table1[[#This Row],[Selling Price]]-Table1[[#This Row],[Cost Price]]</f>
        <v>0</v>
      </c>
      <c r="H604" s="32"/>
      <c r="I604" s="36" t="s">
        <v>36</v>
      </c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x14ac:dyDescent="0.25">
      <c r="A605" s="31"/>
      <c r="B605" s="32"/>
      <c r="C605" s="32"/>
      <c r="D605" s="32"/>
      <c r="E605" s="39"/>
      <c r="F605" s="34"/>
      <c r="G605" s="35">
        <f>Table1[[#This Row],[Selling Price]]-Table1[[#This Row],[Cost Price]]</f>
        <v>0</v>
      </c>
      <c r="H605" s="32"/>
      <c r="I605" s="36" t="s">
        <v>36</v>
      </c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x14ac:dyDescent="0.25">
      <c r="A606" s="31"/>
      <c r="B606" s="32"/>
      <c r="C606" s="32"/>
      <c r="D606" s="32"/>
      <c r="E606" s="39"/>
      <c r="F606" s="34"/>
      <c r="G606" s="35">
        <f>Table1[[#This Row],[Selling Price]]-Table1[[#This Row],[Cost Price]]</f>
        <v>0</v>
      </c>
      <c r="H606" s="32"/>
      <c r="I606" s="36" t="s">
        <v>36</v>
      </c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x14ac:dyDescent="0.25">
      <c r="A607" s="31"/>
      <c r="B607" s="32"/>
      <c r="C607" s="32"/>
      <c r="D607" s="32"/>
      <c r="E607" s="39"/>
      <c r="F607" s="34"/>
      <c r="G607" s="35">
        <f>Table1[[#This Row],[Selling Price]]-Table1[[#This Row],[Cost Price]]</f>
        <v>0</v>
      </c>
      <c r="H607" s="32"/>
      <c r="I607" s="36" t="s">
        <v>36</v>
      </c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x14ac:dyDescent="0.25">
      <c r="A608" s="31"/>
      <c r="B608" s="32"/>
      <c r="C608" s="32"/>
      <c r="D608" s="32"/>
      <c r="E608" s="39"/>
      <c r="F608" s="34"/>
      <c r="G608" s="35">
        <f>Table1[[#This Row],[Selling Price]]-Table1[[#This Row],[Cost Price]]</f>
        <v>0</v>
      </c>
      <c r="H608" s="32"/>
      <c r="I608" s="36" t="s">
        <v>36</v>
      </c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x14ac:dyDescent="0.25">
      <c r="A609" s="31"/>
      <c r="B609" s="32"/>
      <c r="C609" s="32"/>
      <c r="D609" s="32"/>
      <c r="E609" s="39"/>
      <c r="F609" s="34"/>
      <c r="G609" s="35">
        <f>Table1[[#This Row],[Selling Price]]-Table1[[#This Row],[Cost Price]]</f>
        <v>0</v>
      </c>
      <c r="H609" s="32"/>
      <c r="I609" s="36" t="s">
        <v>36</v>
      </c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x14ac:dyDescent="0.25">
      <c r="A610" s="31"/>
      <c r="B610" s="32"/>
      <c r="C610" s="32"/>
      <c r="D610" s="32"/>
      <c r="E610" s="39"/>
      <c r="F610" s="34"/>
      <c r="G610" s="35">
        <f>Table1[[#This Row],[Selling Price]]-Table1[[#This Row],[Cost Price]]</f>
        <v>0</v>
      </c>
      <c r="H610" s="32"/>
      <c r="I610" s="36" t="s">
        <v>36</v>
      </c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x14ac:dyDescent="0.25">
      <c r="A611" s="31"/>
      <c r="B611" s="32"/>
      <c r="C611" s="32"/>
      <c r="D611" s="32"/>
      <c r="E611" s="39"/>
      <c r="F611" s="34"/>
      <c r="G611" s="35">
        <f>Table1[[#This Row],[Selling Price]]-Table1[[#This Row],[Cost Price]]</f>
        <v>0</v>
      </c>
      <c r="H611" s="32"/>
      <c r="I611" s="36" t="s">
        <v>36</v>
      </c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x14ac:dyDescent="0.25">
      <c r="A612" s="31"/>
      <c r="B612" s="32"/>
      <c r="C612" s="32"/>
      <c r="D612" s="32"/>
      <c r="E612" s="39"/>
      <c r="F612" s="34"/>
      <c r="G612" s="35">
        <f>Table1[[#This Row],[Selling Price]]-Table1[[#This Row],[Cost Price]]</f>
        <v>0</v>
      </c>
      <c r="H612" s="32"/>
      <c r="I612" s="36" t="s">
        <v>36</v>
      </c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x14ac:dyDescent="0.25">
      <c r="A613" s="31"/>
      <c r="B613" s="32"/>
      <c r="C613" s="32"/>
      <c r="D613" s="32"/>
      <c r="E613" s="39"/>
      <c r="F613" s="34"/>
      <c r="G613" s="35">
        <f>Table1[[#This Row],[Selling Price]]-Table1[[#This Row],[Cost Price]]</f>
        <v>0</v>
      </c>
      <c r="H613" s="32"/>
      <c r="I613" s="36" t="s">
        <v>36</v>
      </c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x14ac:dyDescent="0.25">
      <c r="A614" s="31"/>
      <c r="B614" s="32"/>
      <c r="C614" s="32"/>
      <c r="D614" s="32"/>
      <c r="E614" s="39"/>
      <c r="F614" s="34"/>
      <c r="G614" s="35">
        <f>Table1[[#This Row],[Selling Price]]-Table1[[#This Row],[Cost Price]]</f>
        <v>0</v>
      </c>
      <c r="H614" s="32"/>
      <c r="I614" s="36" t="s">
        <v>36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x14ac:dyDescent="0.25">
      <c r="A615" s="31"/>
      <c r="B615" s="32"/>
      <c r="C615" s="32"/>
      <c r="D615" s="32"/>
      <c r="E615" s="39"/>
      <c r="F615" s="34"/>
      <c r="G615" s="35">
        <f>Table1[[#This Row],[Selling Price]]-Table1[[#This Row],[Cost Price]]</f>
        <v>0</v>
      </c>
      <c r="H615" s="32"/>
      <c r="I615" s="36" t="s">
        <v>36</v>
      </c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x14ac:dyDescent="0.25">
      <c r="A616" s="31"/>
      <c r="B616" s="32"/>
      <c r="C616" s="32"/>
      <c r="D616" s="32"/>
      <c r="E616" s="39"/>
      <c r="F616" s="34"/>
      <c r="G616" s="35">
        <f>Table1[[#This Row],[Selling Price]]-Table1[[#This Row],[Cost Price]]</f>
        <v>0</v>
      </c>
      <c r="H616" s="32"/>
      <c r="I616" s="36" t="s">
        <v>36</v>
      </c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x14ac:dyDescent="0.25">
      <c r="A617" s="31"/>
      <c r="B617" s="32"/>
      <c r="C617" s="32"/>
      <c r="D617" s="32"/>
      <c r="E617" s="39"/>
      <c r="F617" s="34"/>
      <c r="G617" s="35">
        <f>Table1[[#This Row],[Selling Price]]-Table1[[#This Row],[Cost Price]]</f>
        <v>0</v>
      </c>
      <c r="H617" s="32"/>
      <c r="I617" s="36" t="s">
        <v>36</v>
      </c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x14ac:dyDescent="0.25">
      <c r="A618" s="31"/>
      <c r="B618" s="32"/>
      <c r="C618" s="32"/>
      <c r="D618" s="32"/>
      <c r="E618" s="39"/>
      <c r="F618" s="34"/>
      <c r="G618" s="35">
        <f>Table1[[#This Row],[Selling Price]]-Table1[[#This Row],[Cost Price]]</f>
        <v>0</v>
      </c>
      <c r="H618" s="32"/>
      <c r="I618" s="36" t="s">
        <v>36</v>
      </c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x14ac:dyDescent="0.25">
      <c r="A619" s="31"/>
      <c r="B619" s="32"/>
      <c r="C619" s="32"/>
      <c r="D619" s="32"/>
      <c r="E619" s="39"/>
      <c r="F619" s="34"/>
      <c r="G619" s="35">
        <f>Table1[[#This Row],[Selling Price]]-Table1[[#This Row],[Cost Price]]</f>
        <v>0</v>
      </c>
      <c r="H619" s="32"/>
      <c r="I619" s="36" t="s">
        <v>36</v>
      </c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x14ac:dyDescent="0.25">
      <c r="A620" s="31"/>
      <c r="B620" s="32"/>
      <c r="C620" s="32"/>
      <c r="D620" s="32"/>
      <c r="E620" s="39"/>
      <c r="F620" s="34"/>
      <c r="G620" s="35">
        <f>Table1[[#This Row],[Selling Price]]-Table1[[#This Row],[Cost Price]]</f>
        <v>0</v>
      </c>
      <c r="H620" s="32"/>
      <c r="I620" s="36" t="s">
        <v>36</v>
      </c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x14ac:dyDescent="0.25">
      <c r="A621" s="31"/>
      <c r="B621" s="32"/>
      <c r="C621" s="32"/>
      <c r="D621" s="32"/>
      <c r="E621" s="39"/>
      <c r="F621" s="34"/>
      <c r="G621" s="35">
        <f>Table1[[#This Row],[Selling Price]]-Table1[[#This Row],[Cost Price]]</f>
        <v>0</v>
      </c>
      <c r="H621" s="32"/>
      <c r="I621" s="36" t="s">
        <v>36</v>
      </c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x14ac:dyDescent="0.25">
      <c r="A622" s="31"/>
      <c r="B622" s="32"/>
      <c r="C622" s="32"/>
      <c r="D622" s="32"/>
      <c r="E622" s="39"/>
      <c r="F622" s="34"/>
      <c r="G622" s="35">
        <f>Table1[[#This Row],[Selling Price]]-Table1[[#This Row],[Cost Price]]</f>
        <v>0</v>
      </c>
      <c r="H622" s="32"/>
      <c r="I622" s="36" t="s">
        <v>36</v>
      </c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x14ac:dyDescent="0.25">
      <c r="A623" s="31"/>
      <c r="B623" s="32"/>
      <c r="C623" s="32"/>
      <c r="D623" s="32"/>
      <c r="E623" s="39"/>
      <c r="F623" s="34"/>
      <c r="G623" s="35">
        <f>Table1[[#This Row],[Selling Price]]-Table1[[#This Row],[Cost Price]]</f>
        <v>0</v>
      </c>
      <c r="H623" s="32"/>
      <c r="I623" s="36" t="s">
        <v>36</v>
      </c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x14ac:dyDescent="0.25">
      <c r="A624" s="31"/>
      <c r="B624" s="32"/>
      <c r="C624" s="32"/>
      <c r="D624" s="32"/>
      <c r="E624" s="39"/>
      <c r="F624" s="34"/>
      <c r="G624" s="35">
        <f>Table1[[#This Row],[Selling Price]]-Table1[[#This Row],[Cost Price]]</f>
        <v>0</v>
      </c>
      <c r="H624" s="32"/>
      <c r="I624" s="36" t="s">
        <v>36</v>
      </c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x14ac:dyDescent="0.25">
      <c r="A625" s="31"/>
      <c r="B625" s="32"/>
      <c r="C625" s="32"/>
      <c r="D625" s="32"/>
      <c r="E625" s="39"/>
      <c r="F625" s="34"/>
      <c r="G625" s="35">
        <f>Table1[[#This Row],[Selling Price]]-Table1[[#This Row],[Cost Price]]</f>
        <v>0</v>
      </c>
      <c r="H625" s="32"/>
      <c r="I625" s="36" t="s">
        <v>36</v>
      </c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x14ac:dyDescent="0.25">
      <c r="A626" s="31"/>
      <c r="B626" s="32"/>
      <c r="C626" s="32"/>
      <c r="D626" s="32"/>
      <c r="E626" s="39"/>
      <c r="F626" s="34"/>
      <c r="G626" s="35">
        <f>Table1[[#This Row],[Selling Price]]-Table1[[#This Row],[Cost Price]]</f>
        <v>0</v>
      </c>
      <c r="H626" s="32"/>
      <c r="I626" s="36" t="s">
        <v>36</v>
      </c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x14ac:dyDescent="0.25">
      <c r="A627" s="31"/>
      <c r="B627" s="32"/>
      <c r="C627" s="32"/>
      <c r="D627" s="32"/>
      <c r="E627" s="39"/>
      <c r="F627" s="34"/>
      <c r="G627" s="35">
        <f>Table1[[#This Row],[Selling Price]]-Table1[[#This Row],[Cost Price]]</f>
        <v>0</v>
      </c>
      <c r="H627" s="32"/>
      <c r="I627" s="36" t="s">
        <v>36</v>
      </c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x14ac:dyDescent="0.25">
      <c r="A628" s="31"/>
      <c r="B628" s="32"/>
      <c r="C628" s="32"/>
      <c r="D628" s="32"/>
      <c r="E628" s="39"/>
      <c r="F628" s="34"/>
      <c r="G628" s="35">
        <f>Table1[[#This Row],[Selling Price]]-Table1[[#This Row],[Cost Price]]</f>
        <v>0</v>
      </c>
      <c r="H628" s="32"/>
      <c r="I628" s="36" t="s">
        <v>36</v>
      </c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x14ac:dyDescent="0.25">
      <c r="A629" s="31"/>
      <c r="B629" s="32"/>
      <c r="C629" s="32"/>
      <c r="D629" s="32"/>
      <c r="E629" s="39"/>
      <c r="F629" s="34"/>
      <c r="G629" s="35">
        <f>Table1[[#This Row],[Selling Price]]-Table1[[#This Row],[Cost Price]]</f>
        <v>0</v>
      </c>
      <c r="H629" s="32"/>
      <c r="I629" s="36" t="s">
        <v>36</v>
      </c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x14ac:dyDescent="0.25">
      <c r="A630" s="31"/>
      <c r="B630" s="32"/>
      <c r="C630" s="32"/>
      <c r="D630" s="32"/>
      <c r="E630" s="39"/>
      <c r="F630" s="34"/>
      <c r="G630" s="35">
        <f>Table1[[#This Row],[Selling Price]]-Table1[[#This Row],[Cost Price]]</f>
        <v>0</v>
      </c>
      <c r="H630" s="32"/>
      <c r="I630" s="36" t="s">
        <v>36</v>
      </c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x14ac:dyDescent="0.25">
      <c r="A631" s="31"/>
      <c r="B631" s="32"/>
      <c r="C631" s="32"/>
      <c r="D631" s="32"/>
      <c r="E631" s="39"/>
      <c r="F631" s="34"/>
      <c r="G631" s="35">
        <f>Table1[[#This Row],[Selling Price]]-Table1[[#This Row],[Cost Price]]</f>
        <v>0</v>
      </c>
      <c r="H631" s="32"/>
      <c r="I631" s="36" t="s">
        <v>36</v>
      </c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x14ac:dyDescent="0.25">
      <c r="A632" s="31"/>
      <c r="B632" s="32"/>
      <c r="C632" s="32"/>
      <c r="D632" s="32"/>
      <c r="E632" s="39"/>
      <c r="F632" s="34"/>
      <c r="G632" s="35">
        <f>Table1[[#This Row],[Selling Price]]-Table1[[#This Row],[Cost Price]]</f>
        <v>0</v>
      </c>
      <c r="H632" s="32"/>
      <c r="I632" s="36" t="s">
        <v>36</v>
      </c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x14ac:dyDescent="0.25">
      <c r="A633" s="31"/>
      <c r="B633" s="32"/>
      <c r="C633" s="32"/>
      <c r="D633" s="32"/>
      <c r="E633" s="39"/>
      <c r="F633" s="34"/>
      <c r="G633" s="35">
        <f>Table1[[#This Row],[Selling Price]]-Table1[[#This Row],[Cost Price]]</f>
        <v>0</v>
      </c>
      <c r="H633" s="32"/>
      <c r="I633" s="36" t="s">
        <v>36</v>
      </c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x14ac:dyDescent="0.25">
      <c r="A634" s="31"/>
      <c r="B634" s="32"/>
      <c r="C634" s="32"/>
      <c r="D634" s="32"/>
      <c r="E634" s="39"/>
      <c r="F634" s="34"/>
      <c r="G634" s="35">
        <f>Table1[[#This Row],[Selling Price]]-Table1[[#This Row],[Cost Price]]</f>
        <v>0</v>
      </c>
      <c r="H634" s="32"/>
      <c r="I634" s="36" t="s">
        <v>36</v>
      </c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x14ac:dyDescent="0.25">
      <c r="A635" s="31"/>
      <c r="B635" s="32"/>
      <c r="C635" s="32"/>
      <c r="D635" s="32"/>
      <c r="E635" s="39"/>
      <c r="F635" s="34"/>
      <c r="G635" s="35">
        <f>Table1[[#This Row],[Selling Price]]-Table1[[#This Row],[Cost Price]]</f>
        <v>0</v>
      </c>
      <c r="H635" s="32"/>
      <c r="I635" s="36" t="s">
        <v>36</v>
      </c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x14ac:dyDescent="0.25">
      <c r="A636" s="31"/>
      <c r="B636" s="32"/>
      <c r="C636" s="32"/>
      <c r="D636" s="32"/>
      <c r="E636" s="39"/>
      <c r="F636" s="34"/>
      <c r="G636" s="35">
        <f>Table1[[#This Row],[Selling Price]]-Table1[[#This Row],[Cost Price]]</f>
        <v>0</v>
      </c>
      <c r="H636" s="32"/>
      <c r="I636" s="36" t="s">
        <v>36</v>
      </c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x14ac:dyDescent="0.25">
      <c r="A637" s="31"/>
      <c r="B637" s="32"/>
      <c r="C637" s="32"/>
      <c r="D637" s="32"/>
      <c r="E637" s="39"/>
      <c r="F637" s="34"/>
      <c r="G637" s="35">
        <f>Table1[[#This Row],[Selling Price]]-Table1[[#This Row],[Cost Price]]</f>
        <v>0</v>
      </c>
      <c r="H637" s="32"/>
      <c r="I637" s="36" t="s">
        <v>36</v>
      </c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x14ac:dyDescent="0.25">
      <c r="A638" s="31"/>
      <c r="B638" s="32"/>
      <c r="C638" s="32"/>
      <c r="D638" s="32"/>
      <c r="E638" s="39"/>
      <c r="F638" s="34"/>
      <c r="G638" s="35">
        <f>Table1[[#This Row],[Selling Price]]-Table1[[#This Row],[Cost Price]]</f>
        <v>0</v>
      </c>
      <c r="H638" s="32"/>
      <c r="I638" s="36" t="s">
        <v>36</v>
      </c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x14ac:dyDescent="0.25">
      <c r="A639" s="31"/>
      <c r="B639" s="32"/>
      <c r="C639" s="32"/>
      <c r="D639" s="32"/>
      <c r="E639" s="39"/>
      <c r="F639" s="34"/>
      <c r="G639" s="35">
        <f>Table1[[#This Row],[Selling Price]]-Table1[[#This Row],[Cost Price]]</f>
        <v>0</v>
      </c>
      <c r="H639" s="32"/>
      <c r="I639" s="36" t="s">
        <v>36</v>
      </c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x14ac:dyDescent="0.25">
      <c r="A640" s="31"/>
      <c r="B640" s="32"/>
      <c r="C640" s="32"/>
      <c r="D640" s="32"/>
      <c r="E640" s="39"/>
      <c r="F640" s="34"/>
      <c r="G640" s="35">
        <f>Table1[[#This Row],[Selling Price]]-Table1[[#This Row],[Cost Price]]</f>
        <v>0</v>
      </c>
      <c r="H640" s="32"/>
      <c r="I640" s="36" t="s">
        <v>36</v>
      </c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x14ac:dyDescent="0.25">
      <c r="A641" s="31"/>
      <c r="B641" s="32"/>
      <c r="C641" s="32"/>
      <c r="D641" s="32"/>
      <c r="E641" s="39"/>
      <c r="F641" s="34"/>
      <c r="G641" s="35">
        <f>Table1[[#This Row],[Selling Price]]-Table1[[#This Row],[Cost Price]]</f>
        <v>0</v>
      </c>
      <c r="H641" s="32"/>
      <c r="I641" s="36" t="s">
        <v>36</v>
      </c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x14ac:dyDescent="0.25">
      <c r="A642" s="31"/>
      <c r="B642" s="32"/>
      <c r="C642" s="32"/>
      <c r="D642" s="32"/>
      <c r="E642" s="39"/>
      <c r="F642" s="34"/>
      <c r="G642" s="35">
        <f>Table1[[#This Row],[Selling Price]]-Table1[[#This Row],[Cost Price]]</f>
        <v>0</v>
      </c>
      <c r="H642" s="32"/>
      <c r="I642" s="36" t="s">
        <v>36</v>
      </c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x14ac:dyDescent="0.25">
      <c r="A643" s="31"/>
      <c r="B643" s="32"/>
      <c r="C643" s="32"/>
      <c r="D643" s="32"/>
      <c r="E643" s="39"/>
      <c r="F643" s="34"/>
      <c r="G643" s="35">
        <f>Table1[[#This Row],[Selling Price]]-Table1[[#This Row],[Cost Price]]</f>
        <v>0</v>
      </c>
      <c r="H643" s="32"/>
      <c r="I643" s="36" t="s">
        <v>36</v>
      </c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x14ac:dyDescent="0.25">
      <c r="A644" s="31"/>
      <c r="B644" s="32"/>
      <c r="C644" s="32"/>
      <c r="D644" s="32"/>
      <c r="E644" s="39"/>
      <c r="F644" s="34"/>
      <c r="G644" s="35">
        <f>Table1[[#This Row],[Selling Price]]-Table1[[#This Row],[Cost Price]]</f>
        <v>0</v>
      </c>
      <c r="H644" s="32"/>
      <c r="I644" s="36" t="s">
        <v>36</v>
      </c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x14ac:dyDescent="0.25">
      <c r="A645" s="31"/>
      <c r="B645" s="32"/>
      <c r="C645" s="32"/>
      <c r="D645" s="32"/>
      <c r="E645" s="39"/>
      <c r="F645" s="34"/>
      <c r="G645" s="35">
        <f>Table1[[#This Row],[Selling Price]]-Table1[[#This Row],[Cost Price]]</f>
        <v>0</v>
      </c>
      <c r="H645" s="32"/>
      <c r="I645" s="36" t="s">
        <v>36</v>
      </c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x14ac:dyDescent="0.25">
      <c r="A646" s="31"/>
      <c r="B646" s="32"/>
      <c r="C646" s="32"/>
      <c r="D646" s="32"/>
      <c r="E646" s="39"/>
      <c r="F646" s="34"/>
      <c r="G646" s="35">
        <f>Table1[[#This Row],[Selling Price]]-Table1[[#This Row],[Cost Price]]</f>
        <v>0</v>
      </c>
      <c r="H646" s="32"/>
      <c r="I646" s="36" t="s">
        <v>36</v>
      </c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x14ac:dyDescent="0.25">
      <c r="A647" s="31"/>
      <c r="B647" s="32"/>
      <c r="C647" s="32"/>
      <c r="D647" s="32"/>
      <c r="E647" s="39"/>
      <c r="F647" s="34"/>
      <c r="G647" s="35">
        <f>Table1[[#This Row],[Selling Price]]-Table1[[#This Row],[Cost Price]]</f>
        <v>0</v>
      </c>
      <c r="H647" s="32"/>
      <c r="I647" s="36" t="s">
        <v>36</v>
      </c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x14ac:dyDescent="0.25">
      <c r="A648" s="31"/>
      <c r="B648" s="32"/>
      <c r="C648" s="32"/>
      <c r="D648" s="32"/>
      <c r="E648" s="39"/>
      <c r="F648" s="34"/>
      <c r="G648" s="35">
        <f>Table1[[#This Row],[Selling Price]]-Table1[[#This Row],[Cost Price]]</f>
        <v>0</v>
      </c>
      <c r="H648" s="32"/>
      <c r="I648" s="36" t="s">
        <v>36</v>
      </c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x14ac:dyDescent="0.25">
      <c r="A649" s="31"/>
      <c r="B649" s="32"/>
      <c r="C649" s="32"/>
      <c r="D649" s="32"/>
      <c r="E649" s="39"/>
      <c r="F649" s="34"/>
      <c r="G649" s="35">
        <f>Table1[[#This Row],[Selling Price]]-Table1[[#This Row],[Cost Price]]</f>
        <v>0</v>
      </c>
      <c r="H649" s="32"/>
      <c r="I649" s="36" t="s">
        <v>36</v>
      </c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x14ac:dyDescent="0.25">
      <c r="A650" s="31"/>
      <c r="B650" s="32"/>
      <c r="C650" s="32"/>
      <c r="D650" s="32"/>
      <c r="E650" s="39"/>
      <c r="F650" s="34"/>
      <c r="G650" s="35">
        <f>Table1[[#This Row],[Selling Price]]-Table1[[#This Row],[Cost Price]]</f>
        <v>0</v>
      </c>
      <c r="H650" s="32"/>
      <c r="I650" s="36" t="s">
        <v>36</v>
      </c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x14ac:dyDescent="0.25">
      <c r="A651" s="31"/>
      <c r="B651" s="32"/>
      <c r="C651" s="32"/>
      <c r="D651" s="32"/>
      <c r="E651" s="39"/>
      <c r="F651" s="34"/>
      <c r="G651" s="35">
        <f>Table1[[#This Row],[Selling Price]]-Table1[[#This Row],[Cost Price]]</f>
        <v>0</v>
      </c>
      <c r="H651" s="32"/>
      <c r="I651" s="36" t="s">
        <v>36</v>
      </c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x14ac:dyDescent="0.25">
      <c r="A652" s="31"/>
      <c r="B652" s="32"/>
      <c r="C652" s="32"/>
      <c r="D652" s="32"/>
      <c r="E652" s="39"/>
      <c r="F652" s="34"/>
      <c r="G652" s="35">
        <f>Table1[[#This Row],[Selling Price]]-Table1[[#This Row],[Cost Price]]</f>
        <v>0</v>
      </c>
      <c r="H652" s="32"/>
      <c r="I652" s="36" t="s">
        <v>36</v>
      </c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x14ac:dyDescent="0.25">
      <c r="A653" s="31"/>
      <c r="B653" s="32"/>
      <c r="C653" s="32"/>
      <c r="D653" s="32"/>
      <c r="E653" s="39"/>
      <c r="F653" s="34"/>
      <c r="G653" s="35">
        <f>Table1[[#This Row],[Selling Price]]-Table1[[#This Row],[Cost Price]]</f>
        <v>0</v>
      </c>
      <c r="H653" s="32"/>
      <c r="I653" s="36" t="s">
        <v>36</v>
      </c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x14ac:dyDescent="0.25">
      <c r="A654" s="31"/>
      <c r="B654" s="32"/>
      <c r="C654" s="32"/>
      <c r="D654" s="32"/>
      <c r="E654" s="39"/>
      <c r="F654" s="34"/>
      <c r="G654" s="35">
        <f>Table1[[#This Row],[Selling Price]]-Table1[[#This Row],[Cost Price]]</f>
        <v>0</v>
      </c>
      <c r="H654" s="32"/>
      <c r="I654" s="36" t="s">
        <v>36</v>
      </c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x14ac:dyDescent="0.25">
      <c r="A655" s="31"/>
      <c r="B655" s="32"/>
      <c r="C655" s="32"/>
      <c r="D655" s="32"/>
      <c r="E655" s="39"/>
      <c r="F655" s="34"/>
      <c r="G655" s="35">
        <f>Table1[[#This Row],[Selling Price]]-Table1[[#This Row],[Cost Price]]</f>
        <v>0</v>
      </c>
      <c r="H655" s="32"/>
      <c r="I655" s="36" t="s">
        <v>36</v>
      </c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x14ac:dyDescent="0.25">
      <c r="A656" s="31"/>
      <c r="B656" s="32"/>
      <c r="C656" s="32"/>
      <c r="D656" s="32"/>
      <c r="E656" s="39"/>
      <c r="F656" s="34"/>
      <c r="G656" s="35">
        <f>Table1[[#This Row],[Selling Price]]-Table1[[#This Row],[Cost Price]]</f>
        <v>0</v>
      </c>
      <c r="H656" s="32"/>
      <c r="I656" s="36" t="s">
        <v>36</v>
      </c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x14ac:dyDescent="0.25">
      <c r="A657" s="31"/>
      <c r="B657" s="32"/>
      <c r="C657" s="32"/>
      <c r="D657" s="32"/>
      <c r="E657" s="39"/>
      <c r="F657" s="34"/>
      <c r="G657" s="35">
        <f>Table1[[#This Row],[Selling Price]]-Table1[[#This Row],[Cost Price]]</f>
        <v>0</v>
      </c>
      <c r="H657" s="32"/>
      <c r="I657" s="36" t="s">
        <v>36</v>
      </c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x14ac:dyDescent="0.25">
      <c r="A658" s="31"/>
      <c r="B658" s="32"/>
      <c r="C658" s="32"/>
      <c r="D658" s="32"/>
      <c r="E658" s="39"/>
      <c r="F658" s="34"/>
      <c r="G658" s="35">
        <f>Table1[[#This Row],[Selling Price]]-Table1[[#This Row],[Cost Price]]</f>
        <v>0</v>
      </c>
      <c r="H658" s="32"/>
      <c r="I658" s="36" t="s">
        <v>36</v>
      </c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x14ac:dyDescent="0.25">
      <c r="A659" s="31"/>
      <c r="B659" s="32"/>
      <c r="C659" s="32"/>
      <c r="D659" s="32"/>
      <c r="E659" s="39"/>
      <c r="F659" s="34"/>
      <c r="G659" s="35">
        <f>Table1[[#This Row],[Selling Price]]-Table1[[#This Row],[Cost Price]]</f>
        <v>0</v>
      </c>
      <c r="H659" s="32"/>
      <c r="I659" s="36" t="s">
        <v>36</v>
      </c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x14ac:dyDescent="0.25">
      <c r="A660" s="31"/>
      <c r="B660" s="32"/>
      <c r="C660" s="32"/>
      <c r="D660" s="32"/>
      <c r="E660" s="39"/>
      <c r="F660" s="34"/>
      <c r="G660" s="35">
        <f>Table1[[#This Row],[Selling Price]]-Table1[[#This Row],[Cost Price]]</f>
        <v>0</v>
      </c>
      <c r="H660" s="32"/>
      <c r="I660" s="36" t="s">
        <v>36</v>
      </c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x14ac:dyDescent="0.25">
      <c r="A661" s="31"/>
      <c r="B661" s="32"/>
      <c r="C661" s="32"/>
      <c r="D661" s="32"/>
      <c r="E661" s="39"/>
      <c r="F661" s="34"/>
      <c r="G661" s="35">
        <f>Table1[[#This Row],[Selling Price]]-Table1[[#This Row],[Cost Price]]</f>
        <v>0</v>
      </c>
      <c r="H661" s="32"/>
      <c r="I661" s="36" t="s">
        <v>36</v>
      </c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x14ac:dyDescent="0.25">
      <c r="A662" s="31"/>
      <c r="B662" s="32"/>
      <c r="C662" s="32"/>
      <c r="D662" s="32"/>
      <c r="E662" s="39"/>
      <c r="F662" s="34"/>
      <c r="G662" s="35">
        <f>Table1[[#This Row],[Selling Price]]-Table1[[#This Row],[Cost Price]]</f>
        <v>0</v>
      </c>
      <c r="H662" s="32"/>
      <c r="I662" s="36" t="s">
        <v>36</v>
      </c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x14ac:dyDescent="0.25">
      <c r="A663" s="31"/>
      <c r="B663" s="32"/>
      <c r="C663" s="32"/>
      <c r="D663" s="32"/>
      <c r="E663" s="39"/>
      <c r="F663" s="34"/>
      <c r="G663" s="35">
        <f>Table1[[#This Row],[Selling Price]]-Table1[[#This Row],[Cost Price]]</f>
        <v>0</v>
      </c>
      <c r="H663" s="32"/>
      <c r="I663" s="36" t="s">
        <v>36</v>
      </c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x14ac:dyDescent="0.25">
      <c r="A664" s="31"/>
      <c r="B664" s="32"/>
      <c r="C664" s="32"/>
      <c r="D664" s="32"/>
      <c r="E664" s="39"/>
      <c r="F664" s="34"/>
      <c r="G664" s="35">
        <f>Table1[[#This Row],[Selling Price]]-Table1[[#This Row],[Cost Price]]</f>
        <v>0</v>
      </c>
      <c r="H664" s="32"/>
      <c r="I664" s="36" t="s">
        <v>36</v>
      </c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x14ac:dyDescent="0.25">
      <c r="A665" s="31"/>
      <c r="B665" s="32"/>
      <c r="C665" s="32"/>
      <c r="D665" s="32"/>
      <c r="E665" s="39"/>
      <c r="F665" s="34"/>
      <c r="G665" s="35">
        <f>Table1[[#This Row],[Selling Price]]-Table1[[#This Row],[Cost Price]]</f>
        <v>0</v>
      </c>
      <c r="H665" s="32"/>
      <c r="I665" s="36" t="s">
        <v>36</v>
      </c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x14ac:dyDescent="0.25">
      <c r="A666" s="31"/>
      <c r="B666" s="32"/>
      <c r="C666" s="32"/>
      <c r="D666" s="32"/>
      <c r="E666" s="39"/>
      <c r="F666" s="34"/>
      <c r="G666" s="35">
        <f>Table1[[#This Row],[Selling Price]]-Table1[[#This Row],[Cost Price]]</f>
        <v>0</v>
      </c>
      <c r="H666" s="32"/>
      <c r="I666" s="36" t="s">
        <v>36</v>
      </c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x14ac:dyDescent="0.25">
      <c r="A667" s="31"/>
      <c r="B667" s="32"/>
      <c r="C667" s="32"/>
      <c r="D667" s="32"/>
      <c r="E667" s="39"/>
      <c r="F667" s="34"/>
      <c r="G667" s="35">
        <f>Table1[[#This Row],[Selling Price]]-Table1[[#This Row],[Cost Price]]</f>
        <v>0</v>
      </c>
      <c r="H667" s="32"/>
      <c r="I667" s="36" t="s">
        <v>36</v>
      </c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x14ac:dyDescent="0.25">
      <c r="A668" s="31"/>
      <c r="B668" s="32"/>
      <c r="C668" s="32"/>
      <c r="D668" s="32"/>
      <c r="E668" s="39"/>
      <c r="F668" s="34"/>
      <c r="G668" s="35">
        <f>Table1[[#This Row],[Selling Price]]-Table1[[#This Row],[Cost Price]]</f>
        <v>0</v>
      </c>
      <c r="H668" s="32"/>
      <c r="I668" s="36" t="s">
        <v>36</v>
      </c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x14ac:dyDescent="0.25">
      <c r="A669" s="31"/>
      <c r="B669" s="32"/>
      <c r="C669" s="32"/>
      <c r="D669" s="32"/>
      <c r="E669" s="39"/>
      <c r="F669" s="34"/>
      <c r="G669" s="35">
        <f>Table1[[#This Row],[Selling Price]]-Table1[[#This Row],[Cost Price]]</f>
        <v>0</v>
      </c>
      <c r="H669" s="32"/>
      <c r="I669" s="36" t="s">
        <v>36</v>
      </c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x14ac:dyDescent="0.25">
      <c r="A670" s="31"/>
      <c r="B670" s="32"/>
      <c r="C670" s="32"/>
      <c r="D670" s="32"/>
      <c r="E670" s="39"/>
      <c r="F670" s="34"/>
      <c r="G670" s="35">
        <f>Table1[[#This Row],[Selling Price]]-Table1[[#This Row],[Cost Price]]</f>
        <v>0</v>
      </c>
      <c r="H670" s="32"/>
      <c r="I670" s="36" t="s">
        <v>36</v>
      </c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x14ac:dyDescent="0.25">
      <c r="A671" s="31"/>
      <c r="B671" s="32"/>
      <c r="C671" s="32"/>
      <c r="D671" s="32"/>
      <c r="E671" s="39"/>
      <c r="F671" s="34"/>
      <c r="G671" s="35">
        <f>Table1[[#This Row],[Selling Price]]-Table1[[#This Row],[Cost Price]]</f>
        <v>0</v>
      </c>
      <c r="H671" s="32"/>
      <c r="I671" s="36" t="s">
        <v>36</v>
      </c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x14ac:dyDescent="0.25">
      <c r="A672" s="31"/>
      <c r="B672" s="32"/>
      <c r="C672" s="32"/>
      <c r="D672" s="32"/>
      <c r="E672" s="39"/>
      <c r="F672" s="34"/>
      <c r="G672" s="35">
        <f>Table1[[#This Row],[Selling Price]]-Table1[[#This Row],[Cost Price]]</f>
        <v>0</v>
      </c>
      <c r="H672" s="32"/>
      <c r="I672" s="36" t="s">
        <v>36</v>
      </c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x14ac:dyDescent="0.25">
      <c r="A673" s="31"/>
      <c r="B673" s="32"/>
      <c r="C673" s="32"/>
      <c r="D673" s="32"/>
      <c r="E673" s="39"/>
      <c r="F673" s="34"/>
      <c r="G673" s="35">
        <f>Table1[[#This Row],[Selling Price]]-Table1[[#This Row],[Cost Price]]</f>
        <v>0</v>
      </c>
      <c r="H673" s="32"/>
      <c r="I673" s="36" t="s">
        <v>36</v>
      </c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x14ac:dyDescent="0.25">
      <c r="A674" s="31"/>
      <c r="B674" s="32"/>
      <c r="C674" s="32"/>
      <c r="D674" s="32"/>
      <c r="E674" s="39"/>
      <c r="F674" s="34"/>
      <c r="G674" s="35">
        <f>Table1[[#This Row],[Selling Price]]-Table1[[#This Row],[Cost Price]]</f>
        <v>0</v>
      </c>
      <c r="H674" s="32"/>
      <c r="I674" s="36" t="s">
        <v>36</v>
      </c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x14ac:dyDescent="0.25">
      <c r="A675" s="31"/>
      <c r="B675" s="32"/>
      <c r="C675" s="32"/>
      <c r="D675" s="32"/>
      <c r="E675" s="39"/>
      <c r="F675" s="34"/>
      <c r="G675" s="35">
        <f>Table1[[#This Row],[Selling Price]]-Table1[[#This Row],[Cost Price]]</f>
        <v>0</v>
      </c>
      <c r="H675" s="32"/>
      <c r="I675" s="36" t="s">
        <v>36</v>
      </c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x14ac:dyDescent="0.25">
      <c r="A676" s="31"/>
      <c r="B676" s="32"/>
      <c r="C676" s="32"/>
      <c r="D676" s="32"/>
      <c r="E676" s="39"/>
      <c r="F676" s="34"/>
      <c r="G676" s="35">
        <f>Table1[[#This Row],[Selling Price]]-Table1[[#This Row],[Cost Price]]</f>
        <v>0</v>
      </c>
      <c r="H676" s="32"/>
      <c r="I676" s="36" t="s">
        <v>36</v>
      </c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x14ac:dyDescent="0.25">
      <c r="A677" s="31"/>
      <c r="B677" s="32"/>
      <c r="C677" s="32"/>
      <c r="D677" s="32"/>
      <c r="E677" s="39"/>
      <c r="F677" s="34"/>
      <c r="G677" s="35">
        <f>Table1[[#This Row],[Selling Price]]-Table1[[#This Row],[Cost Price]]</f>
        <v>0</v>
      </c>
      <c r="H677" s="32"/>
      <c r="I677" s="36" t="s">
        <v>36</v>
      </c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x14ac:dyDescent="0.25">
      <c r="A678" s="31"/>
      <c r="B678" s="32"/>
      <c r="C678" s="32"/>
      <c r="D678" s="32"/>
      <c r="E678" s="39"/>
      <c r="F678" s="34"/>
      <c r="G678" s="35">
        <f>Table1[[#This Row],[Selling Price]]-Table1[[#This Row],[Cost Price]]</f>
        <v>0</v>
      </c>
      <c r="H678" s="32"/>
      <c r="I678" s="36" t="s">
        <v>36</v>
      </c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x14ac:dyDescent="0.25">
      <c r="A679" s="31"/>
      <c r="B679" s="32"/>
      <c r="C679" s="32"/>
      <c r="D679" s="32"/>
      <c r="E679" s="39"/>
      <c r="F679" s="34"/>
      <c r="G679" s="35">
        <f>Table1[[#This Row],[Selling Price]]-Table1[[#This Row],[Cost Price]]</f>
        <v>0</v>
      </c>
      <c r="H679" s="32"/>
      <c r="I679" s="36" t="s">
        <v>36</v>
      </c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x14ac:dyDescent="0.25">
      <c r="A680" s="31"/>
      <c r="B680" s="32"/>
      <c r="C680" s="32"/>
      <c r="D680" s="32"/>
      <c r="E680" s="39"/>
      <c r="F680" s="34"/>
      <c r="G680" s="35">
        <f>Table1[[#This Row],[Selling Price]]-Table1[[#This Row],[Cost Price]]</f>
        <v>0</v>
      </c>
      <c r="H680" s="32"/>
      <c r="I680" s="36" t="s">
        <v>36</v>
      </c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x14ac:dyDescent="0.25">
      <c r="A681" s="31"/>
      <c r="B681" s="32"/>
      <c r="C681" s="32"/>
      <c r="D681" s="32"/>
      <c r="E681" s="39"/>
      <c r="F681" s="34"/>
      <c r="G681" s="35">
        <f>Table1[[#This Row],[Selling Price]]-Table1[[#This Row],[Cost Price]]</f>
        <v>0</v>
      </c>
      <c r="H681" s="32"/>
      <c r="I681" s="36" t="s">
        <v>36</v>
      </c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x14ac:dyDescent="0.25">
      <c r="A682" s="31"/>
      <c r="B682" s="32"/>
      <c r="C682" s="32"/>
      <c r="D682" s="32"/>
      <c r="E682" s="39"/>
      <c r="F682" s="34"/>
      <c r="G682" s="35">
        <f>Table1[[#This Row],[Selling Price]]-Table1[[#This Row],[Cost Price]]</f>
        <v>0</v>
      </c>
      <c r="H682" s="32"/>
      <c r="I682" s="36" t="s">
        <v>36</v>
      </c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x14ac:dyDescent="0.25">
      <c r="A683" s="31"/>
      <c r="B683" s="32"/>
      <c r="C683" s="32"/>
      <c r="D683" s="32"/>
      <c r="E683" s="39"/>
      <c r="F683" s="34"/>
      <c r="G683" s="35">
        <f>Table1[[#This Row],[Selling Price]]-Table1[[#This Row],[Cost Price]]</f>
        <v>0</v>
      </c>
      <c r="H683" s="32"/>
      <c r="I683" s="36" t="s">
        <v>36</v>
      </c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x14ac:dyDescent="0.25">
      <c r="A684" s="31"/>
      <c r="B684" s="32"/>
      <c r="C684" s="32"/>
      <c r="D684" s="32"/>
      <c r="E684" s="39"/>
      <c r="F684" s="34"/>
      <c r="G684" s="35">
        <f>Table1[[#This Row],[Selling Price]]-Table1[[#This Row],[Cost Price]]</f>
        <v>0</v>
      </c>
      <c r="H684" s="32"/>
      <c r="I684" s="36" t="s">
        <v>36</v>
      </c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x14ac:dyDescent="0.25">
      <c r="A685" s="31"/>
      <c r="B685" s="32"/>
      <c r="C685" s="32"/>
      <c r="D685" s="32"/>
      <c r="E685" s="39"/>
      <c r="F685" s="34"/>
      <c r="G685" s="35">
        <f>Table1[[#This Row],[Selling Price]]-Table1[[#This Row],[Cost Price]]</f>
        <v>0</v>
      </c>
      <c r="H685" s="32"/>
      <c r="I685" s="36" t="s">
        <v>36</v>
      </c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x14ac:dyDescent="0.25">
      <c r="A686" s="31"/>
      <c r="B686" s="32"/>
      <c r="C686" s="32"/>
      <c r="D686" s="32"/>
      <c r="E686" s="39"/>
      <c r="F686" s="34"/>
      <c r="G686" s="35">
        <f>Table1[[#This Row],[Selling Price]]-Table1[[#This Row],[Cost Price]]</f>
        <v>0</v>
      </c>
      <c r="H686" s="32"/>
      <c r="I686" s="36" t="s">
        <v>36</v>
      </c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x14ac:dyDescent="0.25">
      <c r="A687" s="31"/>
      <c r="B687" s="32"/>
      <c r="C687" s="32"/>
      <c r="D687" s="32"/>
      <c r="E687" s="39"/>
      <c r="F687" s="34"/>
      <c r="G687" s="35">
        <f>Table1[[#This Row],[Selling Price]]-Table1[[#This Row],[Cost Price]]</f>
        <v>0</v>
      </c>
      <c r="H687" s="32"/>
      <c r="I687" s="36" t="s">
        <v>36</v>
      </c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x14ac:dyDescent="0.25">
      <c r="A688" s="31"/>
      <c r="B688" s="32"/>
      <c r="C688" s="32"/>
      <c r="D688" s="32"/>
      <c r="E688" s="39"/>
      <c r="F688" s="34"/>
      <c r="G688" s="35">
        <f>Table1[[#This Row],[Selling Price]]-Table1[[#This Row],[Cost Price]]</f>
        <v>0</v>
      </c>
      <c r="H688" s="32"/>
      <c r="I688" s="36" t="s">
        <v>36</v>
      </c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x14ac:dyDescent="0.25">
      <c r="A689" s="31"/>
      <c r="B689" s="32"/>
      <c r="C689" s="32"/>
      <c r="D689" s="32"/>
      <c r="E689" s="39"/>
      <c r="F689" s="34"/>
      <c r="G689" s="35">
        <f>Table1[[#This Row],[Selling Price]]-Table1[[#This Row],[Cost Price]]</f>
        <v>0</v>
      </c>
      <c r="H689" s="32"/>
      <c r="I689" s="36" t="s">
        <v>36</v>
      </c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x14ac:dyDescent="0.25">
      <c r="A690" s="31"/>
      <c r="B690" s="32"/>
      <c r="C690" s="32"/>
      <c r="D690" s="32"/>
      <c r="E690" s="39"/>
      <c r="F690" s="34"/>
      <c r="G690" s="35">
        <f>Table1[[#This Row],[Selling Price]]-Table1[[#This Row],[Cost Price]]</f>
        <v>0</v>
      </c>
      <c r="H690" s="32"/>
      <c r="I690" s="36" t="s">
        <v>36</v>
      </c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x14ac:dyDescent="0.25">
      <c r="A691" s="31"/>
      <c r="B691" s="32"/>
      <c r="C691" s="32"/>
      <c r="D691" s="32"/>
      <c r="E691" s="39"/>
      <c r="F691" s="34"/>
      <c r="G691" s="35">
        <f>Table1[[#This Row],[Selling Price]]-Table1[[#This Row],[Cost Price]]</f>
        <v>0</v>
      </c>
      <c r="H691" s="32"/>
      <c r="I691" s="36" t="s">
        <v>36</v>
      </c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x14ac:dyDescent="0.25">
      <c r="A692" s="31"/>
      <c r="B692" s="32"/>
      <c r="C692" s="32"/>
      <c r="D692" s="32"/>
      <c r="E692" s="39"/>
      <c r="F692" s="34"/>
      <c r="G692" s="35">
        <f>Table1[[#This Row],[Selling Price]]-Table1[[#This Row],[Cost Price]]</f>
        <v>0</v>
      </c>
      <c r="H692" s="32"/>
      <c r="I692" s="36" t="s">
        <v>36</v>
      </c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x14ac:dyDescent="0.25">
      <c r="A693" s="31"/>
      <c r="B693" s="32"/>
      <c r="C693" s="32"/>
      <c r="D693" s="32"/>
      <c r="E693" s="39"/>
      <c r="F693" s="34"/>
      <c r="G693" s="35">
        <f>Table1[[#This Row],[Selling Price]]-Table1[[#This Row],[Cost Price]]</f>
        <v>0</v>
      </c>
      <c r="H693" s="32"/>
      <c r="I693" s="36" t="s">
        <v>36</v>
      </c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x14ac:dyDescent="0.25">
      <c r="A694" s="31"/>
      <c r="B694" s="32"/>
      <c r="C694" s="32"/>
      <c r="D694" s="32"/>
      <c r="E694" s="39"/>
      <c r="F694" s="34"/>
      <c r="G694" s="35">
        <f>Table1[[#This Row],[Selling Price]]-Table1[[#This Row],[Cost Price]]</f>
        <v>0</v>
      </c>
      <c r="H694" s="32"/>
      <c r="I694" s="36" t="s">
        <v>36</v>
      </c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x14ac:dyDescent="0.25">
      <c r="A695" s="31"/>
      <c r="B695" s="32"/>
      <c r="C695" s="32"/>
      <c r="D695" s="32"/>
      <c r="E695" s="39"/>
      <c r="F695" s="34"/>
      <c r="G695" s="35">
        <f>Table1[[#This Row],[Selling Price]]-Table1[[#This Row],[Cost Price]]</f>
        <v>0</v>
      </c>
      <c r="H695" s="32"/>
      <c r="I695" s="36" t="s">
        <v>36</v>
      </c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x14ac:dyDescent="0.25">
      <c r="A696" s="31"/>
      <c r="B696" s="32"/>
      <c r="C696" s="32"/>
      <c r="D696" s="32"/>
      <c r="E696" s="39"/>
      <c r="F696" s="34"/>
      <c r="G696" s="35">
        <f>Table1[[#This Row],[Selling Price]]-Table1[[#This Row],[Cost Price]]</f>
        <v>0</v>
      </c>
      <c r="H696" s="32"/>
      <c r="I696" s="36" t="s">
        <v>36</v>
      </c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x14ac:dyDescent="0.25">
      <c r="A697" s="31"/>
      <c r="B697" s="32"/>
      <c r="C697" s="32"/>
      <c r="D697" s="32"/>
      <c r="E697" s="39"/>
      <c r="F697" s="34"/>
      <c r="G697" s="35">
        <f>Table1[[#This Row],[Selling Price]]-Table1[[#This Row],[Cost Price]]</f>
        <v>0</v>
      </c>
      <c r="H697" s="32"/>
      <c r="I697" s="36" t="s">
        <v>36</v>
      </c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x14ac:dyDescent="0.25">
      <c r="A698" s="31"/>
      <c r="B698" s="32"/>
      <c r="C698" s="32"/>
      <c r="D698" s="32"/>
      <c r="E698" s="39"/>
      <c r="F698" s="34"/>
      <c r="G698" s="35">
        <f>Table1[[#This Row],[Selling Price]]-Table1[[#This Row],[Cost Price]]</f>
        <v>0</v>
      </c>
      <c r="H698" s="32"/>
      <c r="I698" s="36" t="s">
        <v>36</v>
      </c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x14ac:dyDescent="0.25">
      <c r="A699" s="31"/>
      <c r="B699" s="32"/>
      <c r="C699" s="32"/>
      <c r="D699" s="32"/>
      <c r="E699" s="39"/>
      <c r="F699" s="34"/>
      <c r="G699" s="35">
        <f>Table1[[#This Row],[Selling Price]]-Table1[[#This Row],[Cost Price]]</f>
        <v>0</v>
      </c>
      <c r="H699" s="32"/>
      <c r="I699" s="36" t="s">
        <v>36</v>
      </c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x14ac:dyDescent="0.25">
      <c r="A700" s="31"/>
      <c r="B700" s="32"/>
      <c r="C700" s="32"/>
      <c r="D700" s="32"/>
      <c r="E700" s="39"/>
      <c r="F700" s="34"/>
      <c r="G700" s="35">
        <f>Table1[[#This Row],[Selling Price]]-Table1[[#This Row],[Cost Price]]</f>
        <v>0</v>
      </c>
      <c r="H700" s="32"/>
      <c r="I700" s="36" t="s">
        <v>36</v>
      </c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x14ac:dyDescent="0.25">
      <c r="A701" s="31"/>
      <c r="B701" s="32"/>
      <c r="C701" s="32"/>
      <c r="D701" s="32"/>
      <c r="E701" s="39"/>
      <c r="F701" s="34"/>
      <c r="G701" s="35">
        <f>Table1[[#This Row],[Selling Price]]-Table1[[#This Row],[Cost Price]]</f>
        <v>0</v>
      </c>
      <c r="H701" s="32"/>
      <c r="I701" s="36" t="s">
        <v>36</v>
      </c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x14ac:dyDescent="0.25">
      <c r="A702" s="31"/>
      <c r="B702" s="32"/>
      <c r="C702" s="32"/>
      <c r="D702" s="32"/>
      <c r="E702" s="39"/>
      <c r="F702" s="34"/>
      <c r="G702" s="35">
        <f>Table1[[#This Row],[Selling Price]]-Table1[[#This Row],[Cost Price]]</f>
        <v>0</v>
      </c>
      <c r="H702" s="32"/>
      <c r="I702" s="36" t="s">
        <v>36</v>
      </c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x14ac:dyDescent="0.25">
      <c r="A703" s="31"/>
      <c r="B703" s="32"/>
      <c r="C703" s="32"/>
      <c r="D703" s="32"/>
      <c r="E703" s="39"/>
      <c r="F703" s="34"/>
      <c r="G703" s="35">
        <f>Table1[[#This Row],[Selling Price]]-Table1[[#This Row],[Cost Price]]</f>
        <v>0</v>
      </c>
      <c r="H703" s="32"/>
      <c r="I703" s="36" t="s">
        <v>36</v>
      </c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x14ac:dyDescent="0.25">
      <c r="A704" s="31"/>
      <c r="B704" s="32"/>
      <c r="C704" s="32"/>
      <c r="D704" s="32"/>
      <c r="E704" s="39"/>
      <c r="F704" s="34"/>
      <c r="G704" s="35">
        <f>Table1[[#This Row],[Selling Price]]-Table1[[#This Row],[Cost Price]]</f>
        <v>0</v>
      </c>
      <c r="H704" s="32"/>
      <c r="I704" s="36" t="s">
        <v>36</v>
      </c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x14ac:dyDescent="0.25">
      <c r="A705" s="31"/>
      <c r="B705" s="32"/>
      <c r="C705" s="32"/>
      <c r="D705" s="32"/>
      <c r="E705" s="39"/>
      <c r="F705" s="34"/>
      <c r="G705" s="35">
        <f>Table1[[#This Row],[Selling Price]]-Table1[[#This Row],[Cost Price]]</f>
        <v>0</v>
      </c>
      <c r="H705" s="32"/>
      <c r="I705" s="36" t="s">
        <v>36</v>
      </c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x14ac:dyDescent="0.25">
      <c r="A706" s="31"/>
      <c r="B706" s="32"/>
      <c r="C706" s="32"/>
      <c r="D706" s="32"/>
      <c r="E706" s="39"/>
      <c r="F706" s="34"/>
      <c r="G706" s="35">
        <f>Table1[[#This Row],[Selling Price]]-Table1[[#This Row],[Cost Price]]</f>
        <v>0</v>
      </c>
      <c r="H706" s="32"/>
      <c r="I706" s="36" t="s">
        <v>36</v>
      </c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x14ac:dyDescent="0.25">
      <c r="A707" s="31"/>
      <c r="B707" s="32"/>
      <c r="C707" s="32"/>
      <c r="D707" s="32"/>
      <c r="E707" s="39"/>
      <c r="F707" s="34"/>
      <c r="G707" s="35">
        <f>Table1[[#This Row],[Selling Price]]-Table1[[#This Row],[Cost Price]]</f>
        <v>0</v>
      </c>
      <c r="H707" s="32"/>
      <c r="I707" s="36" t="s">
        <v>36</v>
      </c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x14ac:dyDescent="0.25">
      <c r="A708" s="31"/>
      <c r="B708" s="32"/>
      <c r="C708" s="32"/>
      <c r="D708" s="32"/>
      <c r="E708" s="39"/>
      <c r="F708" s="34"/>
      <c r="G708" s="35">
        <f>Table1[[#This Row],[Selling Price]]-Table1[[#This Row],[Cost Price]]</f>
        <v>0</v>
      </c>
      <c r="H708" s="32"/>
      <c r="I708" s="36" t="s">
        <v>36</v>
      </c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x14ac:dyDescent="0.25">
      <c r="A709" s="31"/>
      <c r="B709" s="32"/>
      <c r="C709" s="32"/>
      <c r="D709" s="32"/>
      <c r="E709" s="39"/>
      <c r="F709" s="34"/>
      <c r="G709" s="35">
        <f>Table1[[#This Row],[Selling Price]]-Table1[[#This Row],[Cost Price]]</f>
        <v>0</v>
      </c>
      <c r="H709" s="32"/>
      <c r="I709" s="36" t="s">
        <v>36</v>
      </c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x14ac:dyDescent="0.25">
      <c r="A710" s="31"/>
      <c r="B710" s="32"/>
      <c r="C710" s="32"/>
      <c r="D710" s="32"/>
      <c r="E710" s="39"/>
      <c r="F710" s="34"/>
      <c r="G710" s="35">
        <f>Table1[[#This Row],[Selling Price]]-Table1[[#This Row],[Cost Price]]</f>
        <v>0</v>
      </c>
      <c r="H710" s="32"/>
      <c r="I710" s="36" t="s">
        <v>36</v>
      </c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x14ac:dyDescent="0.25">
      <c r="A711" s="31"/>
      <c r="B711" s="32"/>
      <c r="C711" s="32"/>
      <c r="D711" s="32"/>
      <c r="E711" s="39"/>
      <c r="F711" s="34"/>
      <c r="G711" s="35">
        <f>Table1[[#This Row],[Selling Price]]-Table1[[#This Row],[Cost Price]]</f>
        <v>0</v>
      </c>
      <c r="H711" s="32"/>
      <c r="I711" s="36" t="s">
        <v>36</v>
      </c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x14ac:dyDescent="0.25">
      <c r="A712" s="31"/>
      <c r="B712" s="32"/>
      <c r="C712" s="32"/>
      <c r="D712" s="32"/>
      <c r="E712" s="39"/>
      <c r="F712" s="34"/>
      <c r="G712" s="35">
        <f>Table1[[#This Row],[Selling Price]]-Table1[[#This Row],[Cost Price]]</f>
        <v>0</v>
      </c>
      <c r="H712" s="32"/>
      <c r="I712" s="36" t="s">
        <v>36</v>
      </c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x14ac:dyDescent="0.25">
      <c r="A713" s="31"/>
      <c r="B713" s="32"/>
      <c r="C713" s="32"/>
      <c r="D713" s="32"/>
      <c r="E713" s="39"/>
      <c r="F713" s="34"/>
      <c r="G713" s="35">
        <f>Table1[[#This Row],[Selling Price]]-Table1[[#This Row],[Cost Price]]</f>
        <v>0</v>
      </c>
      <c r="H713" s="32"/>
      <c r="I713" s="36" t="s">
        <v>36</v>
      </c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x14ac:dyDescent="0.25">
      <c r="A714" s="31"/>
      <c r="B714" s="32"/>
      <c r="C714" s="32"/>
      <c r="D714" s="32"/>
      <c r="E714" s="39"/>
      <c r="F714" s="34"/>
      <c r="G714" s="35">
        <f>Table1[[#This Row],[Selling Price]]-Table1[[#This Row],[Cost Price]]</f>
        <v>0</v>
      </c>
      <c r="H714" s="32"/>
      <c r="I714" s="36" t="s">
        <v>36</v>
      </c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x14ac:dyDescent="0.25">
      <c r="A715" s="31"/>
      <c r="B715" s="32"/>
      <c r="C715" s="32"/>
      <c r="D715" s="32"/>
      <c r="E715" s="39"/>
      <c r="F715" s="34"/>
      <c r="G715" s="35">
        <f>Table1[[#This Row],[Selling Price]]-Table1[[#This Row],[Cost Price]]</f>
        <v>0</v>
      </c>
      <c r="H715" s="32"/>
      <c r="I715" s="36" t="s">
        <v>36</v>
      </c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x14ac:dyDescent="0.25">
      <c r="A716" s="31"/>
      <c r="B716" s="32"/>
      <c r="C716" s="32"/>
      <c r="D716" s="32"/>
      <c r="E716" s="39"/>
      <c r="F716" s="34"/>
      <c r="G716" s="35">
        <f>Table1[[#This Row],[Selling Price]]-Table1[[#This Row],[Cost Price]]</f>
        <v>0</v>
      </c>
      <c r="H716" s="32"/>
      <c r="I716" s="36" t="s">
        <v>36</v>
      </c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x14ac:dyDescent="0.25">
      <c r="A717" s="31"/>
      <c r="B717" s="32"/>
      <c r="C717" s="32"/>
      <c r="D717" s="32"/>
      <c r="E717" s="39"/>
      <c r="F717" s="34"/>
      <c r="G717" s="35">
        <f>Table1[[#This Row],[Selling Price]]-Table1[[#This Row],[Cost Price]]</f>
        <v>0</v>
      </c>
      <c r="H717" s="32"/>
      <c r="I717" s="36" t="s">
        <v>36</v>
      </c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x14ac:dyDescent="0.25">
      <c r="A718" s="31"/>
      <c r="B718" s="32"/>
      <c r="C718" s="32"/>
      <c r="D718" s="32"/>
      <c r="E718" s="39"/>
      <c r="F718" s="34"/>
      <c r="G718" s="35">
        <f>Table1[[#This Row],[Selling Price]]-Table1[[#This Row],[Cost Price]]</f>
        <v>0</v>
      </c>
      <c r="H718" s="32"/>
      <c r="I718" s="36" t="s">
        <v>36</v>
      </c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x14ac:dyDescent="0.25">
      <c r="A719" s="31"/>
      <c r="B719" s="32"/>
      <c r="C719" s="32"/>
      <c r="D719" s="32"/>
      <c r="E719" s="39"/>
      <c r="F719" s="34"/>
      <c r="G719" s="35">
        <f>Table1[[#This Row],[Selling Price]]-Table1[[#This Row],[Cost Price]]</f>
        <v>0</v>
      </c>
      <c r="H719" s="32"/>
      <c r="I719" s="36" t="s">
        <v>36</v>
      </c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x14ac:dyDescent="0.25">
      <c r="A720" s="31"/>
      <c r="B720" s="32"/>
      <c r="C720" s="32"/>
      <c r="D720" s="32"/>
      <c r="E720" s="39"/>
      <c r="F720" s="34"/>
      <c r="G720" s="35">
        <f>Table1[[#This Row],[Selling Price]]-Table1[[#This Row],[Cost Price]]</f>
        <v>0</v>
      </c>
      <c r="H720" s="32"/>
      <c r="I720" s="36" t="s">
        <v>36</v>
      </c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x14ac:dyDescent="0.25">
      <c r="A721" s="31"/>
      <c r="B721" s="32"/>
      <c r="C721" s="32"/>
      <c r="D721" s="32"/>
      <c r="E721" s="39"/>
      <c r="F721" s="34"/>
      <c r="G721" s="35">
        <f>Table1[[#This Row],[Selling Price]]-Table1[[#This Row],[Cost Price]]</f>
        <v>0</v>
      </c>
      <c r="H721" s="32"/>
      <c r="I721" s="36" t="s">
        <v>36</v>
      </c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x14ac:dyDescent="0.25">
      <c r="A722" s="31"/>
      <c r="B722" s="32"/>
      <c r="C722" s="32"/>
      <c r="D722" s="32"/>
      <c r="E722" s="39"/>
      <c r="F722" s="34"/>
      <c r="G722" s="35">
        <f>Table1[[#This Row],[Selling Price]]-Table1[[#This Row],[Cost Price]]</f>
        <v>0</v>
      </c>
      <c r="H722" s="32"/>
      <c r="I722" s="36" t="s">
        <v>36</v>
      </c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x14ac:dyDescent="0.25">
      <c r="A723" s="31"/>
      <c r="B723" s="32"/>
      <c r="C723" s="32"/>
      <c r="D723" s="32"/>
      <c r="E723" s="39"/>
      <c r="F723" s="34"/>
      <c r="G723" s="35">
        <f>Table1[[#This Row],[Selling Price]]-Table1[[#This Row],[Cost Price]]</f>
        <v>0</v>
      </c>
      <c r="H723" s="32"/>
      <c r="I723" s="36" t="s">
        <v>36</v>
      </c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x14ac:dyDescent="0.25">
      <c r="A724" s="31"/>
      <c r="B724" s="32"/>
      <c r="C724" s="32"/>
      <c r="D724" s="32"/>
      <c r="E724" s="39"/>
      <c r="F724" s="34"/>
      <c r="G724" s="35">
        <f>Table1[[#This Row],[Selling Price]]-Table1[[#This Row],[Cost Price]]</f>
        <v>0</v>
      </c>
      <c r="H724" s="32"/>
      <c r="I724" s="36" t="s">
        <v>36</v>
      </c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x14ac:dyDescent="0.25">
      <c r="A725" s="31"/>
      <c r="B725" s="32"/>
      <c r="C725" s="32"/>
      <c r="D725" s="32"/>
      <c r="E725" s="39"/>
      <c r="F725" s="34"/>
      <c r="G725" s="35">
        <f>Table1[[#This Row],[Selling Price]]-Table1[[#This Row],[Cost Price]]</f>
        <v>0</v>
      </c>
      <c r="H725" s="32"/>
      <c r="I725" s="36" t="s">
        <v>36</v>
      </c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x14ac:dyDescent="0.25">
      <c r="A726" s="31"/>
      <c r="B726" s="32"/>
      <c r="C726" s="32"/>
      <c r="D726" s="32"/>
      <c r="E726" s="39"/>
      <c r="F726" s="34"/>
      <c r="G726" s="35">
        <f>Table1[[#This Row],[Selling Price]]-Table1[[#This Row],[Cost Price]]</f>
        <v>0</v>
      </c>
      <c r="H726" s="32"/>
      <c r="I726" s="36" t="s">
        <v>36</v>
      </c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x14ac:dyDescent="0.25">
      <c r="A727" s="31"/>
      <c r="B727" s="32"/>
      <c r="C727" s="32"/>
      <c r="D727" s="32"/>
      <c r="E727" s="39"/>
      <c r="F727" s="34"/>
      <c r="G727" s="35">
        <f>Table1[[#This Row],[Selling Price]]-Table1[[#This Row],[Cost Price]]</f>
        <v>0</v>
      </c>
      <c r="H727" s="32"/>
      <c r="I727" s="36" t="s">
        <v>36</v>
      </c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x14ac:dyDescent="0.25">
      <c r="A728" s="31"/>
      <c r="B728" s="32"/>
      <c r="C728" s="32"/>
      <c r="D728" s="32"/>
      <c r="E728" s="39"/>
      <c r="F728" s="34"/>
      <c r="G728" s="35">
        <f>Table1[[#This Row],[Selling Price]]-Table1[[#This Row],[Cost Price]]</f>
        <v>0</v>
      </c>
      <c r="H728" s="32"/>
      <c r="I728" s="36" t="s">
        <v>36</v>
      </c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x14ac:dyDescent="0.25">
      <c r="A729" s="31"/>
      <c r="B729" s="32"/>
      <c r="C729" s="32"/>
      <c r="D729" s="32"/>
      <c r="E729" s="39"/>
      <c r="F729" s="34"/>
      <c r="G729" s="35">
        <f>Table1[[#This Row],[Selling Price]]-Table1[[#This Row],[Cost Price]]</f>
        <v>0</v>
      </c>
      <c r="H729" s="32"/>
      <c r="I729" s="36" t="s">
        <v>36</v>
      </c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x14ac:dyDescent="0.25">
      <c r="A730" s="31"/>
      <c r="B730" s="32"/>
      <c r="C730" s="32"/>
      <c r="D730" s="32"/>
      <c r="E730" s="39"/>
      <c r="F730" s="34"/>
      <c r="G730" s="35">
        <f>Table1[[#This Row],[Selling Price]]-Table1[[#This Row],[Cost Price]]</f>
        <v>0</v>
      </c>
      <c r="H730" s="32"/>
      <c r="I730" s="36" t="s">
        <v>36</v>
      </c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x14ac:dyDescent="0.25">
      <c r="A731" s="31"/>
      <c r="B731" s="32"/>
      <c r="C731" s="32"/>
      <c r="D731" s="32"/>
      <c r="E731" s="39"/>
      <c r="F731" s="34"/>
      <c r="G731" s="35">
        <f>Table1[[#This Row],[Selling Price]]-Table1[[#This Row],[Cost Price]]</f>
        <v>0</v>
      </c>
      <c r="H731" s="32"/>
      <c r="I731" s="36" t="s">
        <v>36</v>
      </c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x14ac:dyDescent="0.25">
      <c r="A732" s="31"/>
      <c r="B732" s="32"/>
      <c r="C732" s="32"/>
      <c r="D732" s="32"/>
      <c r="E732" s="39"/>
      <c r="F732" s="34"/>
      <c r="G732" s="35">
        <f>Table1[[#This Row],[Selling Price]]-Table1[[#This Row],[Cost Price]]</f>
        <v>0</v>
      </c>
      <c r="H732" s="32"/>
      <c r="I732" s="36" t="s">
        <v>36</v>
      </c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x14ac:dyDescent="0.25">
      <c r="A733" s="31"/>
      <c r="B733" s="32"/>
      <c r="C733" s="32"/>
      <c r="D733" s="32"/>
      <c r="E733" s="39"/>
      <c r="F733" s="34"/>
      <c r="G733" s="35">
        <f>Table1[[#This Row],[Selling Price]]-Table1[[#This Row],[Cost Price]]</f>
        <v>0</v>
      </c>
      <c r="H733" s="32"/>
      <c r="I733" s="36" t="s">
        <v>36</v>
      </c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x14ac:dyDescent="0.25">
      <c r="A734" s="31"/>
      <c r="B734" s="32"/>
      <c r="C734" s="32"/>
      <c r="D734" s="32"/>
      <c r="E734" s="39"/>
      <c r="F734" s="34"/>
      <c r="G734" s="35">
        <f>Table1[[#This Row],[Selling Price]]-Table1[[#This Row],[Cost Price]]</f>
        <v>0</v>
      </c>
      <c r="H734" s="32"/>
      <c r="I734" s="36" t="s">
        <v>36</v>
      </c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x14ac:dyDescent="0.25">
      <c r="A735" s="31"/>
      <c r="B735" s="32"/>
      <c r="C735" s="32"/>
      <c r="D735" s="32"/>
      <c r="E735" s="39"/>
      <c r="F735" s="34"/>
      <c r="G735" s="35">
        <f>Table1[[#This Row],[Selling Price]]-Table1[[#This Row],[Cost Price]]</f>
        <v>0</v>
      </c>
      <c r="H735" s="32"/>
      <c r="I735" s="36" t="s">
        <v>36</v>
      </c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x14ac:dyDescent="0.25">
      <c r="A736" s="31"/>
      <c r="B736" s="32"/>
      <c r="C736" s="32"/>
      <c r="D736" s="32"/>
      <c r="E736" s="39"/>
      <c r="F736" s="34"/>
      <c r="G736" s="35">
        <f>Table1[[#This Row],[Selling Price]]-Table1[[#This Row],[Cost Price]]</f>
        <v>0</v>
      </c>
      <c r="H736" s="32"/>
      <c r="I736" s="36" t="s">
        <v>36</v>
      </c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x14ac:dyDescent="0.25">
      <c r="A737" s="31"/>
      <c r="B737" s="32"/>
      <c r="C737" s="32"/>
      <c r="D737" s="32"/>
      <c r="E737" s="39"/>
      <c r="F737" s="34"/>
      <c r="G737" s="35">
        <f>Table1[[#This Row],[Selling Price]]-Table1[[#This Row],[Cost Price]]</f>
        <v>0</v>
      </c>
      <c r="H737" s="32"/>
      <c r="I737" s="36" t="s">
        <v>36</v>
      </c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x14ac:dyDescent="0.25">
      <c r="A738" s="31"/>
      <c r="B738" s="32"/>
      <c r="C738" s="32"/>
      <c r="D738" s="32"/>
      <c r="E738" s="39"/>
      <c r="F738" s="34"/>
      <c r="G738" s="35">
        <f>Table1[[#This Row],[Selling Price]]-Table1[[#This Row],[Cost Price]]</f>
        <v>0</v>
      </c>
      <c r="H738" s="32"/>
      <c r="I738" s="36" t="s">
        <v>36</v>
      </c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x14ac:dyDescent="0.25">
      <c r="A739" s="31"/>
      <c r="B739" s="32"/>
      <c r="C739" s="32"/>
      <c r="D739" s="32"/>
      <c r="E739" s="39"/>
      <c r="F739" s="34"/>
      <c r="G739" s="35">
        <f>Table1[[#This Row],[Selling Price]]-Table1[[#This Row],[Cost Price]]</f>
        <v>0</v>
      </c>
      <c r="H739" s="32"/>
      <c r="I739" s="36" t="s">
        <v>36</v>
      </c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x14ac:dyDescent="0.25">
      <c r="A740" s="31"/>
      <c r="B740" s="32"/>
      <c r="C740" s="32"/>
      <c r="D740" s="32"/>
      <c r="E740" s="39"/>
      <c r="F740" s="34"/>
      <c r="G740" s="35">
        <f>Table1[[#This Row],[Selling Price]]-Table1[[#This Row],[Cost Price]]</f>
        <v>0</v>
      </c>
      <c r="H740" s="32"/>
      <c r="I740" s="36" t="s">
        <v>36</v>
      </c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x14ac:dyDescent="0.25">
      <c r="A741" s="31"/>
      <c r="B741" s="32"/>
      <c r="C741" s="32"/>
      <c r="D741" s="32"/>
      <c r="E741" s="39"/>
      <c r="F741" s="34"/>
      <c r="G741" s="35">
        <f>Table1[[#This Row],[Selling Price]]-Table1[[#This Row],[Cost Price]]</f>
        <v>0</v>
      </c>
      <c r="H741" s="32"/>
      <c r="I741" s="36" t="s">
        <v>36</v>
      </c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x14ac:dyDescent="0.25">
      <c r="A742" s="31"/>
      <c r="B742" s="32"/>
      <c r="C742" s="32"/>
      <c r="D742" s="32"/>
      <c r="E742" s="39"/>
      <c r="F742" s="34"/>
      <c r="G742" s="35">
        <f>Table1[[#This Row],[Selling Price]]-Table1[[#This Row],[Cost Price]]</f>
        <v>0</v>
      </c>
      <c r="H742" s="32"/>
      <c r="I742" s="36" t="s">
        <v>36</v>
      </c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x14ac:dyDescent="0.25">
      <c r="A743" s="31"/>
      <c r="B743" s="32"/>
      <c r="C743" s="32"/>
      <c r="D743" s="32"/>
      <c r="E743" s="39"/>
      <c r="F743" s="34"/>
      <c r="G743" s="35">
        <f>Table1[[#This Row],[Selling Price]]-Table1[[#This Row],[Cost Price]]</f>
        <v>0</v>
      </c>
      <c r="H743" s="32"/>
      <c r="I743" s="36" t="s">
        <v>36</v>
      </c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x14ac:dyDescent="0.25">
      <c r="A744" s="31"/>
      <c r="B744" s="32"/>
      <c r="C744" s="32"/>
      <c r="D744" s="32"/>
      <c r="E744" s="39"/>
      <c r="F744" s="34"/>
      <c r="G744" s="35">
        <f>Table1[[#This Row],[Selling Price]]-Table1[[#This Row],[Cost Price]]</f>
        <v>0</v>
      </c>
      <c r="H744" s="32"/>
      <c r="I744" s="36" t="s">
        <v>36</v>
      </c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x14ac:dyDescent="0.25">
      <c r="A745" s="31"/>
      <c r="B745" s="32"/>
      <c r="C745" s="32"/>
      <c r="D745" s="32"/>
      <c r="E745" s="39"/>
      <c r="F745" s="34"/>
      <c r="G745" s="35">
        <f>Table1[[#This Row],[Selling Price]]-Table1[[#This Row],[Cost Price]]</f>
        <v>0</v>
      </c>
      <c r="H745" s="32"/>
      <c r="I745" s="36" t="s">
        <v>36</v>
      </c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x14ac:dyDescent="0.25">
      <c r="A746" s="31"/>
      <c r="B746" s="32"/>
      <c r="C746" s="32"/>
      <c r="D746" s="32"/>
      <c r="E746" s="39"/>
      <c r="F746" s="34"/>
      <c r="G746" s="35">
        <f>Table1[[#This Row],[Selling Price]]-Table1[[#This Row],[Cost Price]]</f>
        <v>0</v>
      </c>
      <c r="H746" s="32"/>
      <c r="I746" s="36" t="s">
        <v>36</v>
      </c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x14ac:dyDescent="0.25">
      <c r="A747" s="31"/>
      <c r="B747" s="32"/>
      <c r="C747" s="32"/>
      <c r="D747" s="32"/>
      <c r="E747" s="39"/>
      <c r="F747" s="34"/>
      <c r="G747" s="35">
        <f>Table1[[#This Row],[Selling Price]]-Table1[[#This Row],[Cost Price]]</f>
        <v>0</v>
      </c>
      <c r="H747" s="32"/>
      <c r="I747" s="36" t="s">
        <v>36</v>
      </c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x14ac:dyDescent="0.25">
      <c r="A748" s="31"/>
      <c r="B748" s="32"/>
      <c r="C748" s="32"/>
      <c r="D748" s="32"/>
      <c r="E748" s="39"/>
      <c r="F748" s="34"/>
      <c r="G748" s="35">
        <f>Table1[[#This Row],[Selling Price]]-Table1[[#This Row],[Cost Price]]</f>
        <v>0</v>
      </c>
      <c r="H748" s="32"/>
      <c r="I748" s="36" t="s">
        <v>36</v>
      </c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x14ac:dyDescent="0.25">
      <c r="A749" s="31"/>
      <c r="B749" s="32"/>
      <c r="C749" s="32"/>
      <c r="D749" s="32"/>
      <c r="E749" s="39"/>
      <c r="F749" s="34"/>
      <c r="G749" s="35">
        <f>Table1[[#This Row],[Selling Price]]-Table1[[#This Row],[Cost Price]]</f>
        <v>0</v>
      </c>
      <c r="H749" s="32"/>
      <c r="I749" s="36" t="s">
        <v>36</v>
      </c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x14ac:dyDescent="0.25">
      <c r="A750" s="31"/>
      <c r="B750" s="32"/>
      <c r="C750" s="32"/>
      <c r="D750" s="32"/>
      <c r="E750" s="39"/>
      <c r="F750" s="34"/>
      <c r="G750" s="35">
        <f>Table1[[#This Row],[Selling Price]]-Table1[[#This Row],[Cost Price]]</f>
        <v>0</v>
      </c>
      <c r="H750" s="32"/>
      <c r="I750" s="36" t="s">
        <v>36</v>
      </c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x14ac:dyDescent="0.25">
      <c r="A751" s="31"/>
      <c r="B751" s="32"/>
      <c r="C751" s="32"/>
      <c r="D751" s="32"/>
      <c r="E751" s="39"/>
      <c r="F751" s="34"/>
      <c r="G751" s="35">
        <f>Table1[[#This Row],[Selling Price]]-Table1[[#This Row],[Cost Price]]</f>
        <v>0</v>
      </c>
      <c r="H751" s="32"/>
      <c r="I751" s="36" t="s">
        <v>36</v>
      </c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x14ac:dyDescent="0.25">
      <c r="A752" s="31"/>
      <c r="B752" s="32"/>
      <c r="C752" s="32"/>
      <c r="D752" s="32"/>
      <c r="E752" s="39"/>
      <c r="F752" s="34"/>
      <c r="G752" s="35">
        <f>Table1[[#This Row],[Selling Price]]-Table1[[#This Row],[Cost Price]]</f>
        <v>0</v>
      </c>
      <c r="H752" s="32"/>
      <c r="I752" s="36" t="s">
        <v>36</v>
      </c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x14ac:dyDescent="0.25">
      <c r="A753" s="31"/>
      <c r="B753" s="32"/>
      <c r="C753" s="32"/>
      <c r="D753" s="32"/>
      <c r="E753" s="39"/>
      <c r="F753" s="34"/>
      <c r="G753" s="35">
        <f>Table1[[#This Row],[Selling Price]]-Table1[[#This Row],[Cost Price]]</f>
        <v>0</v>
      </c>
      <c r="H753" s="32"/>
      <c r="I753" s="36" t="s">
        <v>36</v>
      </c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x14ac:dyDescent="0.25">
      <c r="A754" s="31"/>
      <c r="B754" s="32"/>
      <c r="C754" s="32"/>
      <c r="D754" s="32"/>
      <c r="E754" s="39"/>
      <c r="F754" s="34"/>
      <c r="G754" s="35">
        <f>Table1[[#This Row],[Selling Price]]-Table1[[#This Row],[Cost Price]]</f>
        <v>0</v>
      </c>
      <c r="H754" s="32"/>
      <c r="I754" s="36" t="s">
        <v>36</v>
      </c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x14ac:dyDescent="0.25">
      <c r="A755" s="31"/>
      <c r="B755" s="32"/>
      <c r="C755" s="32"/>
      <c r="D755" s="32"/>
      <c r="E755" s="39"/>
      <c r="F755" s="34"/>
      <c r="G755" s="35">
        <f>Table1[[#This Row],[Selling Price]]-Table1[[#This Row],[Cost Price]]</f>
        <v>0</v>
      </c>
      <c r="H755" s="32"/>
      <c r="I755" s="36" t="s">
        <v>36</v>
      </c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x14ac:dyDescent="0.25">
      <c r="A756" s="31"/>
      <c r="B756" s="32"/>
      <c r="C756" s="32"/>
      <c r="D756" s="32"/>
      <c r="E756" s="39"/>
      <c r="F756" s="34"/>
      <c r="G756" s="35">
        <f>Table1[[#This Row],[Selling Price]]-Table1[[#This Row],[Cost Price]]</f>
        <v>0</v>
      </c>
      <c r="H756" s="32"/>
      <c r="I756" s="36" t="s">
        <v>36</v>
      </c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x14ac:dyDescent="0.25">
      <c r="A757" s="31"/>
      <c r="B757" s="32"/>
      <c r="C757" s="32"/>
      <c r="D757" s="32"/>
      <c r="E757" s="39"/>
      <c r="F757" s="34"/>
      <c r="G757" s="35">
        <f>Table1[[#This Row],[Selling Price]]-Table1[[#This Row],[Cost Price]]</f>
        <v>0</v>
      </c>
      <c r="H757" s="32"/>
      <c r="I757" s="36" t="s">
        <v>36</v>
      </c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x14ac:dyDescent="0.25">
      <c r="A758" s="31"/>
      <c r="B758" s="32"/>
      <c r="C758" s="32"/>
      <c r="D758" s="32"/>
      <c r="E758" s="39"/>
      <c r="F758" s="34"/>
      <c r="G758" s="35">
        <f>Table1[[#This Row],[Selling Price]]-Table1[[#This Row],[Cost Price]]</f>
        <v>0</v>
      </c>
      <c r="H758" s="32"/>
      <c r="I758" s="36" t="s">
        <v>36</v>
      </c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x14ac:dyDescent="0.25">
      <c r="A759" s="31"/>
      <c r="B759" s="32"/>
      <c r="C759" s="32"/>
      <c r="D759" s="32"/>
      <c r="E759" s="39"/>
      <c r="F759" s="34"/>
      <c r="G759" s="35">
        <f>Table1[[#This Row],[Selling Price]]-Table1[[#This Row],[Cost Price]]</f>
        <v>0</v>
      </c>
      <c r="H759" s="32"/>
      <c r="I759" s="36" t="s">
        <v>36</v>
      </c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x14ac:dyDescent="0.25">
      <c r="A760" s="31"/>
      <c r="B760" s="32"/>
      <c r="C760" s="32"/>
      <c r="D760" s="32"/>
      <c r="E760" s="39"/>
      <c r="F760" s="34"/>
      <c r="G760" s="35">
        <f>Table1[[#This Row],[Selling Price]]-Table1[[#This Row],[Cost Price]]</f>
        <v>0</v>
      </c>
      <c r="H760" s="32"/>
      <c r="I760" s="36" t="s">
        <v>36</v>
      </c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x14ac:dyDescent="0.25">
      <c r="A761" s="31"/>
      <c r="B761" s="32"/>
      <c r="C761" s="32"/>
      <c r="D761" s="32"/>
      <c r="E761" s="39"/>
      <c r="F761" s="34"/>
      <c r="G761" s="35">
        <f>Table1[[#This Row],[Selling Price]]-Table1[[#This Row],[Cost Price]]</f>
        <v>0</v>
      </c>
      <c r="H761" s="32"/>
      <c r="I761" s="36" t="s">
        <v>36</v>
      </c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x14ac:dyDescent="0.25">
      <c r="A762" s="31"/>
      <c r="B762" s="32"/>
      <c r="C762" s="32"/>
      <c r="D762" s="32"/>
      <c r="E762" s="39"/>
      <c r="F762" s="34"/>
      <c r="G762" s="35">
        <f>Table1[[#This Row],[Selling Price]]-Table1[[#This Row],[Cost Price]]</f>
        <v>0</v>
      </c>
      <c r="H762" s="32"/>
      <c r="I762" s="36" t="s">
        <v>36</v>
      </c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x14ac:dyDescent="0.25">
      <c r="A763" s="31"/>
      <c r="B763" s="32"/>
      <c r="C763" s="32"/>
      <c r="D763" s="32"/>
      <c r="E763" s="39"/>
      <c r="F763" s="34"/>
      <c r="G763" s="35">
        <f>Table1[[#This Row],[Selling Price]]-Table1[[#This Row],[Cost Price]]</f>
        <v>0</v>
      </c>
      <c r="H763" s="32"/>
      <c r="I763" s="36" t="s">
        <v>36</v>
      </c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x14ac:dyDescent="0.25">
      <c r="A764" s="31"/>
      <c r="B764" s="32"/>
      <c r="C764" s="32"/>
      <c r="D764" s="32"/>
      <c r="E764" s="39"/>
      <c r="F764" s="34"/>
      <c r="G764" s="35">
        <f>Table1[[#This Row],[Selling Price]]-Table1[[#This Row],[Cost Price]]</f>
        <v>0</v>
      </c>
      <c r="H764" s="32"/>
      <c r="I764" s="36" t="s">
        <v>36</v>
      </c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x14ac:dyDescent="0.25">
      <c r="A765" s="31"/>
      <c r="B765" s="32"/>
      <c r="C765" s="32"/>
      <c r="D765" s="32"/>
      <c r="E765" s="39"/>
      <c r="F765" s="34"/>
      <c r="G765" s="35">
        <f>Table1[[#This Row],[Selling Price]]-Table1[[#This Row],[Cost Price]]</f>
        <v>0</v>
      </c>
      <c r="H765" s="32"/>
      <c r="I765" s="36" t="s">
        <v>36</v>
      </c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x14ac:dyDescent="0.25">
      <c r="A766" s="31"/>
      <c r="B766" s="32"/>
      <c r="C766" s="32"/>
      <c r="D766" s="32"/>
      <c r="E766" s="39"/>
      <c r="F766" s="34"/>
      <c r="G766" s="35">
        <f>Table1[[#This Row],[Selling Price]]-Table1[[#This Row],[Cost Price]]</f>
        <v>0</v>
      </c>
      <c r="H766" s="32"/>
      <c r="I766" s="36" t="s">
        <v>36</v>
      </c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x14ac:dyDescent="0.25">
      <c r="A767" s="31"/>
      <c r="B767" s="32"/>
      <c r="C767" s="32"/>
      <c r="D767" s="32"/>
      <c r="E767" s="39"/>
      <c r="F767" s="34"/>
      <c r="G767" s="35">
        <f>Table1[[#This Row],[Selling Price]]-Table1[[#This Row],[Cost Price]]</f>
        <v>0</v>
      </c>
      <c r="H767" s="32"/>
      <c r="I767" s="36" t="s">
        <v>36</v>
      </c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x14ac:dyDescent="0.25">
      <c r="A768" s="31"/>
      <c r="B768" s="32"/>
      <c r="C768" s="32"/>
      <c r="D768" s="32"/>
      <c r="E768" s="39"/>
      <c r="F768" s="34"/>
      <c r="G768" s="35">
        <f>Table1[[#This Row],[Selling Price]]-Table1[[#This Row],[Cost Price]]</f>
        <v>0</v>
      </c>
      <c r="H768" s="32"/>
      <c r="I768" s="36" t="s">
        <v>36</v>
      </c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x14ac:dyDescent="0.25">
      <c r="A769" s="31"/>
      <c r="B769" s="32"/>
      <c r="C769" s="32"/>
      <c r="D769" s="32"/>
      <c r="E769" s="39"/>
      <c r="F769" s="34"/>
      <c r="G769" s="35">
        <f>Table1[[#This Row],[Selling Price]]-Table1[[#This Row],[Cost Price]]</f>
        <v>0</v>
      </c>
      <c r="H769" s="32"/>
      <c r="I769" s="36" t="s">
        <v>36</v>
      </c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x14ac:dyDescent="0.25">
      <c r="A770" s="31"/>
      <c r="B770" s="32"/>
      <c r="C770" s="32"/>
      <c r="D770" s="32"/>
      <c r="E770" s="39"/>
      <c r="F770" s="34"/>
      <c r="G770" s="35">
        <f>Table1[[#This Row],[Selling Price]]-Table1[[#This Row],[Cost Price]]</f>
        <v>0</v>
      </c>
      <c r="H770" s="32"/>
      <c r="I770" s="36" t="s">
        <v>36</v>
      </c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x14ac:dyDescent="0.25">
      <c r="A771" s="31"/>
      <c r="B771" s="32"/>
      <c r="C771" s="32"/>
      <c r="D771" s="32"/>
      <c r="E771" s="39"/>
      <c r="F771" s="34"/>
      <c r="G771" s="35">
        <f>Table1[[#This Row],[Selling Price]]-Table1[[#This Row],[Cost Price]]</f>
        <v>0</v>
      </c>
      <c r="H771" s="32"/>
      <c r="I771" s="36" t="s">
        <v>36</v>
      </c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x14ac:dyDescent="0.25">
      <c r="A772" s="31"/>
      <c r="B772" s="32"/>
      <c r="C772" s="32"/>
      <c r="D772" s="32"/>
      <c r="E772" s="39"/>
      <c r="F772" s="34"/>
      <c r="G772" s="35">
        <f>Table1[[#This Row],[Selling Price]]-Table1[[#This Row],[Cost Price]]</f>
        <v>0</v>
      </c>
      <c r="H772" s="32"/>
      <c r="I772" s="36" t="s">
        <v>36</v>
      </c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x14ac:dyDescent="0.25">
      <c r="A773" s="31"/>
      <c r="B773" s="32"/>
      <c r="C773" s="32"/>
      <c r="D773" s="32"/>
      <c r="E773" s="39"/>
      <c r="F773" s="34"/>
      <c r="G773" s="35">
        <f>Table1[[#This Row],[Selling Price]]-Table1[[#This Row],[Cost Price]]</f>
        <v>0</v>
      </c>
      <c r="H773" s="32"/>
      <c r="I773" s="36" t="s">
        <v>36</v>
      </c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x14ac:dyDescent="0.25">
      <c r="A774" s="31"/>
      <c r="B774" s="32"/>
      <c r="C774" s="32"/>
      <c r="D774" s="32"/>
      <c r="E774" s="39"/>
      <c r="F774" s="34"/>
      <c r="G774" s="35">
        <f>Table1[[#This Row],[Selling Price]]-Table1[[#This Row],[Cost Price]]</f>
        <v>0</v>
      </c>
      <c r="H774" s="32"/>
      <c r="I774" s="36" t="s">
        <v>36</v>
      </c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x14ac:dyDescent="0.25">
      <c r="A775" s="31"/>
      <c r="B775" s="32"/>
      <c r="C775" s="32"/>
      <c r="D775" s="32"/>
      <c r="E775" s="39"/>
      <c r="F775" s="34"/>
      <c r="G775" s="35">
        <f>Table1[[#This Row],[Selling Price]]-Table1[[#This Row],[Cost Price]]</f>
        <v>0</v>
      </c>
      <c r="H775" s="32"/>
      <c r="I775" s="36" t="s">
        <v>36</v>
      </c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x14ac:dyDescent="0.25">
      <c r="A776" s="31"/>
      <c r="B776" s="32"/>
      <c r="C776" s="32"/>
      <c r="D776" s="32"/>
      <c r="E776" s="39"/>
      <c r="F776" s="34"/>
      <c r="G776" s="35">
        <f>Table1[[#This Row],[Selling Price]]-Table1[[#This Row],[Cost Price]]</f>
        <v>0</v>
      </c>
      <c r="H776" s="32"/>
      <c r="I776" s="36" t="s">
        <v>36</v>
      </c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x14ac:dyDescent="0.25">
      <c r="A777" s="31"/>
      <c r="B777" s="32"/>
      <c r="C777" s="32"/>
      <c r="D777" s="32"/>
      <c r="E777" s="39"/>
      <c r="F777" s="34"/>
      <c r="G777" s="35">
        <f>Table1[[#This Row],[Selling Price]]-Table1[[#This Row],[Cost Price]]</f>
        <v>0</v>
      </c>
      <c r="H777" s="32"/>
      <c r="I777" s="36" t="s">
        <v>36</v>
      </c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x14ac:dyDescent="0.25">
      <c r="A778" s="31"/>
      <c r="B778" s="32"/>
      <c r="C778" s="32"/>
      <c r="D778" s="32"/>
      <c r="E778" s="39"/>
      <c r="F778" s="34"/>
      <c r="G778" s="35">
        <f>Table1[[#This Row],[Selling Price]]-Table1[[#This Row],[Cost Price]]</f>
        <v>0</v>
      </c>
      <c r="H778" s="32"/>
      <c r="I778" s="36" t="s">
        <v>36</v>
      </c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x14ac:dyDescent="0.25">
      <c r="A779" s="31"/>
      <c r="B779" s="32"/>
      <c r="C779" s="32"/>
      <c r="D779" s="32"/>
      <c r="E779" s="39"/>
      <c r="F779" s="34"/>
      <c r="G779" s="35">
        <f>Table1[[#This Row],[Selling Price]]-Table1[[#This Row],[Cost Price]]</f>
        <v>0</v>
      </c>
      <c r="H779" s="32"/>
      <c r="I779" s="36" t="s">
        <v>36</v>
      </c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x14ac:dyDescent="0.25">
      <c r="A780" s="31"/>
      <c r="B780" s="32"/>
      <c r="C780" s="32"/>
      <c r="D780" s="32"/>
      <c r="E780" s="39"/>
      <c r="F780" s="34"/>
      <c r="G780" s="35">
        <f>Table1[[#This Row],[Selling Price]]-Table1[[#This Row],[Cost Price]]</f>
        <v>0</v>
      </c>
      <c r="H780" s="32"/>
      <c r="I780" s="36" t="s">
        <v>36</v>
      </c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x14ac:dyDescent="0.25">
      <c r="A781" s="31"/>
      <c r="B781" s="32"/>
      <c r="C781" s="32"/>
      <c r="D781" s="32"/>
      <c r="E781" s="39"/>
      <c r="F781" s="34"/>
      <c r="G781" s="35">
        <f>Table1[[#This Row],[Selling Price]]-Table1[[#This Row],[Cost Price]]</f>
        <v>0</v>
      </c>
      <c r="H781" s="32"/>
      <c r="I781" s="36" t="s">
        <v>36</v>
      </c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x14ac:dyDescent="0.25">
      <c r="A782" s="31"/>
      <c r="B782" s="32"/>
      <c r="C782" s="32"/>
      <c r="D782" s="32"/>
      <c r="E782" s="39"/>
      <c r="F782" s="34"/>
      <c r="G782" s="35">
        <f>Table1[[#This Row],[Selling Price]]-Table1[[#This Row],[Cost Price]]</f>
        <v>0</v>
      </c>
      <c r="H782" s="32"/>
      <c r="I782" s="36" t="s">
        <v>36</v>
      </c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x14ac:dyDescent="0.25">
      <c r="A783" s="31"/>
      <c r="B783" s="32"/>
      <c r="C783" s="32"/>
      <c r="D783" s="32"/>
      <c r="E783" s="39"/>
      <c r="F783" s="34"/>
      <c r="G783" s="35">
        <f>Table1[[#This Row],[Selling Price]]-Table1[[#This Row],[Cost Price]]</f>
        <v>0</v>
      </c>
      <c r="H783" s="32"/>
      <c r="I783" s="36" t="s">
        <v>36</v>
      </c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x14ac:dyDescent="0.25">
      <c r="A784" s="31"/>
      <c r="B784" s="32"/>
      <c r="C784" s="32"/>
      <c r="D784" s="32"/>
      <c r="E784" s="39"/>
      <c r="F784" s="34"/>
      <c r="G784" s="35">
        <f>Table1[[#This Row],[Selling Price]]-Table1[[#This Row],[Cost Price]]</f>
        <v>0</v>
      </c>
      <c r="H784" s="32"/>
      <c r="I784" s="36" t="s">
        <v>36</v>
      </c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x14ac:dyDescent="0.25">
      <c r="A785" s="31"/>
      <c r="B785" s="32"/>
      <c r="C785" s="32"/>
      <c r="D785" s="32"/>
      <c r="E785" s="39"/>
      <c r="F785" s="34"/>
      <c r="G785" s="35">
        <f>Table1[[#This Row],[Selling Price]]-Table1[[#This Row],[Cost Price]]</f>
        <v>0</v>
      </c>
      <c r="H785" s="32"/>
      <c r="I785" s="36" t="s">
        <v>36</v>
      </c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x14ac:dyDescent="0.25">
      <c r="A786" s="31"/>
      <c r="B786" s="32"/>
      <c r="C786" s="32"/>
      <c r="D786" s="32"/>
      <c r="E786" s="39"/>
      <c r="F786" s="34"/>
      <c r="G786" s="35">
        <f>Table1[[#This Row],[Selling Price]]-Table1[[#This Row],[Cost Price]]</f>
        <v>0</v>
      </c>
      <c r="H786" s="32"/>
      <c r="I786" s="36" t="s">
        <v>36</v>
      </c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x14ac:dyDescent="0.25">
      <c r="A787" s="31"/>
      <c r="B787" s="32"/>
      <c r="C787" s="32"/>
      <c r="D787" s="32"/>
      <c r="E787" s="39"/>
      <c r="F787" s="34"/>
      <c r="G787" s="35">
        <f>Table1[[#This Row],[Selling Price]]-Table1[[#This Row],[Cost Price]]</f>
        <v>0</v>
      </c>
      <c r="H787" s="32"/>
      <c r="I787" s="36" t="s">
        <v>36</v>
      </c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x14ac:dyDescent="0.25">
      <c r="A788" s="31"/>
      <c r="B788" s="32"/>
      <c r="C788" s="32"/>
      <c r="D788" s="32"/>
      <c r="E788" s="39"/>
      <c r="F788" s="34"/>
      <c r="G788" s="35">
        <f>Table1[[#This Row],[Selling Price]]-Table1[[#This Row],[Cost Price]]</f>
        <v>0</v>
      </c>
      <c r="H788" s="32"/>
      <c r="I788" s="36" t="s">
        <v>36</v>
      </c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x14ac:dyDescent="0.25">
      <c r="A789" s="31"/>
      <c r="B789" s="32"/>
      <c r="C789" s="32"/>
      <c r="D789" s="32"/>
      <c r="E789" s="39"/>
      <c r="F789" s="34"/>
      <c r="G789" s="35">
        <f>Table1[[#This Row],[Selling Price]]-Table1[[#This Row],[Cost Price]]</f>
        <v>0</v>
      </c>
      <c r="H789" s="32"/>
      <c r="I789" s="36" t="s">
        <v>36</v>
      </c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x14ac:dyDescent="0.25">
      <c r="A790" s="31"/>
      <c r="B790" s="32"/>
      <c r="C790" s="32"/>
      <c r="D790" s="32"/>
      <c r="E790" s="39"/>
      <c r="F790" s="34"/>
      <c r="G790" s="35">
        <f>Table1[[#This Row],[Selling Price]]-Table1[[#This Row],[Cost Price]]</f>
        <v>0</v>
      </c>
      <c r="H790" s="32"/>
      <c r="I790" s="36" t="s">
        <v>36</v>
      </c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x14ac:dyDescent="0.25">
      <c r="A791" s="31"/>
      <c r="B791" s="32"/>
      <c r="C791" s="32"/>
      <c r="D791" s="32"/>
      <c r="E791" s="39"/>
      <c r="F791" s="34"/>
      <c r="G791" s="35">
        <f>Table1[[#This Row],[Selling Price]]-Table1[[#This Row],[Cost Price]]</f>
        <v>0</v>
      </c>
      <c r="H791" s="32"/>
      <c r="I791" s="36" t="s">
        <v>36</v>
      </c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x14ac:dyDescent="0.25">
      <c r="A792" s="31"/>
      <c r="B792" s="32"/>
      <c r="C792" s="32"/>
      <c r="D792" s="32"/>
      <c r="E792" s="39"/>
      <c r="F792" s="34"/>
      <c r="G792" s="35">
        <f>Table1[[#This Row],[Selling Price]]-Table1[[#This Row],[Cost Price]]</f>
        <v>0</v>
      </c>
      <c r="H792" s="32"/>
      <c r="I792" s="36" t="s">
        <v>36</v>
      </c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x14ac:dyDescent="0.25">
      <c r="A793" s="31"/>
      <c r="B793" s="32"/>
      <c r="C793" s="32"/>
      <c r="D793" s="32"/>
      <c r="E793" s="39"/>
      <c r="F793" s="34"/>
      <c r="G793" s="35">
        <f>Table1[[#This Row],[Selling Price]]-Table1[[#This Row],[Cost Price]]</f>
        <v>0</v>
      </c>
      <c r="H793" s="32"/>
      <c r="I793" s="36" t="s">
        <v>36</v>
      </c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x14ac:dyDescent="0.25">
      <c r="A794" s="31"/>
      <c r="B794" s="32"/>
      <c r="C794" s="32"/>
      <c r="D794" s="32"/>
      <c r="E794" s="39"/>
      <c r="F794" s="34"/>
      <c r="G794" s="35">
        <f>Table1[[#This Row],[Selling Price]]-Table1[[#This Row],[Cost Price]]</f>
        <v>0</v>
      </c>
      <c r="H794" s="32"/>
      <c r="I794" s="36" t="s">
        <v>36</v>
      </c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x14ac:dyDescent="0.25">
      <c r="A795" s="31"/>
      <c r="B795" s="32"/>
      <c r="C795" s="32"/>
      <c r="D795" s="32"/>
      <c r="E795" s="39"/>
      <c r="F795" s="34"/>
      <c r="G795" s="35">
        <f>Table1[[#This Row],[Selling Price]]-Table1[[#This Row],[Cost Price]]</f>
        <v>0</v>
      </c>
      <c r="H795" s="32"/>
      <c r="I795" s="36" t="s">
        <v>36</v>
      </c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x14ac:dyDescent="0.25">
      <c r="A796" s="31"/>
      <c r="B796" s="32"/>
      <c r="C796" s="32"/>
      <c r="D796" s="32"/>
      <c r="E796" s="39"/>
      <c r="F796" s="34"/>
      <c r="G796" s="35">
        <f>Table1[[#This Row],[Selling Price]]-Table1[[#This Row],[Cost Price]]</f>
        <v>0</v>
      </c>
      <c r="H796" s="32"/>
      <c r="I796" s="36" t="s">
        <v>36</v>
      </c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x14ac:dyDescent="0.25">
      <c r="A797" s="31"/>
      <c r="B797" s="32"/>
      <c r="C797" s="32"/>
      <c r="D797" s="32"/>
      <c r="E797" s="39"/>
      <c r="F797" s="34"/>
      <c r="G797" s="35">
        <f>Table1[[#This Row],[Selling Price]]-Table1[[#This Row],[Cost Price]]</f>
        <v>0</v>
      </c>
      <c r="H797" s="32"/>
      <c r="I797" s="36" t="s">
        <v>36</v>
      </c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x14ac:dyDescent="0.25">
      <c r="A798" s="31"/>
      <c r="B798" s="32"/>
      <c r="C798" s="32"/>
      <c r="D798" s="32"/>
      <c r="E798" s="39"/>
      <c r="F798" s="34"/>
      <c r="G798" s="35">
        <f>Table1[[#This Row],[Selling Price]]-Table1[[#This Row],[Cost Price]]</f>
        <v>0</v>
      </c>
      <c r="H798" s="32"/>
      <c r="I798" s="36" t="s">
        <v>36</v>
      </c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x14ac:dyDescent="0.25">
      <c r="A799" s="31"/>
      <c r="B799" s="32"/>
      <c r="C799" s="32"/>
      <c r="D799" s="32"/>
      <c r="E799" s="39"/>
      <c r="F799" s="34"/>
      <c r="G799" s="35">
        <f>Table1[[#This Row],[Selling Price]]-Table1[[#This Row],[Cost Price]]</f>
        <v>0</v>
      </c>
      <c r="H799" s="32"/>
      <c r="I799" s="36" t="s">
        <v>36</v>
      </c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x14ac:dyDescent="0.25">
      <c r="A800" s="31"/>
      <c r="B800" s="32"/>
      <c r="C800" s="32"/>
      <c r="D800" s="32"/>
      <c r="E800" s="39"/>
      <c r="F800" s="34"/>
      <c r="G800" s="35">
        <f>Table1[[#This Row],[Selling Price]]-Table1[[#This Row],[Cost Price]]</f>
        <v>0</v>
      </c>
      <c r="H800" s="32"/>
      <c r="I800" s="36" t="s">
        <v>36</v>
      </c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x14ac:dyDescent="0.25">
      <c r="A801" s="31"/>
      <c r="B801" s="32"/>
      <c r="C801" s="32"/>
      <c r="D801" s="32"/>
      <c r="E801" s="39"/>
      <c r="F801" s="34"/>
      <c r="G801" s="35">
        <f>Table1[[#This Row],[Selling Price]]-Table1[[#This Row],[Cost Price]]</f>
        <v>0</v>
      </c>
      <c r="H801" s="32"/>
      <c r="I801" s="36" t="s">
        <v>36</v>
      </c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x14ac:dyDescent="0.25">
      <c r="A802" s="31"/>
      <c r="B802" s="32"/>
      <c r="C802" s="32"/>
      <c r="D802" s="32"/>
      <c r="E802" s="39"/>
      <c r="F802" s="34"/>
      <c r="G802" s="35">
        <f>Table1[[#This Row],[Selling Price]]-Table1[[#This Row],[Cost Price]]</f>
        <v>0</v>
      </c>
      <c r="H802" s="32"/>
      <c r="I802" s="36" t="s">
        <v>36</v>
      </c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x14ac:dyDescent="0.25">
      <c r="A803" s="31"/>
      <c r="B803" s="32"/>
      <c r="C803" s="32"/>
      <c r="D803" s="32"/>
      <c r="E803" s="39"/>
      <c r="F803" s="34"/>
      <c r="G803" s="35">
        <f>Table1[[#This Row],[Selling Price]]-Table1[[#This Row],[Cost Price]]</f>
        <v>0</v>
      </c>
      <c r="H803" s="32"/>
      <c r="I803" s="36" t="s">
        <v>36</v>
      </c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x14ac:dyDescent="0.25">
      <c r="A804" s="31"/>
      <c r="B804" s="32"/>
      <c r="C804" s="32"/>
      <c r="D804" s="32"/>
      <c r="E804" s="39"/>
      <c r="F804" s="34"/>
      <c r="G804" s="35">
        <f>Table1[[#This Row],[Selling Price]]-Table1[[#This Row],[Cost Price]]</f>
        <v>0</v>
      </c>
      <c r="H804" s="32"/>
      <c r="I804" s="36" t="s">
        <v>36</v>
      </c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x14ac:dyDescent="0.25">
      <c r="A805" s="31"/>
      <c r="B805" s="32"/>
      <c r="C805" s="32"/>
      <c r="D805" s="32"/>
      <c r="E805" s="39"/>
      <c r="F805" s="34"/>
      <c r="G805" s="35">
        <f>Table1[[#This Row],[Selling Price]]-Table1[[#This Row],[Cost Price]]</f>
        <v>0</v>
      </c>
      <c r="H805" s="32"/>
      <c r="I805" s="36" t="s">
        <v>36</v>
      </c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x14ac:dyDescent="0.25">
      <c r="A806" s="31"/>
      <c r="B806" s="32"/>
      <c r="C806" s="32"/>
      <c r="D806" s="32"/>
      <c r="E806" s="39"/>
      <c r="F806" s="34"/>
      <c r="G806" s="35">
        <f>Table1[[#This Row],[Selling Price]]-Table1[[#This Row],[Cost Price]]</f>
        <v>0</v>
      </c>
      <c r="H806" s="32"/>
      <c r="I806" s="36" t="s">
        <v>36</v>
      </c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x14ac:dyDescent="0.25">
      <c r="A807" s="31"/>
      <c r="B807" s="32"/>
      <c r="C807" s="32"/>
      <c r="D807" s="32"/>
      <c r="E807" s="39"/>
      <c r="F807" s="34"/>
      <c r="G807" s="35">
        <f>Table1[[#This Row],[Selling Price]]-Table1[[#This Row],[Cost Price]]</f>
        <v>0</v>
      </c>
      <c r="H807" s="32"/>
      <c r="I807" s="36" t="s">
        <v>36</v>
      </c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x14ac:dyDescent="0.25">
      <c r="A808" s="31"/>
      <c r="B808" s="32"/>
      <c r="C808" s="32"/>
      <c r="D808" s="32"/>
      <c r="E808" s="39"/>
      <c r="F808" s="34"/>
      <c r="G808" s="35">
        <f>Table1[[#This Row],[Selling Price]]-Table1[[#This Row],[Cost Price]]</f>
        <v>0</v>
      </c>
      <c r="H808" s="32"/>
      <c r="I808" s="36" t="s">
        <v>36</v>
      </c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x14ac:dyDescent="0.25">
      <c r="A809" s="31"/>
      <c r="B809" s="32"/>
      <c r="C809" s="32"/>
      <c r="D809" s="32"/>
      <c r="E809" s="39"/>
      <c r="F809" s="34"/>
      <c r="G809" s="35">
        <f>Table1[[#This Row],[Selling Price]]-Table1[[#This Row],[Cost Price]]</f>
        <v>0</v>
      </c>
      <c r="H809" s="32"/>
      <c r="I809" s="36" t="s">
        <v>36</v>
      </c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x14ac:dyDescent="0.25">
      <c r="A810" s="31"/>
      <c r="B810" s="32"/>
      <c r="C810" s="32"/>
      <c r="D810" s="32"/>
      <c r="E810" s="39"/>
      <c r="F810" s="34"/>
      <c r="G810" s="35">
        <f>Table1[[#This Row],[Selling Price]]-Table1[[#This Row],[Cost Price]]</f>
        <v>0</v>
      </c>
      <c r="H810" s="32"/>
      <c r="I810" s="36" t="s">
        <v>36</v>
      </c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x14ac:dyDescent="0.25">
      <c r="A811" s="31"/>
      <c r="B811" s="32"/>
      <c r="C811" s="32"/>
      <c r="D811" s="32"/>
      <c r="E811" s="39"/>
      <c r="F811" s="34"/>
      <c r="G811" s="35">
        <f>Table1[[#This Row],[Selling Price]]-Table1[[#This Row],[Cost Price]]</f>
        <v>0</v>
      </c>
      <c r="H811" s="32"/>
      <c r="I811" s="36" t="s">
        <v>36</v>
      </c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x14ac:dyDescent="0.25">
      <c r="A812" s="31"/>
      <c r="B812" s="32"/>
      <c r="C812" s="32"/>
      <c r="D812" s="32"/>
      <c r="E812" s="39"/>
      <c r="F812" s="34"/>
      <c r="G812" s="35">
        <f>Table1[[#This Row],[Selling Price]]-Table1[[#This Row],[Cost Price]]</f>
        <v>0</v>
      </c>
      <c r="H812" s="32"/>
      <c r="I812" s="36" t="s">
        <v>36</v>
      </c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x14ac:dyDescent="0.25">
      <c r="A813" s="31"/>
      <c r="B813" s="32"/>
      <c r="C813" s="32"/>
      <c r="D813" s="32"/>
      <c r="E813" s="39"/>
      <c r="F813" s="34"/>
      <c r="G813" s="35">
        <f>Table1[[#This Row],[Selling Price]]-Table1[[#This Row],[Cost Price]]</f>
        <v>0</v>
      </c>
      <c r="H813" s="32"/>
      <c r="I813" s="36" t="s">
        <v>36</v>
      </c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x14ac:dyDescent="0.25">
      <c r="A814" s="31"/>
      <c r="B814" s="32"/>
      <c r="C814" s="32"/>
      <c r="D814" s="32"/>
      <c r="E814" s="39"/>
      <c r="F814" s="34"/>
      <c r="G814" s="35">
        <f>Table1[[#This Row],[Selling Price]]-Table1[[#This Row],[Cost Price]]</f>
        <v>0</v>
      </c>
      <c r="H814" s="32"/>
      <c r="I814" s="36" t="s">
        <v>36</v>
      </c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x14ac:dyDescent="0.25">
      <c r="A815" s="31"/>
      <c r="B815" s="32"/>
      <c r="C815" s="32"/>
      <c r="D815" s="32"/>
      <c r="E815" s="39"/>
      <c r="F815" s="34"/>
      <c r="G815" s="35">
        <f>Table1[[#This Row],[Selling Price]]-Table1[[#This Row],[Cost Price]]</f>
        <v>0</v>
      </c>
      <c r="H815" s="32"/>
      <c r="I815" s="36" t="s">
        <v>36</v>
      </c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x14ac:dyDescent="0.25">
      <c r="A816" s="31"/>
      <c r="B816" s="32"/>
      <c r="C816" s="32"/>
      <c r="D816" s="32"/>
      <c r="E816" s="39"/>
      <c r="F816" s="34"/>
      <c r="G816" s="35">
        <f>Table1[[#This Row],[Selling Price]]-Table1[[#This Row],[Cost Price]]</f>
        <v>0</v>
      </c>
      <c r="H816" s="32"/>
      <c r="I816" s="36" t="s">
        <v>36</v>
      </c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x14ac:dyDescent="0.25">
      <c r="A817" s="31"/>
      <c r="B817" s="32"/>
      <c r="C817" s="32"/>
      <c r="D817" s="32"/>
      <c r="E817" s="39"/>
      <c r="F817" s="34"/>
      <c r="G817" s="35">
        <f>Table1[[#This Row],[Selling Price]]-Table1[[#This Row],[Cost Price]]</f>
        <v>0</v>
      </c>
      <c r="H817" s="32"/>
      <c r="I817" s="36" t="s">
        <v>36</v>
      </c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x14ac:dyDescent="0.25">
      <c r="A818" s="31"/>
      <c r="B818" s="32"/>
      <c r="C818" s="32"/>
      <c r="D818" s="32"/>
      <c r="E818" s="39"/>
      <c r="F818" s="34"/>
      <c r="G818" s="35">
        <f>Table1[[#This Row],[Selling Price]]-Table1[[#This Row],[Cost Price]]</f>
        <v>0</v>
      </c>
      <c r="H818" s="32"/>
      <c r="I818" s="36" t="s">
        <v>36</v>
      </c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x14ac:dyDescent="0.25">
      <c r="A819" s="31"/>
      <c r="B819" s="32"/>
      <c r="C819" s="32"/>
      <c r="D819" s="32"/>
      <c r="E819" s="39"/>
      <c r="F819" s="34"/>
      <c r="G819" s="35">
        <f>Table1[[#This Row],[Selling Price]]-Table1[[#This Row],[Cost Price]]</f>
        <v>0</v>
      </c>
      <c r="H819" s="32"/>
      <c r="I819" s="36" t="s">
        <v>36</v>
      </c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x14ac:dyDescent="0.25">
      <c r="A820" s="31"/>
      <c r="B820" s="32"/>
      <c r="C820" s="32"/>
      <c r="D820" s="32"/>
      <c r="E820" s="39"/>
      <c r="F820" s="34"/>
      <c r="G820" s="35">
        <f>Table1[[#This Row],[Selling Price]]-Table1[[#This Row],[Cost Price]]</f>
        <v>0</v>
      </c>
      <c r="H820" s="32"/>
      <c r="I820" s="36" t="s">
        <v>36</v>
      </c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x14ac:dyDescent="0.25">
      <c r="A821" s="31"/>
      <c r="B821" s="32"/>
      <c r="C821" s="32"/>
      <c r="D821" s="32"/>
      <c r="E821" s="39"/>
      <c r="F821" s="34"/>
      <c r="G821" s="35">
        <f>Table1[[#This Row],[Selling Price]]-Table1[[#This Row],[Cost Price]]</f>
        <v>0</v>
      </c>
      <c r="H821" s="32"/>
      <c r="I821" s="36" t="s">
        <v>36</v>
      </c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x14ac:dyDescent="0.25">
      <c r="A822" s="31"/>
      <c r="B822" s="32"/>
      <c r="C822" s="32"/>
      <c r="D822" s="32"/>
      <c r="E822" s="39"/>
      <c r="F822" s="34"/>
      <c r="G822" s="35">
        <f>Table1[[#This Row],[Selling Price]]-Table1[[#This Row],[Cost Price]]</f>
        <v>0</v>
      </c>
      <c r="H822" s="32"/>
      <c r="I822" s="36" t="s">
        <v>36</v>
      </c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x14ac:dyDescent="0.25">
      <c r="A823" s="31"/>
      <c r="B823" s="32"/>
      <c r="C823" s="32"/>
      <c r="D823" s="32"/>
      <c r="E823" s="39"/>
      <c r="F823" s="34"/>
      <c r="G823" s="35">
        <f>Table1[[#This Row],[Selling Price]]-Table1[[#This Row],[Cost Price]]</f>
        <v>0</v>
      </c>
      <c r="H823" s="32"/>
      <c r="I823" s="36" t="s">
        <v>36</v>
      </c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x14ac:dyDescent="0.25">
      <c r="A824" s="31"/>
      <c r="B824" s="32"/>
      <c r="C824" s="32"/>
      <c r="D824" s="32"/>
      <c r="E824" s="39"/>
      <c r="F824" s="34"/>
      <c r="G824" s="35">
        <f>Table1[[#This Row],[Selling Price]]-Table1[[#This Row],[Cost Price]]</f>
        <v>0</v>
      </c>
      <c r="H824" s="32"/>
      <c r="I824" s="36" t="s">
        <v>36</v>
      </c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x14ac:dyDescent="0.25">
      <c r="A825" s="31"/>
      <c r="B825" s="32"/>
      <c r="C825" s="32"/>
      <c r="D825" s="32"/>
      <c r="E825" s="39"/>
      <c r="F825" s="34"/>
      <c r="G825" s="35">
        <f>Table1[[#This Row],[Selling Price]]-Table1[[#This Row],[Cost Price]]</f>
        <v>0</v>
      </c>
      <c r="H825" s="32"/>
      <c r="I825" s="36" t="s">
        <v>36</v>
      </c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x14ac:dyDescent="0.25">
      <c r="A826" s="31"/>
      <c r="B826" s="32"/>
      <c r="C826" s="32"/>
      <c r="D826" s="32"/>
      <c r="E826" s="39"/>
      <c r="F826" s="34"/>
      <c r="G826" s="35">
        <f>Table1[[#This Row],[Selling Price]]-Table1[[#This Row],[Cost Price]]</f>
        <v>0</v>
      </c>
      <c r="H826" s="32"/>
      <c r="I826" s="36" t="s">
        <v>36</v>
      </c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x14ac:dyDescent="0.25">
      <c r="A827" s="31"/>
      <c r="B827" s="32"/>
      <c r="C827" s="32"/>
      <c r="D827" s="32"/>
      <c r="E827" s="39"/>
      <c r="F827" s="34"/>
      <c r="G827" s="35">
        <f>Table1[[#This Row],[Selling Price]]-Table1[[#This Row],[Cost Price]]</f>
        <v>0</v>
      </c>
      <c r="H827" s="32"/>
      <c r="I827" s="36" t="s">
        <v>36</v>
      </c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x14ac:dyDescent="0.25">
      <c r="A828" s="31"/>
      <c r="B828" s="32"/>
      <c r="C828" s="32"/>
      <c r="D828" s="32"/>
      <c r="E828" s="39"/>
      <c r="F828" s="34"/>
      <c r="G828" s="35">
        <f>Table1[[#This Row],[Selling Price]]-Table1[[#This Row],[Cost Price]]</f>
        <v>0</v>
      </c>
      <c r="H828" s="32"/>
      <c r="I828" s="36" t="s">
        <v>36</v>
      </c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x14ac:dyDescent="0.25">
      <c r="A829" s="31"/>
      <c r="B829" s="32"/>
      <c r="C829" s="32"/>
      <c r="D829" s="32"/>
      <c r="E829" s="39"/>
      <c r="F829" s="34"/>
      <c r="G829" s="35">
        <f>Table1[[#This Row],[Selling Price]]-Table1[[#This Row],[Cost Price]]</f>
        <v>0</v>
      </c>
      <c r="H829" s="32"/>
      <c r="I829" s="36" t="s">
        <v>36</v>
      </c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x14ac:dyDescent="0.25">
      <c r="A830" s="31"/>
      <c r="B830" s="32"/>
      <c r="C830" s="32"/>
      <c r="D830" s="32"/>
      <c r="E830" s="39"/>
      <c r="F830" s="34"/>
      <c r="G830" s="35">
        <f>Table1[[#This Row],[Selling Price]]-Table1[[#This Row],[Cost Price]]</f>
        <v>0</v>
      </c>
      <c r="H830" s="32"/>
      <c r="I830" s="36" t="s">
        <v>36</v>
      </c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x14ac:dyDescent="0.25">
      <c r="A831" s="31"/>
      <c r="B831" s="32"/>
      <c r="C831" s="32"/>
      <c r="D831" s="32"/>
      <c r="E831" s="39"/>
      <c r="F831" s="34"/>
      <c r="G831" s="35">
        <f>Table1[[#This Row],[Selling Price]]-Table1[[#This Row],[Cost Price]]</f>
        <v>0</v>
      </c>
      <c r="H831" s="32"/>
      <c r="I831" s="36" t="s">
        <v>36</v>
      </c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x14ac:dyDescent="0.25">
      <c r="A832" s="31"/>
      <c r="B832" s="32"/>
      <c r="C832" s="32"/>
      <c r="D832" s="32"/>
      <c r="E832" s="39"/>
      <c r="F832" s="34"/>
      <c r="G832" s="35">
        <f>Table1[[#This Row],[Selling Price]]-Table1[[#This Row],[Cost Price]]</f>
        <v>0</v>
      </c>
      <c r="H832" s="32"/>
      <c r="I832" s="36" t="s">
        <v>36</v>
      </c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x14ac:dyDescent="0.25">
      <c r="A833" s="31"/>
      <c r="B833" s="32"/>
      <c r="C833" s="32"/>
      <c r="D833" s="32"/>
      <c r="E833" s="39"/>
      <c r="F833" s="34"/>
      <c r="G833" s="35">
        <f>Table1[[#This Row],[Selling Price]]-Table1[[#This Row],[Cost Price]]</f>
        <v>0</v>
      </c>
      <c r="H833" s="32"/>
      <c r="I833" s="36" t="s">
        <v>36</v>
      </c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x14ac:dyDescent="0.25">
      <c r="A834" s="31"/>
      <c r="B834" s="32"/>
      <c r="C834" s="32"/>
      <c r="D834" s="32"/>
      <c r="E834" s="39"/>
      <c r="F834" s="34"/>
      <c r="G834" s="35">
        <f>Table1[[#This Row],[Selling Price]]-Table1[[#This Row],[Cost Price]]</f>
        <v>0</v>
      </c>
      <c r="H834" s="32"/>
      <c r="I834" s="36" t="s">
        <v>36</v>
      </c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x14ac:dyDescent="0.25">
      <c r="A835" s="31"/>
      <c r="B835" s="32"/>
      <c r="C835" s="32"/>
      <c r="D835" s="32"/>
      <c r="E835" s="39"/>
      <c r="F835" s="34"/>
      <c r="G835" s="35">
        <f>Table1[[#This Row],[Selling Price]]-Table1[[#This Row],[Cost Price]]</f>
        <v>0</v>
      </c>
      <c r="H835" s="32"/>
      <c r="I835" s="36" t="s">
        <v>36</v>
      </c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x14ac:dyDescent="0.25">
      <c r="A836" s="31"/>
      <c r="B836" s="32"/>
      <c r="C836" s="32"/>
      <c r="D836" s="32"/>
      <c r="E836" s="39"/>
      <c r="F836" s="34"/>
      <c r="G836" s="35">
        <f>Table1[[#This Row],[Selling Price]]-Table1[[#This Row],[Cost Price]]</f>
        <v>0</v>
      </c>
      <c r="H836" s="32"/>
      <c r="I836" s="36" t="s">
        <v>36</v>
      </c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x14ac:dyDescent="0.25">
      <c r="A837" s="31"/>
      <c r="B837" s="32"/>
      <c r="C837" s="32"/>
      <c r="D837" s="32"/>
      <c r="E837" s="39"/>
      <c r="F837" s="34"/>
      <c r="G837" s="35">
        <f>Table1[[#This Row],[Selling Price]]-Table1[[#This Row],[Cost Price]]</f>
        <v>0</v>
      </c>
      <c r="H837" s="32"/>
      <c r="I837" s="36" t="s">
        <v>36</v>
      </c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x14ac:dyDescent="0.25">
      <c r="A838" s="31"/>
      <c r="B838" s="32"/>
      <c r="C838" s="32"/>
      <c r="D838" s="32"/>
      <c r="E838" s="39"/>
      <c r="F838" s="34"/>
      <c r="G838" s="35">
        <f>Table1[[#This Row],[Selling Price]]-Table1[[#This Row],[Cost Price]]</f>
        <v>0</v>
      </c>
      <c r="H838" s="32"/>
      <c r="I838" s="36" t="s">
        <v>36</v>
      </c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x14ac:dyDescent="0.25">
      <c r="A839" s="31"/>
      <c r="B839" s="32"/>
      <c r="C839" s="32"/>
      <c r="D839" s="32"/>
      <c r="E839" s="39"/>
      <c r="F839" s="34"/>
      <c r="G839" s="35">
        <f>Table1[[#This Row],[Selling Price]]-Table1[[#This Row],[Cost Price]]</f>
        <v>0</v>
      </c>
      <c r="H839" s="32"/>
      <c r="I839" s="36" t="s">
        <v>36</v>
      </c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x14ac:dyDescent="0.25">
      <c r="A840" s="31"/>
      <c r="B840" s="32"/>
      <c r="C840" s="32"/>
      <c r="D840" s="32"/>
      <c r="E840" s="39"/>
      <c r="F840" s="34"/>
      <c r="G840" s="35">
        <f>Table1[[#This Row],[Selling Price]]-Table1[[#This Row],[Cost Price]]</f>
        <v>0</v>
      </c>
      <c r="H840" s="32"/>
      <c r="I840" s="36" t="s">
        <v>36</v>
      </c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x14ac:dyDescent="0.25">
      <c r="A841" s="31"/>
      <c r="B841" s="32"/>
      <c r="C841" s="32"/>
      <c r="D841" s="32"/>
      <c r="E841" s="39"/>
      <c r="F841" s="34"/>
      <c r="G841" s="35">
        <f>Table1[[#This Row],[Selling Price]]-Table1[[#This Row],[Cost Price]]</f>
        <v>0</v>
      </c>
      <c r="H841" s="32"/>
      <c r="I841" s="36" t="s">
        <v>36</v>
      </c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x14ac:dyDescent="0.25">
      <c r="A842" s="31"/>
      <c r="B842" s="32"/>
      <c r="C842" s="32"/>
      <c r="D842" s="32"/>
      <c r="E842" s="39"/>
      <c r="F842" s="34"/>
      <c r="G842" s="35">
        <f>Table1[[#This Row],[Selling Price]]-Table1[[#This Row],[Cost Price]]</f>
        <v>0</v>
      </c>
      <c r="H842" s="32"/>
      <c r="I842" s="36" t="s">
        <v>36</v>
      </c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x14ac:dyDescent="0.25">
      <c r="A843" s="31"/>
      <c r="B843" s="32"/>
      <c r="C843" s="32"/>
      <c r="D843" s="32"/>
      <c r="E843" s="39"/>
      <c r="F843" s="34"/>
      <c r="G843" s="35">
        <f>Table1[[#This Row],[Selling Price]]-Table1[[#This Row],[Cost Price]]</f>
        <v>0</v>
      </c>
      <c r="H843" s="32"/>
      <c r="I843" s="36" t="s">
        <v>36</v>
      </c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x14ac:dyDescent="0.25">
      <c r="A844" s="31"/>
      <c r="B844" s="32"/>
      <c r="C844" s="32"/>
      <c r="D844" s="32"/>
      <c r="E844" s="39"/>
      <c r="F844" s="34"/>
      <c r="G844" s="35">
        <f>Table1[[#This Row],[Selling Price]]-Table1[[#This Row],[Cost Price]]</f>
        <v>0</v>
      </c>
      <c r="H844" s="32"/>
      <c r="I844" s="36" t="s">
        <v>36</v>
      </c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x14ac:dyDescent="0.25">
      <c r="A845" s="31"/>
      <c r="B845" s="32"/>
      <c r="C845" s="32"/>
      <c r="D845" s="32"/>
      <c r="E845" s="39"/>
      <c r="F845" s="34"/>
      <c r="G845" s="35">
        <f>Table1[[#This Row],[Selling Price]]-Table1[[#This Row],[Cost Price]]</f>
        <v>0</v>
      </c>
      <c r="H845" s="32"/>
      <c r="I845" s="36" t="s">
        <v>36</v>
      </c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x14ac:dyDescent="0.25">
      <c r="A846" s="31"/>
      <c r="B846" s="32"/>
      <c r="C846" s="32"/>
      <c r="D846" s="32"/>
      <c r="E846" s="39"/>
      <c r="F846" s="34"/>
      <c r="G846" s="35">
        <f>Table1[[#This Row],[Selling Price]]-Table1[[#This Row],[Cost Price]]</f>
        <v>0</v>
      </c>
      <c r="H846" s="32"/>
      <c r="I846" s="36" t="s">
        <v>36</v>
      </c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x14ac:dyDescent="0.25">
      <c r="A847" s="31"/>
      <c r="B847" s="32"/>
      <c r="C847" s="32"/>
      <c r="D847" s="32"/>
      <c r="E847" s="39"/>
      <c r="F847" s="34"/>
      <c r="G847" s="35">
        <f>Table1[[#This Row],[Selling Price]]-Table1[[#This Row],[Cost Price]]</f>
        <v>0</v>
      </c>
      <c r="H847" s="32"/>
      <c r="I847" s="36" t="s">
        <v>36</v>
      </c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x14ac:dyDescent="0.25">
      <c r="A848" s="31"/>
      <c r="B848" s="32"/>
      <c r="C848" s="32"/>
      <c r="D848" s="32"/>
      <c r="E848" s="39"/>
      <c r="F848" s="34"/>
      <c r="G848" s="35">
        <f>Table1[[#This Row],[Selling Price]]-Table1[[#This Row],[Cost Price]]</f>
        <v>0</v>
      </c>
      <c r="H848" s="32"/>
      <c r="I848" s="36" t="s">
        <v>36</v>
      </c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x14ac:dyDescent="0.25">
      <c r="A849" s="31"/>
      <c r="B849" s="32"/>
      <c r="C849" s="32"/>
      <c r="D849" s="32"/>
      <c r="E849" s="39"/>
      <c r="F849" s="34"/>
      <c r="G849" s="35">
        <f>Table1[[#This Row],[Selling Price]]-Table1[[#This Row],[Cost Price]]</f>
        <v>0</v>
      </c>
      <c r="H849" s="32"/>
      <c r="I849" s="36" t="s">
        <v>36</v>
      </c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x14ac:dyDescent="0.25">
      <c r="A850" s="31"/>
      <c r="B850" s="32"/>
      <c r="C850" s="32"/>
      <c r="D850" s="32"/>
      <c r="E850" s="39"/>
      <c r="F850" s="34"/>
      <c r="G850" s="35">
        <f>Table1[[#This Row],[Selling Price]]-Table1[[#This Row],[Cost Price]]</f>
        <v>0</v>
      </c>
      <c r="H850" s="32"/>
      <c r="I850" s="36" t="s">
        <v>36</v>
      </c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x14ac:dyDescent="0.25">
      <c r="A851" s="31"/>
      <c r="B851" s="32"/>
      <c r="C851" s="32"/>
      <c r="D851" s="32"/>
      <c r="E851" s="39"/>
      <c r="F851" s="34"/>
      <c r="G851" s="35">
        <f>Table1[[#This Row],[Selling Price]]-Table1[[#This Row],[Cost Price]]</f>
        <v>0</v>
      </c>
      <c r="H851" s="32"/>
      <c r="I851" s="36" t="s">
        <v>36</v>
      </c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x14ac:dyDescent="0.25">
      <c r="A852" s="31"/>
      <c r="B852" s="32"/>
      <c r="C852" s="32"/>
      <c r="D852" s="32"/>
      <c r="E852" s="39"/>
      <c r="F852" s="34"/>
      <c r="G852" s="35">
        <f>Table1[[#This Row],[Selling Price]]-Table1[[#This Row],[Cost Price]]</f>
        <v>0</v>
      </c>
      <c r="H852" s="32"/>
      <c r="I852" s="36" t="s">
        <v>36</v>
      </c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x14ac:dyDescent="0.25">
      <c r="A853" s="31"/>
      <c r="B853" s="32"/>
      <c r="C853" s="32"/>
      <c r="D853" s="32"/>
      <c r="E853" s="39"/>
      <c r="F853" s="34"/>
      <c r="G853" s="35">
        <f>Table1[[#This Row],[Selling Price]]-Table1[[#This Row],[Cost Price]]</f>
        <v>0</v>
      </c>
      <c r="H853" s="32"/>
      <c r="I853" s="36" t="s">
        <v>36</v>
      </c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x14ac:dyDescent="0.25">
      <c r="A854" s="31"/>
      <c r="B854" s="32"/>
      <c r="C854" s="32"/>
      <c r="D854" s="32"/>
      <c r="E854" s="39"/>
      <c r="F854" s="34"/>
      <c r="G854" s="35">
        <f>Table1[[#This Row],[Selling Price]]-Table1[[#This Row],[Cost Price]]</f>
        <v>0</v>
      </c>
      <c r="H854" s="32"/>
      <c r="I854" s="36" t="s">
        <v>36</v>
      </c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x14ac:dyDescent="0.25">
      <c r="A855" s="31"/>
      <c r="B855" s="32"/>
      <c r="C855" s="32"/>
      <c r="D855" s="32"/>
      <c r="E855" s="39"/>
      <c r="F855" s="34"/>
      <c r="G855" s="35">
        <f>Table1[[#This Row],[Selling Price]]-Table1[[#This Row],[Cost Price]]</f>
        <v>0</v>
      </c>
      <c r="H855" s="32"/>
      <c r="I855" s="36" t="s">
        <v>36</v>
      </c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x14ac:dyDescent="0.25">
      <c r="A856" s="31"/>
      <c r="B856" s="32"/>
      <c r="C856" s="32"/>
      <c r="D856" s="32"/>
      <c r="E856" s="39"/>
      <c r="F856" s="34"/>
      <c r="G856" s="35">
        <f>Table1[[#This Row],[Selling Price]]-Table1[[#This Row],[Cost Price]]</f>
        <v>0</v>
      </c>
      <c r="H856" s="32"/>
      <c r="I856" s="36" t="s">
        <v>36</v>
      </c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x14ac:dyDescent="0.25">
      <c r="A857" s="31"/>
      <c r="B857" s="32"/>
      <c r="C857" s="32"/>
      <c r="D857" s="32"/>
      <c r="E857" s="39"/>
      <c r="F857" s="34"/>
      <c r="G857" s="35">
        <f>Table1[[#This Row],[Selling Price]]-Table1[[#This Row],[Cost Price]]</f>
        <v>0</v>
      </c>
      <c r="H857" s="32"/>
      <c r="I857" s="36" t="s">
        <v>36</v>
      </c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x14ac:dyDescent="0.25">
      <c r="A858" s="31"/>
      <c r="B858" s="32"/>
      <c r="C858" s="32"/>
      <c r="D858" s="32"/>
      <c r="E858" s="39"/>
      <c r="F858" s="34"/>
      <c r="G858" s="35">
        <f>Table1[[#This Row],[Selling Price]]-Table1[[#This Row],[Cost Price]]</f>
        <v>0</v>
      </c>
      <c r="H858" s="32"/>
      <c r="I858" s="36" t="s">
        <v>36</v>
      </c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x14ac:dyDescent="0.25">
      <c r="A859" s="31"/>
      <c r="B859" s="32"/>
      <c r="C859" s="32"/>
      <c r="D859" s="32"/>
      <c r="E859" s="39"/>
      <c r="F859" s="34"/>
      <c r="G859" s="35">
        <f>Table1[[#This Row],[Selling Price]]-Table1[[#This Row],[Cost Price]]</f>
        <v>0</v>
      </c>
      <c r="H859" s="32"/>
      <c r="I859" s="36" t="s">
        <v>36</v>
      </c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x14ac:dyDescent="0.25">
      <c r="A860" s="31"/>
      <c r="B860" s="32"/>
      <c r="C860" s="32"/>
      <c r="D860" s="32"/>
      <c r="E860" s="39"/>
      <c r="F860" s="34"/>
      <c r="G860" s="35">
        <f>Table1[[#This Row],[Selling Price]]-Table1[[#This Row],[Cost Price]]</f>
        <v>0</v>
      </c>
      <c r="H860" s="32"/>
      <c r="I860" s="36" t="s">
        <v>36</v>
      </c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x14ac:dyDescent="0.25">
      <c r="A861" s="31"/>
      <c r="B861" s="32"/>
      <c r="C861" s="32"/>
      <c r="D861" s="32"/>
      <c r="E861" s="39"/>
      <c r="F861" s="34"/>
      <c r="G861" s="35">
        <f>Table1[[#This Row],[Selling Price]]-Table1[[#This Row],[Cost Price]]</f>
        <v>0</v>
      </c>
      <c r="H861" s="32"/>
      <c r="I861" s="36" t="s">
        <v>36</v>
      </c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x14ac:dyDescent="0.25">
      <c r="A862" s="31"/>
      <c r="B862" s="32"/>
      <c r="C862" s="32"/>
      <c r="D862" s="32"/>
      <c r="E862" s="39"/>
      <c r="F862" s="34"/>
      <c r="G862" s="35">
        <f>Table1[[#This Row],[Selling Price]]-Table1[[#This Row],[Cost Price]]</f>
        <v>0</v>
      </c>
      <c r="H862" s="32"/>
      <c r="I862" s="36" t="s">
        <v>36</v>
      </c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x14ac:dyDescent="0.25">
      <c r="A863" s="31"/>
      <c r="B863" s="32"/>
      <c r="C863" s="32"/>
      <c r="D863" s="32"/>
      <c r="E863" s="39"/>
      <c r="F863" s="34"/>
      <c r="G863" s="35">
        <f>Table1[[#This Row],[Selling Price]]-Table1[[#This Row],[Cost Price]]</f>
        <v>0</v>
      </c>
      <c r="H863" s="32"/>
      <c r="I863" s="36" t="s">
        <v>36</v>
      </c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x14ac:dyDescent="0.25">
      <c r="A864" s="31"/>
      <c r="B864" s="32"/>
      <c r="C864" s="32"/>
      <c r="D864" s="32"/>
      <c r="E864" s="39"/>
      <c r="F864" s="34"/>
      <c r="G864" s="35">
        <f>Table1[[#This Row],[Selling Price]]-Table1[[#This Row],[Cost Price]]</f>
        <v>0</v>
      </c>
      <c r="H864" s="32"/>
      <c r="I864" s="36" t="s">
        <v>36</v>
      </c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x14ac:dyDescent="0.25">
      <c r="A865" s="31"/>
      <c r="B865" s="32"/>
      <c r="C865" s="32"/>
      <c r="D865" s="32"/>
      <c r="E865" s="39"/>
      <c r="F865" s="34"/>
      <c r="G865" s="35">
        <f>Table1[[#This Row],[Selling Price]]-Table1[[#This Row],[Cost Price]]</f>
        <v>0</v>
      </c>
      <c r="H865" s="32"/>
      <c r="I865" s="36" t="s">
        <v>36</v>
      </c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x14ac:dyDescent="0.25">
      <c r="A866" s="31"/>
      <c r="B866" s="32"/>
      <c r="C866" s="32"/>
      <c r="D866" s="32"/>
      <c r="E866" s="39"/>
      <c r="F866" s="34"/>
      <c r="G866" s="35">
        <f>Table1[[#This Row],[Selling Price]]-Table1[[#This Row],[Cost Price]]</f>
        <v>0</v>
      </c>
      <c r="H866" s="32"/>
      <c r="I866" s="36" t="s">
        <v>36</v>
      </c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x14ac:dyDescent="0.25">
      <c r="A867" s="31"/>
      <c r="B867" s="32"/>
      <c r="C867" s="32"/>
      <c r="D867" s="32"/>
      <c r="E867" s="39"/>
      <c r="F867" s="34"/>
      <c r="G867" s="35">
        <f>Table1[[#This Row],[Selling Price]]-Table1[[#This Row],[Cost Price]]</f>
        <v>0</v>
      </c>
      <c r="H867" s="32"/>
      <c r="I867" s="36" t="s">
        <v>36</v>
      </c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x14ac:dyDescent="0.25">
      <c r="A868" s="31"/>
      <c r="B868" s="32"/>
      <c r="C868" s="32"/>
      <c r="D868" s="32"/>
      <c r="E868" s="39"/>
      <c r="F868" s="34"/>
      <c r="G868" s="35">
        <f>Table1[[#This Row],[Selling Price]]-Table1[[#This Row],[Cost Price]]</f>
        <v>0</v>
      </c>
      <c r="H868" s="32"/>
      <c r="I868" s="36" t="s">
        <v>36</v>
      </c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x14ac:dyDescent="0.25">
      <c r="A869" s="31"/>
      <c r="B869" s="32"/>
      <c r="C869" s="32"/>
      <c r="D869" s="32"/>
      <c r="E869" s="39"/>
      <c r="F869" s="34"/>
      <c r="G869" s="35">
        <f>Table1[[#This Row],[Selling Price]]-Table1[[#This Row],[Cost Price]]</f>
        <v>0</v>
      </c>
      <c r="H869" s="32"/>
      <c r="I869" s="36" t="s">
        <v>36</v>
      </c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x14ac:dyDescent="0.25">
      <c r="A870" s="31"/>
      <c r="B870" s="32"/>
      <c r="C870" s="32"/>
      <c r="D870" s="32"/>
      <c r="E870" s="39"/>
      <c r="F870" s="34"/>
      <c r="G870" s="35">
        <f>Table1[[#This Row],[Selling Price]]-Table1[[#This Row],[Cost Price]]</f>
        <v>0</v>
      </c>
      <c r="H870" s="32"/>
      <c r="I870" s="36" t="s">
        <v>36</v>
      </c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x14ac:dyDescent="0.25">
      <c r="A871" s="31"/>
      <c r="B871" s="32"/>
      <c r="C871" s="32"/>
      <c r="D871" s="32"/>
      <c r="E871" s="39"/>
      <c r="F871" s="34"/>
      <c r="G871" s="35">
        <f>Table1[[#This Row],[Selling Price]]-Table1[[#This Row],[Cost Price]]</f>
        <v>0</v>
      </c>
      <c r="H871" s="32"/>
      <c r="I871" s="36" t="s">
        <v>36</v>
      </c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x14ac:dyDescent="0.25">
      <c r="A872" s="31"/>
      <c r="B872" s="32"/>
      <c r="C872" s="32"/>
      <c r="D872" s="32"/>
      <c r="E872" s="39"/>
      <c r="F872" s="34"/>
      <c r="G872" s="35">
        <f>Table1[[#This Row],[Selling Price]]-Table1[[#This Row],[Cost Price]]</f>
        <v>0</v>
      </c>
      <c r="H872" s="32"/>
      <c r="I872" s="36" t="s">
        <v>36</v>
      </c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x14ac:dyDescent="0.25">
      <c r="A873" s="31"/>
      <c r="B873" s="32"/>
      <c r="C873" s="32"/>
      <c r="D873" s="32"/>
      <c r="E873" s="39"/>
      <c r="F873" s="34"/>
      <c r="G873" s="35">
        <f>Table1[[#This Row],[Selling Price]]-Table1[[#This Row],[Cost Price]]</f>
        <v>0</v>
      </c>
      <c r="H873" s="32"/>
      <c r="I873" s="36" t="s">
        <v>36</v>
      </c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x14ac:dyDescent="0.25">
      <c r="A874" s="31"/>
      <c r="B874" s="32"/>
      <c r="C874" s="32"/>
      <c r="D874" s="32"/>
      <c r="E874" s="39"/>
      <c r="F874" s="34"/>
      <c r="G874" s="35">
        <f>Table1[[#This Row],[Selling Price]]-Table1[[#This Row],[Cost Price]]</f>
        <v>0</v>
      </c>
      <c r="H874" s="32"/>
      <c r="I874" s="36" t="s">
        <v>36</v>
      </c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x14ac:dyDescent="0.25">
      <c r="A875" s="31"/>
      <c r="B875" s="32"/>
      <c r="C875" s="32"/>
      <c r="D875" s="32"/>
      <c r="E875" s="39"/>
      <c r="F875" s="34"/>
      <c r="G875" s="35">
        <f>Table1[[#This Row],[Selling Price]]-Table1[[#This Row],[Cost Price]]</f>
        <v>0</v>
      </c>
      <c r="H875" s="32"/>
      <c r="I875" s="36" t="s">
        <v>36</v>
      </c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x14ac:dyDescent="0.25">
      <c r="A876" s="31"/>
      <c r="B876" s="32"/>
      <c r="C876" s="32"/>
      <c r="D876" s="32"/>
      <c r="E876" s="39"/>
      <c r="F876" s="34"/>
      <c r="G876" s="35">
        <f>Table1[[#This Row],[Selling Price]]-Table1[[#This Row],[Cost Price]]</f>
        <v>0</v>
      </c>
      <c r="H876" s="32"/>
      <c r="I876" s="36" t="s">
        <v>36</v>
      </c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x14ac:dyDescent="0.25">
      <c r="A877" s="31"/>
      <c r="B877" s="32"/>
      <c r="C877" s="32"/>
      <c r="D877" s="32"/>
      <c r="E877" s="39"/>
      <c r="F877" s="34"/>
      <c r="G877" s="35">
        <f>Table1[[#This Row],[Selling Price]]-Table1[[#This Row],[Cost Price]]</f>
        <v>0</v>
      </c>
      <c r="H877" s="32"/>
      <c r="I877" s="36" t="s">
        <v>36</v>
      </c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x14ac:dyDescent="0.25">
      <c r="A878" s="31"/>
      <c r="B878" s="32"/>
      <c r="C878" s="32"/>
      <c r="D878" s="32"/>
      <c r="E878" s="39"/>
      <c r="F878" s="34"/>
      <c r="G878" s="35">
        <f>Table1[[#This Row],[Selling Price]]-Table1[[#This Row],[Cost Price]]</f>
        <v>0</v>
      </c>
      <c r="H878" s="32"/>
      <c r="I878" s="36" t="s">
        <v>36</v>
      </c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x14ac:dyDescent="0.25">
      <c r="A879" s="31"/>
      <c r="B879" s="32"/>
      <c r="C879" s="32"/>
      <c r="D879" s="32"/>
      <c r="E879" s="39"/>
      <c r="F879" s="34"/>
      <c r="G879" s="35">
        <f>Table1[[#This Row],[Selling Price]]-Table1[[#This Row],[Cost Price]]</f>
        <v>0</v>
      </c>
      <c r="H879" s="32"/>
      <c r="I879" s="36" t="s">
        <v>36</v>
      </c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x14ac:dyDescent="0.25">
      <c r="A880" s="31"/>
      <c r="B880" s="32"/>
      <c r="C880" s="32"/>
      <c r="D880" s="32"/>
      <c r="E880" s="39"/>
      <c r="F880" s="34"/>
      <c r="G880" s="35">
        <f>Table1[[#This Row],[Selling Price]]-Table1[[#This Row],[Cost Price]]</f>
        <v>0</v>
      </c>
      <c r="H880" s="32"/>
      <c r="I880" s="36" t="s">
        <v>36</v>
      </c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x14ac:dyDescent="0.25">
      <c r="A881" s="31"/>
      <c r="B881" s="32"/>
      <c r="C881" s="32"/>
      <c r="D881" s="32"/>
      <c r="E881" s="39"/>
      <c r="F881" s="34"/>
      <c r="G881" s="35">
        <f>Table1[[#This Row],[Selling Price]]-Table1[[#This Row],[Cost Price]]</f>
        <v>0</v>
      </c>
      <c r="H881" s="32"/>
      <c r="I881" s="36" t="s">
        <v>36</v>
      </c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x14ac:dyDescent="0.25">
      <c r="A882" s="31"/>
      <c r="B882" s="32"/>
      <c r="C882" s="32"/>
      <c r="D882" s="32"/>
      <c r="E882" s="39"/>
      <c r="F882" s="34"/>
      <c r="G882" s="35">
        <f>Table1[[#This Row],[Selling Price]]-Table1[[#This Row],[Cost Price]]</f>
        <v>0</v>
      </c>
      <c r="H882" s="32"/>
      <c r="I882" s="36" t="s">
        <v>36</v>
      </c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x14ac:dyDescent="0.25">
      <c r="A883" s="31"/>
      <c r="B883" s="32"/>
      <c r="C883" s="32"/>
      <c r="D883" s="32"/>
      <c r="E883" s="39"/>
      <c r="F883" s="34"/>
      <c r="G883" s="35">
        <f>Table1[[#This Row],[Selling Price]]-Table1[[#This Row],[Cost Price]]</f>
        <v>0</v>
      </c>
      <c r="H883" s="32"/>
      <c r="I883" s="36" t="s">
        <v>36</v>
      </c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x14ac:dyDescent="0.25">
      <c r="A884" s="31"/>
      <c r="B884" s="32"/>
      <c r="C884" s="32"/>
      <c r="D884" s="32"/>
      <c r="E884" s="39"/>
      <c r="F884" s="34"/>
      <c r="G884" s="35">
        <f>Table1[[#This Row],[Selling Price]]-Table1[[#This Row],[Cost Price]]</f>
        <v>0</v>
      </c>
      <c r="H884" s="32"/>
      <c r="I884" s="36" t="s">
        <v>36</v>
      </c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x14ac:dyDescent="0.25">
      <c r="A885" s="31"/>
      <c r="B885" s="32"/>
      <c r="C885" s="32"/>
      <c r="D885" s="32"/>
      <c r="E885" s="39"/>
      <c r="F885" s="34"/>
      <c r="G885" s="35">
        <f>Table1[[#This Row],[Selling Price]]-Table1[[#This Row],[Cost Price]]</f>
        <v>0</v>
      </c>
      <c r="H885" s="32"/>
      <c r="I885" s="36" t="s">
        <v>36</v>
      </c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x14ac:dyDescent="0.25">
      <c r="A886" s="31"/>
      <c r="B886" s="32"/>
      <c r="C886" s="32"/>
      <c r="D886" s="32"/>
      <c r="E886" s="39"/>
      <c r="F886" s="34"/>
      <c r="G886" s="35">
        <f>Table1[[#This Row],[Selling Price]]-Table1[[#This Row],[Cost Price]]</f>
        <v>0</v>
      </c>
      <c r="H886" s="32"/>
      <c r="I886" s="36" t="s">
        <v>36</v>
      </c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x14ac:dyDescent="0.25">
      <c r="A887" s="31"/>
      <c r="B887" s="32"/>
      <c r="C887" s="32"/>
      <c r="D887" s="32"/>
      <c r="E887" s="39"/>
      <c r="F887" s="34"/>
      <c r="G887" s="35">
        <f>Table1[[#This Row],[Selling Price]]-Table1[[#This Row],[Cost Price]]</f>
        <v>0</v>
      </c>
      <c r="H887" s="32"/>
      <c r="I887" s="36" t="s">
        <v>36</v>
      </c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x14ac:dyDescent="0.25">
      <c r="A888" s="31"/>
      <c r="B888" s="32"/>
      <c r="C888" s="32"/>
      <c r="D888" s="32"/>
      <c r="E888" s="39"/>
      <c r="F888" s="34"/>
      <c r="G888" s="35">
        <f>Table1[[#This Row],[Selling Price]]-Table1[[#This Row],[Cost Price]]</f>
        <v>0</v>
      </c>
      <c r="H888" s="32"/>
      <c r="I888" s="36" t="s">
        <v>36</v>
      </c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x14ac:dyDescent="0.25">
      <c r="A889" s="31"/>
      <c r="B889" s="32"/>
      <c r="C889" s="32"/>
      <c r="D889" s="32"/>
      <c r="E889" s="39"/>
      <c r="F889" s="34"/>
      <c r="G889" s="35">
        <f>Table1[[#This Row],[Selling Price]]-Table1[[#This Row],[Cost Price]]</f>
        <v>0</v>
      </c>
      <c r="H889" s="32"/>
      <c r="I889" s="36" t="s">
        <v>36</v>
      </c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x14ac:dyDescent="0.25">
      <c r="A890" s="31"/>
      <c r="B890" s="32"/>
      <c r="C890" s="32"/>
      <c r="D890" s="32"/>
      <c r="E890" s="39"/>
      <c r="F890" s="34"/>
      <c r="G890" s="35">
        <f>Table1[[#This Row],[Selling Price]]-Table1[[#This Row],[Cost Price]]</f>
        <v>0</v>
      </c>
      <c r="H890" s="32"/>
      <c r="I890" s="36" t="s">
        <v>36</v>
      </c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x14ac:dyDescent="0.25">
      <c r="A891" s="31"/>
      <c r="B891" s="32"/>
      <c r="C891" s="32"/>
      <c r="D891" s="32"/>
      <c r="E891" s="39"/>
      <c r="F891" s="34"/>
      <c r="G891" s="35">
        <f>Table1[[#This Row],[Selling Price]]-Table1[[#This Row],[Cost Price]]</f>
        <v>0</v>
      </c>
      <c r="H891" s="32"/>
      <c r="I891" s="36" t="s">
        <v>36</v>
      </c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x14ac:dyDescent="0.25">
      <c r="A892" s="31"/>
      <c r="B892" s="32"/>
      <c r="C892" s="32"/>
      <c r="D892" s="32"/>
      <c r="E892" s="39"/>
      <c r="F892" s="34"/>
      <c r="G892" s="35">
        <f>Table1[[#This Row],[Selling Price]]-Table1[[#This Row],[Cost Price]]</f>
        <v>0</v>
      </c>
      <c r="H892" s="32"/>
      <c r="I892" s="36" t="s">
        <v>36</v>
      </c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x14ac:dyDescent="0.25">
      <c r="A893" s="31"/>
      <c r="B893" s="32"/>
      <c r="C893" s="32"/>
      <c r="D893" s="32"/>
      <c r="E893" s="39"/>
      <c r="F893" s="34"/>
      <c r="G893" s="35">
        <f>Table1[[#This Row],[Selling Price]]-Table1[[#This Row],[Cost Price]]</f>
        <v>0</v>
      </c>
      <c r="H893" s="32"/>
      <c r="I893" s="36" t="s">
        <v>36</v>
      </c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x14ac:dyDescent="0.25">
      <c r="A894" s="31"/>
      <c r="B894" s="32"/>
      <c r="C894" s="32"/>
      <c r="D894" s="32"/>
      <c r="E894" s="39"/>
      <c r="F894" s="34"/>
      <c r="G894" s="35">
        <f>Table1[[#This Row],[Selling Price]]-Table1[[#This Row],[Cost Price]]</f>
        <v>0</v>
      </c>
      <c r="H894" s="32"/>
      <c r="I894" s="36" t="s">
        <v>36</v>
      </c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x14ac:dyDescent="0.25">
      <c r="A895" s="31"/>
      <c r="B895" s="32"/>
      <c r="C895" s="32"/>
      <c r="D895" s="32"/>
      <c r="E895" s="39"/>
      <c r="F895" s="34"/>
      <c r="G895" s="35">
        <f>Table1[[#This Row],[Selling Price]]-Table1[[#This Row],[Cost Price]]</f>
        <v>0</v>
      </c>
      <c r="H895" s="32"/>
      <c r="I895" s="36" t="s">
        <v>36</v>
      </c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x14ac:dyDescent="0.25">
      <c r="A896" s="31"/>
      <c r="B896" s="32"/>
      <c r="C896" s="32"/>
      <c r="D896" s="32"/>
      <c r="E896" s="39"/>
      <c r="F896" s="34"/>
      <c r="G896" s="35">
        <f>Table1[[#This Row],[Selling Price]]-Table1[[#This Row],[Cost Price]]</f>
        <v>0</v>
      </c>
      <c r="H896" s="32"/>
      <c r="I896" s="36" t="s">
        <v>36</v>
      </c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x14ac:dyDescent="0.25">
      <c r="A897" s="31"/>
      <c r="B897" s="32"/>
      <c r="C897" s="32"/>
      <c r="D897" s="32"/>
      <c r="E897" s="39"/>
      <c r="F897" s="34"/>
      <c r="G897" s="35">
        <f>Table1[[#This Row],[Selling Price]]-Table1[[#This Row],[Cost Price]]</f>
        <v>0</v>
      </c>
      <c r="H897" s="32"/>
      <c r="I897" s="36" t="s">
        <v>36</v>
      </c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x14ac:dyDescent="0.25">
      <c r="A898" s="31"/>
      <c r="B898" s="32"/>
      <c r="C898" s="32"/>
      <c r="D898" s="32"/>
      <c r="E898" s="39"/>
      <c r="F898" s="34"/>
      <c r="G898" s="35">
        <f>Table1[[#This Row],[Selling Price]]-Table1[[#This Row],[Cost Price]]</f>
        <v>0</v>
      </c>
      <c r="H898" s="32"/>
      <c r="I898" s="36" t="s">
        <v>36</v>
      </c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x14ac:dyDescent="0.25">
      <c r="A899" s="31"/>
      <c r="B899" s="32"/>
      <c r="C899" s="32"/>
      <c r="D899" s="32"/>
      <c r="E899" s="39"/>
      <c r="F899" s="34"/>
      <c r="G899" s="35">
        <f>Table1[[#This Row],[Selling Price]]-Table1[[#This Row],[Cost Price]]</f>
        <v>0</v>
      </c>
      <c r="H899" s="32"/>
      <c r="I899" s="36" t="s">
        <v>36</v>
      </c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x14ac:dyDescent="0.25">
      <c r="A900" s="31"/>
      <c r="B900" s="32"/>
      <c r="C900" s="32"/>
      <c r="D900" s="32"/>
      <c r="E900" s="39"/>
      <c r="F900" s="34"/>
      <c r="G900" s="35">
        <f>Table1[[#This Row],[Selling Price]]-Table1[[#This Row],[Cost Price]]</f>
        <v>0</v>
      </c>
      <c r="H900" s="32"/>
      <c r="I900" s="36" t="s">
        <v>36</v>
      </c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x14ac:dyDescent="0.25">
      <c r="A901" s="31"/>
      <c r="B901" s="32"/>
      <c r="C901" s="32"/>
      <c r="D901" s="32"/>
      <c r="E901" s="39"/>
      <c r="F901" s="34"/>
      <c r="G901" s="35">
        <f>Table1[[#This Row],[Selling Price]]-Table1[[#This Row],[Cost Price]]</f>
        <v>0</v>
      </c>
      <c r="H901" s="32"/>
      <c r="I901" s="36" t="s">
        <v>36</v>
      </c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x14ac:dyDescent="0.25">
      <c r="A902" s="31"/>
      <c r="B902" s="32"/>
      <c r="C902" s="32"/>
      <c r="D902" s="32"/>
      <c r="E902" s="39"/>
      <c r="F902" s="34"/>
      <c r="G902" s="35">
        <f>Table1[[#This Row],[Selling Price]]-Table1[[#This Row],[Cost Price]]</f>
        <v>0</v>
      </c>
      <c r="H902" s="32"/>
      <c r="I902" s="36" t="s">
        <v>36</v>
      </c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x14ac:dyDescent="0.25">
      <c r="A903" s="31"/>
      <c r="B903" s="32"/>
      <c r="C903" s="32"/>
      <c r="D903" s="32"/>
      <c r="E903" s="39"/>
      <c r="F903" s="34"/>
      <c r="G903" s="35">
        <f>Table1[[#This Row],[Selling Price]]-Table1[[#This Row],[Cost Price]]</f>
        <v>0</v>
      </c>
      <c r="H903" s="32"/>
      <c r="I903" s="36" t="s">
        <v>36</v>
      </c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x14ac:dyDescent="0.25">
      <c r="A904" s="31"/>
      <c r="B904" s="32"/>
      <c r="C904" s="32"/>
      <c r="D904" s="32"/>
      <c r="E904" s="39"/>
      <c r="F904" s="34"/>
      <c r="G904" s="35">
        <f>Table1[[#This Row],[Selling Price]]-Table1[[#This Row],[Cost Price]]</f>
        <v>0</v>
      </c>
      <c r="H904" s="32"/>
      <c r="I904" s="36" t="s">
        <v>36</v>
      </c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x14ac:dyDescent="0.25">
      <c r="A905" s="31"/>
      <c r="B905" s="32"/>
      <c r="C905" s="32"/>
      <c r="D905" s="32"/>
      <c r="E905" s="39"/>
      <c r="F905" s="34"/>
      <c r="G905" s="35">
        <f>Table1[[#This Row],[Selling Price]]-Table1[[#This Row],[Cost Price]]</f>
        <v>0</v>
      </c>
      <c r="H905" s="32"/>
      <c r="I905" s="36" t="s">
        <v>36</v>
      </c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x14ac:dyDescent="0.25">
      <c r="A906" s="31"/>
      <c r="B906" s="32"/>
      <c r="C906" s="32"/>
      <c r="D906" s="32"/>
      <c r="E906" s="39"/>
      <c r="F906" s="34"/>
      <c r="G906" s="35">
        <f>Table1[[#This Row],[Selling Price]]-Table1[[#This Row],[Cost Price]]</f>
        <v>0</v>
      </c>
      <c r="H906" s="32"/>
      <c r="I906" s="36" t="s">
        <v>36</v>
      </c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x14ac:dyDescent="0.25">
      <c r="A907" s="31"/>
      <c r="B907" s="32"/>
      <c r="C907" s="32"/>
      <c r="D907" s="32"/>
      <c r="E907" s="39"/>
      <c r="F907" s="34"/>
      <c r="G907" s="35">
        <f>Table1[[#This Row],[Selling Price]]-Table1[[#This Row],[Cost Price]]</f>
        <v>0</v>
      </c>
      <c r="H907" s="32"/>
      <c r="I907" s="36" t="s">
        <v>36</v>
      </c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x14ac:dyDescent="0.25">
      <c r="A908" s="31"/>
      <c r="B908" s="32"/>
      <c r="C908" s="32"/>
      <c r="D908" s="32"/>
      <c r="E908" s="39"/>
      <c r="F908" s="34"/>
      <c r="G908" s="35">
        <f>Table1[[#This Row],[Selling Price]]-Table1[[#This Row],[Cost Price]]</f>
        <v>0</v>
      </c>
      <c r="H908" s="32"/>
      <c r="I908" s="36" t="s">
        <v>36</v>
      </c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x14ac:dyDescent="0.25">
      <c r="A909" s="31"/>
      <c r="B909" s="32"/>
      <c r="C909" s="32"/>
      <c r="D909" s="32"/>
      <c r="E909" s="39"/>
      <c r="F909" s="34"/>
      <c r="G909" s="35">
        <f>Table1[[#This Row],[Selling Price]]-Table1[[#This Row],[Cost Price]]</f>
        <v>0</v>
      </c>
      <c r="H909" s="32"/>
      <c r="I909" s="36" t="s">
        <v>36</v>
      </c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x14ac:dyDescent="0.25">
      <c r="A910" s="31"/>
      <c r="B910" s="32"/>
      <c r="C910" s="32"/>
      <c r="D910" s="32"/>
      <c r="E910" s="39"/>
      <c r="F910" s="34"/>
      <c r="G910" s="35">
        <f>Table1[[#This Row],[Selling Price]]-Table1[[#This Row],[Cost Price]]</f>
        <v>0</v>
      </c>
      <c r="H910" s="32"/>
      <c r="I910" s="36" t="s">
        <v>36</v>
      </c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x14ac:dyDescent="0.25">
      <c r="A911" s="31"/>
      <c r="B911" s="32"/>
      <c r="C911" s="32"/>
      <c r="D911" s="32"/>
      <c r="E911" s="39"/>
      <c r="F911" s="34"/>
      <c r="G911" s="35">
        <f>Table1[[#This Row],[Selling Price]]-Table1[[#This Row],[Cost Price]]</f>
        <v>0</v>
      </c>
      <c r="H911" s="32"/>
      <c r="I911" s="36" t="s">
        <v>36</v>
      </c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x14ac:dyDescent="0.25">
      <c r="A912" s="31"/>
      <c r="B912" s="32"/>
      <c r="C912" s="32"/>
      <c r="D912" s="32"/>
      <c r="E912" s="39"/>
      <c r="F912" s="34"/>
      <c r="G912" s="35">
        <f>Table1[[#This Row],[Selling Price]]-Table1[[#This Row],[Cost Price]]</f>
        <v>0</v>
      </c>
      <c r="H912" s="32"/>
      <c r="I912" s="36" t="s">
        <v>36</v>
      </c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x14ac:dyDescent="0.25">
      <c r="A913" s="31"/>
      <c r="B913" s="32"/>
      <c r="C913" s="32"/>
      <c r="D913" s="32"/>
      <c r="E913" s="39"/>
      <c r="F913" s="34"/>
      <c r="G913" s="35">
        <f>Table1[[#This Row],[Selling Price]]-Table1[[#This Row],[Cost Price]]</f>
        <v>0</v>
      </c>
      <c r="H913" s="32"/>
      <c r="I913" s="36" t="s">
        <v>36</v>
      </c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x14ac:dyDescent="0.25">
      <c r="A914" s="31"/>
      <c r="B914" s="32"/>
      <c r="C914" s="32"/>
      <c r="D914" s="32"/>
      <c r="E914" s="39"/>
      <c r="F914" s="34"/>
      <c r="G914" s="35">
        <f>Table1[[#This Row],[Selling Price]]-Table1[[#This Row],[Cost Price]]</f>
        <v>0</v>
      </c>
      <c r="H914" s="32"/>
      <c r="I914" s="36" t="s">
        <v>36</v>
      </c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x14ac:dyDescent="0.25">
      <c r="A915" s="31"/>
      <c r="B915" s="32"/>
      <c r="C915" s="32"/>
      <c r="D915" s="32"/>
      <c r="E915" s="39"/>
      <c r="F915" s="34"/>
      <c r="G915" s="35">
        <f>Table1[[#This Row],[Selling Price]]-Table1[[#This Row],[Cost Price]]</f>
        <v>0</v>
      </c>
      <c r="H915" s="32"/>
      <c r="I915" s="36" t="s">
        <v>36</v>
      </c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x14ac:dyDescent="0.25">
      <c r="A916" s="31"/>
      <c r="B916" s="32"/>
      <c r="C916" s="32"/>
      <c r="D916" s="32"/>
      <c r="E916" s="39"/>
      <c r="F916" s="34"/>
      <c r="G916" s="35">
        <f>Table1[[#This Row],[Selling Price]]-Table1[[#This Row],[Cost Price]]</f>
        <v>0</v>
      </c>
      <c r="H916" s="32"/>
      <c r="I916" s="36" t="s">
        <v>36</v>
      </c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x14ac:dyDescent="0.25">
      <c r="A917" s="31"/>
      <c r="B917" s="32"/>
      <c r="C917" s="32"/>
      <c r="D917" s="32"/>
      <c r="E917" s="39"/>
      <c r="F917" s="34"/>
      <c r="G917" s="35">
        <f>Table1[[#This Row],[Selling Price]]-Table1[[#This Row],[Cost Price]]</f>
        <v>0</v>
      </c>
      <c r="H917" s="32"/>
      <c r="I917" s="36" t="s">
        <v>36</v>
      </c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x14ac:dyDescent="0.25">
      <c r="A918" s="31"/>
      <c r="B918" s="32"/>
      <c r="C918" s="32"/>
      <c r="D918" s="32"/>
      <c r="E918" s="39"/>
      <c r="F918" s="34"/>
      <c r="G918" s="35">
        <f>Table1[[#This Row],[Selling Price]]-Table1[[#This Row],[Cost Price]]</f>
        <v>0</v>
      </c>
      <c r="H918" s="32"/>
      <c r="I918" s="36" t="s">
        <v>36</v>
      </c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x14ac:dyDescent="0.25">
      <c r="A919" s="31"/>
      <c r="B919" s="32"/>
      <c r="C919" s="32"/>
      <c r="D919" s="32"/>
      <c r="E919" s="39"/>
      <c r="F919" s="34"/>
      <c r="G919" s="35">
        <f>Table1[[#This Row],[Selling Price]]-Table1[[#This Row],[Cost Price]]</f>
        <v>0</v>
      </c>
      <c r="H919" s="32"/>
      <c r="I919" s="36" t="s">
        <v>36</v>
      </c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x14ac:dyDescent="0.25">
      <c r="A920" s="31"/>
      <c r="B920" s="32"/>
      <c r="C920" s="32"/>
      <c r="D920" s="32"/>
      <c r="E920" s="39"/>
      <c r="F920" s="34"/>
      <c r="G920" s="35">
        <f>Table1[[#This Row],[Selling Price]]-Table1[[#This Row],[Cost Price]]</f>
        <v>0</v>
      </c>
      <c r="H920" s="32"/>
      <c r="I920" s="36" t="s">
        <v>36</v>
      </c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x14ac:dyDescent="0.25">
      <c r="A921" s="31"/>
      <c r="B921" s="32"/>
      <c r="C921" s="32"/>
      <c r="D921" s="32"/>
      <c r="E921" s="39"/>
      <c r="F921" s="34"/>
      <c r="G921" s="35">
        <f>Table1[[#This Row],[Selling Price]]-Table1[[#This Row],[Cost Price]]</f>
        <v>0</v>
      </c>
      <c r="H921" s="32"/>
      <c r="I921" s="36" t="s">
        <v>36</v>
      </c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x14ac:dyDescent="0.25">
      <c r="A922" s="31"/>
      <c r="B922" s="32"/>
      <c r="C922" s="32"/>
      <c r="D922" s="32"/>
      <c r="E922" s="39"/>
      <c r="F922" s="34"/>
      <c r="G922" s="35">
        <f>Table1[[#This Row],[Selling Price]]-Table1[[#This Row],[Cost Price]]</f>
        <v>0</v>
      </c>
      <c r="H922" s="32"/>
      <c r="I922" s="36" t="s">
        <v>36</v>
      </c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x14ac:dyDescent="0.25">
      <c r="A923" s="31"/>
      <c r="B923" s="32"/>
      <c r="C923" s="32"/>
      <c r="D923" s="32"/>
      <c r="E923" s="39"/>
      <c r="F923" s="34"/>
      <c r="G923" s="35">
        <f>Table1[[#This Row],[Selling Price]]-Table1[[#This Row],[Cost Price]]</f>
        <v>0</v>
      </c>
      <c r="H923" s="32"/>
      <c r="I923" s="36" t="s">
        <v>36</v>
      </c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x14ac:dyDescent="0.25">
      <c r="A924" s="31"/>
      <c r="B924" s="32"/>
      <c r="C924" s="32"/>
      <c r="D924" s="32"/>
      <c r="E924" s="39"/>
      <c r="F924" s="34"/>
      <c r="G924" s="35">
        <f>Table1[[#This Row],[Selling Price]]-Table1[[#This Row],[Cost Price]]</f>
        <v>0</v>
      </c>
      <c r="H924" s="32"/>
      <c r="I924" s="36" t="s">
        <v>36</v>
      </c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x14ac:dyDescent="0.25">
      <c r="A925" s="31"/>
      <c r="B925" s="32"/>
      <c r="C925" s="32"/>
      <c r="D925" s="32"/>
      <c r="E925" s="39"/>
      <c r="F925" s="34"/>
      <c r="G925" s="35">
        <f>Table1[[#This Row],[Selling Price]]-Table1[[#This Row],[Cost Price]]</f>
        <v>0</v>
      </c>
      <c r="H925" s="32"/>
      <c r="I925" s="36" t="s">
        <v>36</v>
      </c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x14ac:dyDescent="0.25">
      <c r="A926" s="31"/>
      <c r="B926" s="32"/>
      <c r="C926" s="32"/>
      <c r="D926" s="32"/>
      <c r="E926" s="39"/>
      <c r="F926" s="34"/>
      <c r="G926" s="35">
        <f>Table1[[#This Row],[Selling Price]]-Table1[[#This Row],[Cost Price]]</f>
        <v>0</v>
      </c>
      <c r="H926" s="32"/>
      <c r="I926" s="36" t="s">
        <v>36</v>
      </c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x14ac:dyDescent="0.25">
      <c r="A927" s="31"/>
      <c r="B927" s="32"/>
      <c r="C927" s="32"/>
      <c r="D927" s="32"/>
      <c r="E927" s="39"/>
      <c r="F927" s="34"/>
      <c r="G927" s="35">
        <f>Table1[[#This Row],[Selling Price]]-Table1[[#This Row],[Cost Price]]</f>
        <v>0</v>
      </c>
      <c r="H927" s="32"/>
      <c r="I927" s="36" t="s">
        <v>36</v>
      </c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x14ac:dyDescent="0.25">
      <c r="A928" s="31"/>
      <c r="B928" s="32"/>
      <c r="C928" s="32"/>
      <c r="D928" s="32"/>
      <c r="E928" s="39"/>
      <c r="F928" s="34"/>
      <c r="G928" s="35">
        <f>Table1[[#This Row],[Selling Price]]-Table1[[#This Row],[Cost Price]]</f>
        <v>0</v>
      </c>
      <c r="H928" s="32"/>
      <c r="I928" s="36" t="s">
        <v>36</v>
      </c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x14ac:dyDescent="0.25">
      <c r="A929" s="31"/>
      <c r="B929" s="32"/>
      <c r="C929" s="32"/>
      <c r="D929" s="32"/>
      <c r="E929" s="39"/>
      <c r="F929" s="34"/>
      <c r="G929" s="35">
        <f>Table1[[#This Row],[Selling Price]]-Table1[[#This Row],[Cost Price]]</f>
        <v>0</v>
      </c>
      <c r="H929" s="32"/>
      <c r="I929" s="36" t="s">
        <v>36</v>
      </c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x14ac:dyDescent="0.25">
      <c r="A930" s="31"/>
      <c r="B930" s="32"/>
      <c r="C930" s="32"/>
      <c r="D930" s="32"/>
      <c r="E930" s="39"/>
      <c r="F930" s="34"/>
      <c r="G930" s="35">
        <f>Table1[[#This Row],[Selling Price]]-Table1[[#This Row],[Cost Price]]</f>
        <v>0</v>
      </c>
      <c r="H930" s="32"/>
      <c r="I930" s="36" t="s">
        <v>36</v>
      </c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x14ac:dyDescent="0.25">
      <c r="A931" s="31"/>
      <c r="B931" s="32"/>
      <c r="C931" s="32"/>
      <c r="D931" s="32"/>
      <c r="E931" s="39"/>
      <c r="F931" s="34"/>
      <c r="G931" s="35">
        <f>Table1[[#This Row],[Selling Price]]-Table1[[#This Row],[Cost Price]]</f>
        <v>0</v>
      </c>
      <c r="H931" s="32"/>
      <c r="I931" s="36" t="s">
        <v>36</v>
      </c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x14ac:dyDescent="0.25">
      <c r="A932" s="31"/>
      <c r="B932" s="32"/>
      <c r="C932" s="32"/>
      <c r="D932" s="32"/>
      <c r="E932" s="39"/>
      <c r="F932" s="34"/>
      <c r="G932" s="35">
        <f>Table1[[#This Row],[Selling Price]]-Table1[[#This Row],[Cost Price]]</f>
        <v>0</v>
      </c>
      <c r="H932" s="32"/>
      <c r="I932" s="36" t="s">
        <v>36</v>
      </c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x14ac:dyDescent="0.25">
      <c r="A933" s="31"/>
      <c r="B933" s="32"/>
      <c r="C933" s="32"/>
      <c r="D933" s="32"/>
      <c r="E933" s="39"/>
      <c r="F933" s="34"/>
      <c r="G933" s="35">
        <f>Table1[[#This Row],[Selling Price]]-Table1[[#This Row],[Cost Price]]</f>
        <v>0</v>
      </c>
      <c r="H933" s="32"/>
      <c r="I933" s="36" t="s">
        <v>36</v>
      </c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x14ac:dyDescent="0.25">
      <c r="A934" s="31"/>
      <c r="B934" s="32"/>
      <c r="C934" s="32"/>
      <c r="D934" s="32"/>
      <c r="E934" s="39"/>
      <c r="F934" s="34"/>
      <c r="G934" s="35">
        <f>Table1[[#This Row],[Selling Price]]-Table1[[#This Row],[Cost Price]]</f>
        <v>0</v>
      </c>
      <c r="H934" s="32"/>
      <c r="I934" s="36" t="s">
        <v>36</v>
      </c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x14ac:dyDescent="0.25">
      <c r="A935" s="31"/>
      <c r="B935" s="32"/>
      <c r="C935" s="32"/>
      <c r="D935" s="32"/>
      <c r="E935" s="39"/>
      <c r="F935" s="34"/>
      <c r="G935" s="35">
        <f>Table1[[#This Row],[Selling Price]]-Table1[[#This Row],[Cost Price]]</f>
        <v>0</v>
      </c>
      <c r="H935" s="32"/>
      <c r="I935" s="36" t="s">
        <v>36</v>
      </c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x14ac:dyDescent="0.25">
      <c r="A936" s="31"/>
      <c r="B936" s="32"/>
      <c r="C936" s="32"/>
      <c r="D936" s="32"/>
      <c r="E936" s="39"/>
      <c r="F936" s="34"/>
      <c r="G936" s="35">
        <f>Table1[[#This Row],[Selling Price]]-Table1[[#This Row],[Cost Price]]</f>
        <v>0</v>
      </c>
      <c r="H936" s="32"/>
      <c r="I936" s="36" t="s">
        <v>36</v>
      </c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x14ac:dyDescent="0.25">
      <c r="A937" s="31"/>
      <c r="B937" s="32"/>
      <c r="C937" s="32"/>
      <c r="D937" s="32"/>
      <c r="E937" s="39"/>
      <c r="F937" s="34"/>
      <c r="G937" s="35">
        <f>Table1[[#This Row],[Selling Price]]-Table1[[#This Row],[Cost Price]]</f>
        <v>0</v>
      </c>
      <c r="H937" s="32"/>
      <c r="I937" s="36" t="s">
        <v>36</v>
      </c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x14ac:dyDescent="0.25">
      <c r="A938" s="31"/>
      <c r="B938" s="32"/>
      <c r="C938" s="32"/>
      <c r="D938" s="32"/>
      <c r="E938" s="39"/>
      <c r="F938" s="34"/>
      <c r="G938" s="35">
        <f>Table1[[#This Row],[Selling Price]]-Table1[[#This Row],[Cost Price]]</f>
        <v>0</v>
      </c>
      <c r="H938" s="32"/>
      <c r="I938" s="36" t="s">
        <v>36</v>
      </c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x14ac:dyDescent="0.25">
      <c r="A939" s="31"/>
      <c r="B939" s="32"/>
      <c r="C939" s="32"/>
      <c r="D939" s="32"/>
      <c r="E939" s="39"/>
      <c r="F939" s="34"/>
      <c r="G939" s="35">
        <f>Table1[[#This Row],[Selling Price]]-Table1[[#This Row],[Cost Price]]</f>
        <v>0</v>
      </c>
      <c r="H939" s="32"/>
      <c r="I939" s="36" t="s">
        <v>36</v>
      </c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x14ac:dyDescent="0.25">
      <c r="A940" s="31"/>
      <c r="B940" s="32"/>
      <c r="C940" s="32"/>
      <c r="D940" s="32"/>
      <c r="E940" s="39"/>
      <c r="F940" s="34"/>
      <c r="G940" s="35">
        <f>Table1[[#This Row],[Selling Price]]-Table1[[#This Row],[Cost Price]]</f>
        <v>0</v>
      </c>
      <c r="H940" s="32"/>
      <c r="I940" s="36" t="s">
        <v>36</v>
      </c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x14ac:dyDescent="0.25">
      <c r="A941" s="31"/>
      <c r="B941" s="32"/>
      <c r="C941" s="32"/>
      <c r="D941" s="32"/>
      <c r="E941" s="39"/>
      <c r="F941" s="34"/>
      <c r="G941" s="35">
        <f>Table1[[#This Row],[Selling Price]]-Table1[[#This Row],[Cost Price]]</f>
        <v>0</v>
      </c>
      <c r="H941" s="32"/>
      <c r="I941" s="36" t="s">
        <v>36</v>
      </c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x14ac:dyDescent="0.25">
      <c r="A942" s="31"/>
      <c r="B942" s="32"/>
      <c r="C942" s="32"/>
      <c r="D942" s="32"/>
      <c r="E942" s="39"/>
      <c r="F942" s="34"/>
      <c r="G942" s="35">
        <f>Table1[[#This Row],[Selling Price]]-Table1[[#This Row],[Cost Price]]</f>
        <v>0</v>
      </c>
      <c r="H942" s="32"/>
      <c r="I942" s="36" t="s">
        <v>36</v>
      </c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x14ac:dyDescent="0.25">
      <c r="A943" s="31"/>
      <c r="B943" s="32"/>
      <c r="C943" s="32"/>
      <c r="D943" s="32"/>
      <c r="E943" s="39"/>
      <c r="F943" s="34"/>
      <c r="G943" s="35">
        <f>Table1[[#This Row],[Selling Price]]-Table1[[#This Row],[Cost Price]]</f>
        <v>0</v>
      </c>
      <c r="H943" s="32"/>
      <c r="I943" s="36" t="s">
        <v>36</v>
      </c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x14ac:dyDescent="0.25">
      <c r="A944" s="31"/>
      <c r="B944" s="32"/>
      <c r="C944" s="32"/>
      <c r="D944" s="32"/>
      <c r="E944" s="39"/>
      <c r="F944" s="34"/>
      <c r="G944" s="35">
        <f>Table1[[#This Row],[Selling Price]]-Table1[[#This Row],[Cost Price]]</f>
        <v>0</v>
      </c>
      <c r="H944" s="32"/>
      <c r="I944" s="36" t="s">
        <v>36</v>
      </c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x14ac:dyDescent="0.25">
      <c r="A945" s="31"/>
      <c r="B945" s="32"/>
      <c r="C945" s="32"/>
      <c r="D945" s="32"/>
      <c r="E945" s="39"/>
      <c r="F945" s="34"/>
      <c r="G945" s="35">
        <f>Table1[[#This Row],[Selling Price]]-Table1[[#This Row],[Cost Price]]</f>
        <v>0</v>
      </c>
      <c r="H945" s="32"/>
      <c r="I945" s="36" t="s">
        <v>36</v>
      </c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x14ac:dyDescent="0.25">
      <c r="A946" s="31"/>
      <c r="B946" s="32"/>
      <c r="C946" s="32"/>
      <c r="D946" s="32"/>
      <c r="E946" s="39"/>
      <c r="F946" s="34"/>
      <c r="G946" s="35">
        <f>Table1[[#This Row],[Selling Price]]-Table1[[#This Row],[Cost Price]]</f>
        <v>0</v>
      </c>
      <c r="H946" s="32"/>
      <c r="I946" s="36" t="s">
        <v>36</v>
      </c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x14ac:dyDescent="0.25">
      <c r="A947" s="31"/>
      <c r="B947" s="32"/>
      <c r="C947" s="32"/>
      <c r="D947" s="32"/>
      <c r="E947" s="39"/>
      <c r="F947" s="34"/>
      <c r="G947" s="35">
        <f>Table1[[#This Row],[Selling Price]]-Table1[[#This Row],[Cost Price]]</f>
        <v>0</v>
      </c>
      <c r="H947" s="32"/>
      <c r="I947" s="36" t="s">
        <v>36</v>
      </c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x14ac:dyDescent="0.25">
      <c r="A948" s="31"/>
      <c r="B948" s="32"/>
      <c r="C948" s="32"/>
      <c r="D948" s="32"/>
      <c r="E948" s="39"/>
      <c r="F948" s="34"/>
      <c r="G948" s="35">
        <f>Table1[[#This Row],[Selling Price]]-Table1[[#This Row],[Cost Price]]</f>
        <v>0</v>
      </c>
      <c r="H948" s="32"/>
      <c r="I948" s="36" t="s">
        <v>36</v>
      </c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x14ac:dyDescent="0.25">
      <c r="A949" s="31"/>
      <c r="B949" s="32"/>
      <c r="C949" s="32"/>
      <c r="D949" s="32"/>
      <c r="E949" s="39"/>
      <c r="F949" s="34"/>
      <c r="G949" s="35">
        <f>Table1[[#This Row],[Selling Price]]-Table1[[#This Row],[Cost Price]]</f>
        <v>0</v>
      </c>
      <c r="H949" s="32"/>
      <c r="I949" s="36" t="s">
        <v>36</v>
      </c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x14ac:dyDescent="0.25">
      <c r="A950" s="31"/>
      <c r="B950" s="32"/>
      <c r="C950" s="32"/>
      <c r="D950" s="32"/>
      <c r="E950" s="39"/>
      <c r="F950" s="34"/>
      <c r="G950" s="35">
        <f>Table1[[#This Row],[Selling Price]]-Table1[[#This Row],[Cost Price]]</f>
        <v>0</v>
      </c>
      <c r="H950" s="32"/>
      <c r="I950" s="36" t="s">
        <v>36</v>
      </c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x14ac:dyDescent="0.25">
      <c r="A951" s="31"/>
      <c r="B951" s="32"/>
      <c r="C951" s="32"/>
      <c r="D951" s="32"/>
      <c r="E951" s="39"/>
      <c r="F951" s="34"/>
      <c r="G951" s="35">
        <f>Table1[[#This Row],[Selling Price]]-Table1[[#This Row],[Cost Price]]</f>
        <v>0</v>
      </c>
      <c r="H951" s="32"/>
      <c r="I951" s="36" t="s">
        <v>36</v>
      </c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x14ac:dyDescent="0.25">
      <c r="A952" s="31"/>
      <c r="B952" s="32"/>
      <c r="C952" s="32"/>
      <c r="D952" s="32"/>
      <c r="E952" s="39"/>
      <c r="F952" s="34"/>
      <c r="G952" s="35">
        <f>Table1[[#This Row],[Selling Price]]-Table1[[#This Row],[Cost Price]]</f>
        <v>0</v>
      </c>
      <c r="H952" s="32"/>
      <c r="I952" s="36" t="s">
        <v>36</v>
      </c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x14ac:dyDescent="0.25">
      <c r="A953" s="31"/>
      <c r="B953" s="32"/>
      <c r="C953" s="32"/>
      <c r="D953" s="32"/>
      <c r="E953" s="39"/>
      <c r="F953" s="34"/>
      <c r="G953" s="35">
        <f>Table1[[#This Row],[Selling Price]]-Table1[[#This Row],[Cost Price]]</f>
        <v>0</v>
      </c>
      <c r="H953" s="32"/>
      <c r="I953" s="36" t="s">
        <v>36</v>
      </c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x14ac:dyDescent="0.25">
      <c r="A954" s="31"/>
      <c r="B954" s="32"/>
      <c r="C954" s="32"/>
      <c r="D954" s="32"/>
      <c r="E954" s="39"/>
      <c r="F954" s="34"/>
      <c r="G954" s="35">
        <f>Table1[[#This Row],[Selling Price]]-Table1[[#This Row],[Cost Price]]</f>
        <v>0</v>
      </c>
      <c r="H954" s="32"/>
      <c r="I954" s="36" t="s">
        <v>36</v>
      </c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x14ac:dyDescent="0.25">
      <c r="A955" s="31"/>
      <c r="B955" s="32"/>
      <c r="C955" s="32"/>
      <c r="D955" s="32"/>
      <c r="E955" s="39"/>
      <c r="F955" s="34"/>
      <c r="G955" s="35">
        <f>Table1[[#This Row],[Selling Price]]-Table1[[#This Row],[Cost Price]]</f>
        <v>0</v>
      </c>
      <c r="H955" s="32"/>
      <c r="I955" s="36" t="s">
        <v>36</v>
      </c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x14ac:dyDescent="0.25">
      <c r="A956" s="31"/>
      <c r="B956" s="32"/>
      <c r="C956" s="32"/>
      <c r="D956" s="32"/>
      <c r="E956" s="39"/>
      <c r="F956" s="34"/>
      <c r="G956" s="35">
        <f>Table1[[#This Row],[Selling Price]]-Table1[[#This Row],[Cost Price]]</f>
        <v>0</v>
      </c>
      <c r="H956" s="32"/>
      <c r="I956" s="36" t="s">
        <v>36</v>
      </c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x14ac:dyDescent="0.25">
      <c r="A957" s="31"/>
      <c r="B957" s="32"/>
      <c r="C957" s="32"/>
      <c r="D957" s="32"/>
      <c r="E957" s="39"/>
      <c r="F957" s="34"/>
      <c r="G957" s="35">
        <f>Table1[[#This Row],[Selling Price]]-Table1[[#This Row],[Cost Price]]</f>
        <v>0</v>
      </c>
      <c r="H957" s="32"/>
      <c r="I957" s="36" t="s">
        <v>36</v>
      </c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x14ac:dyDescent="0.25">
      <c r="A958" s="31"/>
      <c r="B958" s="32"/>
      <c r="C958" s="32"/>
      <c r="D958" s="32"/>
      <c r="E958" s="39"/>
      <c r="F958" s="34"/>
      <c r="G958" s="35">
        <f>Table1[[#This Row],[Selling Price]]-Table1[[#This Row],[Cost Price]]</f>
        <v>0</v>
      </c>
      <c r="H958" s="32"/>
      <c r="I958" s="36" t="s">
        <v>36</v>
      </c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x14ac:dyDescent="0.25">
      <c r="A959" s="31"/>
      <c r="B959" s="32"/>
      <c r="C959" s="32"/>
      <c r="D959" s="32"/>
      <c r="E959" s="39"/>
      <c r="F959" s="34"/>
      <c r="G959" s="35">
        <f>Table1[[#This Row],[Selling Price]]-Table1[[#This Row],[Cost Price]]</f>
        <v>0</v>
      </c>
      <c r="H959" s="32"/>
      <c r="I959" s="36" t="s">
        <v>36</v>
      </c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x14ac:dyDescent="0.25">
      <c r="A960" s="31"/>
      <c r="B960" s="32"/>
      <c r="C960" s="32"/>
      <c r="D960" s="32"/>
      <c r="E960" s="39"/>
      <c r="F960" s="34"/>
      <c r="G960" s="35">
        <f>Table1[[#This Row],[Selling Price]]-Table1[[#This Row],[Cost Price]]</f>
        <v>0</v>
      </c>
      <c r="H960" s="32"/>
      <c r="I960" s="36" t="s">
        <v>36</v>
      </c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x14ac:dyDescent="0.25">
      <c r="A961" s="31"/>
      <c r="B961" s="32"/>
      <c r="C961" s="32"/>
      <c r="D961" s="32"/>
      <c r="E961" s="39"/>
      <c r="F961" s="34"/>
      <c r="G961" s="35">
        <f>Table1[[#This Row],[Selling Price]]-Table1[[#This Row],[Cost Price]]</f>
        <v>0</v>
      </c>
      <c r="H961" s="32"/>
      <c r="I961" s="36" t="s">
        <v>36</v>
      </c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x14ac:dyDescent="0.25">
      <c r="A962" s="31"/>
      <c r="B962" s="32"/>
      <c r="C962" s="32"/>
      <c r="D962" s="32"/>
      <c r="E962" s="39"/>
      <c r="F962" s="34"/>
      <c r="G962" s="35">
        <f>Table1[[#This Row],[Selling Price]]-Table1[[#This Row],[Cost Price]]</f>
        <v>0</v>
      </c>
      <c r="H962" s="32"/>
      <c r="I962" s="36" t="s">
        <v>36</v>
      </c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x14ac:dyDescent="0.25">
      <c r="A963" s="31"/>
      <c r="B963" s="32"/>
      <c r="C963" s="32"/>
      <c r="D963" s="32"/>
      <c r="E963" s="39"/>
      <c r="F963" s="34"/>
      <c r="G963" s="35">
        <f>Table1[[#This Row],[Selling Price]]-Table1[[#This Row],[Cost Price]]</f>
        <v>0</v>
      </c>
      <c r="H963" s="32"/>
      <c r="I963" s="36" t="s">
        <v>36</v>
      </c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x14ac:dyDescent="0.25">
      <c r="A964" s="31"/>
      <c r="B964" s="32"/>
      <c r="C964" s="32"/>
      <c r="D964" s="32"/>
      <c r="E964" s="39"/>
      <c r="F964" s="34"/>
      <c r="G964" s="35">
        <f>Table1[[#This Row],[Selling Price]]-Table1[[#This Row],[Cost Price]]</f>
        <v>0</v>
      </c>
      <c r="H964" s="32"/>
      <c r="I964" s="36" t="s">
        <v>36</v>
      </c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x14ac:dyDescent="0.25">
      <c r="A965" s="31"/>
      <c r="B965" s="32"/>
      <c r="C965" s="32"/>
      <c r="D965" s="32"/>
      <c r="E965" s="39"/>
      <c r="F965" s="34"/>
      <c r="G965" s="35">
        <f>Table1[[#This Row],[Selling Price]]-Table1[[#This Row],[Cost Price]]</f>
        <v>0</v>
      </c>
      <c r="H965" s="32"/>
      <c r="I965" s="36" t="s">
        <v>36</v>
      </c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x14ac:dyDescent="0.25">
      <c r="A966" s="31"/>
      <c r="B966" s="32"/>
      <c r="C966" s="32"/>
      <c r="D966" s="32"/>
      <c r="E966" s="39"/>
      <c r="F966" s="34"/>
      <c r="G966" s="35">
        <f>Table1[[#This Row],[Selling Price]]-Table1[[#This Row],[Cost Price]]</f>
        <v>0</v>
      </c>
      <c r="H966" s="32"/>
      <c r="I966" s="36" t="s">
        <v>36</v>
      </c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x14ac:dyDescent="0.25">
      <c r="A967" s="31"/>
      <c r="B967" s="32"/>
      <c r="C967" s="32"/>
      <c r="D967" s="32"/>
      <c r="E967" s="39"/>
      <c r="F967" s="34"/>
      <c r="G967" s="35">
        <f>Table1[[#This Row],[Selling Price]]-Table1[[#This Row],[Cost Price]]</f>
        <v>0</v>
      </c>
      <c r="H967" s="32"/>
      <c r="I967" s="36" t="s">
        <v>36</v>
      </c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x14ac:dyDescent="0.25">
      <c r="A968" s="31"/>
      <c r="B968" s="32"/>
      <c r="C968" s="32"/>
      <c r="D968" s="32"/>
      <c r="E968" s="39"/>
      <c r="F968" s="34"/>
      <c r="G968" s="35">
        <f>Table1[[#This Row],[Selling Price]]-Table1[[#This Row],[Cost Price]]</f>
        <v>0</v>
      </c>
      <c r="H968" s="32"/>
      <c r="I968" s="36" t="s">
        <v>36</v>
      </c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x14ac:dyDescent="0.25">
      <c r="A969" s="31"/>
      <c r="B969" s="32"/>
      <c r="C969" s="32"/>
      <c r="D969" s="32"/>
      <c r="E969" s="39"/>
      <c r="F969" s="34"/>
      <c r="G969" s="35">
        <f>Table1[[#This Row],[Selling Price]]-Table1[[#This Row],[Cost Price]]</f>
        <v>0</v>
      </c>
      <c r="H969" s="32"/>
      <c r="I969" s="36" t="s">
        <v>36</v>
      </c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x14ac:dyDescent="0.25">
      <c r="A970" s="31"/>
      <c r="B970" s="32"/>
      <c r="C970" s="32"/>
      <c r="D970" s="32"/>
      <c r="E970" s="39"/>
      <c r="F970" s="34"/>
      <c r="G970" s="35">
        <f>Table1[[#This Row],[Selling Price]]-Table1[[#This Row],[Cost Price]]</f>
        <v>0</v>
      </c>
      <c r="H970" s="32"/>
      <c r="I970" s="36" t="s">
        <v>36</v>
      </c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x14ac:dyDescent="0.25">
      <c r="A971" s="31"/>
      <c r="B971" s="32"/>
      <c r="C971" s="32"/>
      <c r="D971" s="32"/>
      <c r="E971" s="39"/>
      <c r="F971" s="34"/>
      <c r="G971" s="35">
        <f>Table1[[#This Row],[Selling Price]]-Table1[[#This Row],[Cost Price]]</f>
        <v>0</v>
      </c>
      <c r="H971" s="32"/>
      <c r="I971" s="36" t="s">
        <v>36</v>
      </c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x14ac:dyDescent="0.25">
      <c r="A972" s="31"/>
      <c r="B972" s="32"/>
      <c r="C972" s="32"/>
      <c r="D972" s="32"/>
      <c r="E972" s="39"/>
      <c r="F972" s="34"/>
      <c r="G972" s="35">
        <f>Table1[[#This Row],[Selling Price]]-Table1[[#This Row],[Cost Price]]</f>
        <v>0</v>
      </c>
      <c r="H972" s="32"/>
      <c r="I972" s="36" t="s">
        <v>36</v>
      </c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x14ac:dyDescent="0.25">
      <c r="A973" s="31"/>
      <c r="B973" s="32"/>
      <c r="C973" s="32"/>
      <c r="D973" s="32"/>
      <c r="E973" s="39"/>
      <c r="F973" s="34"/>
      <c r="G973" s="35">
        <f>Table1[[#This Row],[Selling Price]]-Table1[[#This Row],[Cost Price]]</f>
        <v>0</v>
      </c>
      <c r="H973" s="32"/>
      <c r="I973" s="36" t="s">
        <v>36</v>
      </c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x14ac:dyDescent="0.25">
      <c r="A974" s="31"/>
      <c r="B974" s="32"/>
      <c r="C974" s="32"/>
      <c r="D974" s="32"/>
      <c r="E974" s="39"/>
      <c r="F974" s="34"/>
      <c r="G974" s="35">
        <f>Table1[[#This Row],[Selling Price]]-Table1[[#This Row],[Cost Price]]</f>
        <v>0</v>
      </c>
      <c r="H974" s="32"/>
      <c r="I974" s="36" t="s">
        <v>36</v>
      </c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x14ac:dyDescent="0.25">
      <c r="A975" s="31"/>
      <c r="B975" s="32"/>
      <c r="C975" s="32"/>
      <c r="D975" s="32"/>
      <c r="E975" s="39"/>
      <c r="F975" s="34"/>
      <c r="G975" s="35">
        <f>Table1[[#This Row],[Selling Price]]-Table1[[#This Row],[Cost Price]]</f>
        <v>0</v>
      </c>
      <c r="H975" s="32"/>
      <c r="I975" s="36" t="s">
        <v>36</v>
      </c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x14ac:dyDescent="0.25">
      <c r="A976" s="31"/>
      <c r="B976" s="32"/>
      <c r="C976" s="32"/>
      <c r="D976" s="32"/>
      <c r="E976" s="39"/>
      <c r="F976" s="34"/>
      <c r="G976" s="35">
        <f>Table1[[#This Row],[Selling Price]]-Table1[[#This Row],[Cost Price]]</f>
        <v>0</v>
      </c>
      <c r="H976" s="32"/>
      <c r="I976" s="36" t="s">
        <v>36</v>
      </c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x14ac:dyDescent="0.25">
      <c r="A977" s="31"/>
      <c r="B977" s="32"/>
      <c r="C977" s="32"/>
      <c r="D977" s="32"/>
      <c r="E977" s="39"/>
      <c r="F977" s="34"/>
      <c r="G977" s="35">
        <f>Table1[[#This Row],[Selling Price]]-Table1[[#This Row],[Cost Price]]</f>
        <v>0</v>
      </c>
      <c r="H977" s="32"/>
      <c r="I977" s="36" t="s">
        <v>36</v>
      </c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x14ac:dyDescent="0.25">
      <c r="A978" s="31"/>
      <c r="B978" s="32"/>
      <c r="C978" s="32"/>
      <c r="D978" s="32"/>
      <c r="E978" s="39"/>
      <c r="F978" s="34"/>
      <c r="G978" s="35">
        <f>Table1[[#This Row],[Selling Price]]-Table1[[#This Row],[Cost Price]]</f>
        <v>0</v>
      </c>
      <c r="H978" s="32"/>
      <c r="I978" s="36" t="s">
        <v>36</v>
      </c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x14ac:dyDescent="0.25">
      <c r="A979" s="31"/>
      <c r="B979" s="32"/>
      <c r="C979" s="32"/>
      <c r="D979" s="32"/>
      <c r="E979" s="39"/>
      <c r="F979" s="34"/>
      <c r="G979" s="35">
        <f>Table1[[#This Row],[Selling Price]]-Table1[[#This Row],[Cost Price]]</f>
        <v>0</v>
      </c>
      <c r="H979" s="32"/>
      <c r="I979" s="36" t="s">
        <v>36</v>
      </c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x14ac:dyDescent="0.25">
      <c r="A980" s="31"/>
      <c r="B980" s="32"/>
      <c r="C980" s="32"/>
      <c r="D980" s="32"/>
      <c r="E980" s="39"/>
      <c r="F980" s="34"/>
      <c r="G980" s="35">
        <f>Table1[[#This Row],[Selling Price]]-Table1[[#This Row],[Cost Price]]</f>
        <v>0</v>
      </c>
      <c r="H980" s="32"/>
      <c r="I980" s="36" t="s">
        <v>36</v>
      </c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x14ac:dyDescent="0.25">
      <c r="A981" s="31"/>
      <c r="B981" s="32"/>
      <c r="C981" s="32"/>
      <c r="D981" s="32"/>
      <c r="E981" s="39"/>
      <c r="F981" s="34"/>
      <c r="G981" s="35">
        <f>Table1[[#This Row],[Selling Price]]-Table1[[#This Row],[Cost Price]]</f>
        <v>0</v>
      </c>
      <c r="H981" s="32"/>
      <c r="I981" s="36" t="s">
        <v>36</v>
      </c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x14ac:dyDescent="0.25">
      <c r="A982" s="31"/>
      <c r="B982" s="32"/>
      <c r="C982" s="32"/>
      <c r="D982" s="32"/>
      <c r="E982" s="39"/>
      <c r="F982" s="34"/>
      <c r="G982" s="35">
        <f>Table1[[#This Row],[Selling Price]]-Table1[[#This Row],[Cost Price]]</f>
        <v>0</v>
      </c>
      <c r="H982" s="32"/>
      <c r="I982" s="36" t="s">
        <v>36</v>
      </c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x14ac:dyDescent="0.25">
      <c r="A983" s="31"/>
      <c r="B983" s="32"/>
      <c r="C983" s="32"/>
      <c r="D983" s="32"/>
      <c r="E983" s="39"/>
      <c r="F983" s="34"/>
      <c r="G983" s="35">
        <f>Table1[[#This Row],[Selling Price]]-Table1[[#This Row],[Cost Price]]</f>
        <v>0</v>
      </c>
      <c r="H983" s="32"/>
      <c r="I983" s="36" t="s">
        <v>36</v>
      </c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x14ac:dyDescent="0.25">
      <c r="A984" s="31"/>
      <c r="B984" s="32"/>
      <c r="C984" s="32"/>
      <c r="D984" s="32"/>
      <c r="E984" s="39"/>
      <c r="F984" s="34"/>
      <c r="G984" s="35">
        <f>Table1[[#This Row],[Selling Price]]-Table1[[#This Row],[Cost Price]]</f>
        <v>0</v>
      </c>
      <c r="H984" s="32"/>
      <c r="I984" s="36" t="s">
        <v>36</v>
      </c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x14ac:dyDescent="0.25">
      <c r="A985" s="31"/>
      <c r="B985" s="32"/>
      <c r="C985" s="32"/>
      <c r="D985" s="32"/>
      <c r="E985" s="39"/>
      <c r="F985" s="34"/>
      <c r="G985" s="35">
        <f>Table1[[#This Row],[Selling Price]]-Table1[[#This Row],[Cost Price]]</f>
        <v>0</v>
      </c>
      <c r="H985" s="32"/>
      <c r="I985" s="36" t="s">
        <v>36</v>
      </c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x14ac:dyDescent="0.25">
      <c r="A986" s="31"/>
      <c r="B986" s="32"/>
      <c r="C986" s="32"/>
      <c r="D986" s="32"/>
      <c r="E986" s="39"/>
      <c r="F986" s="34"/>
      <c r="G986" s="35">
        <f>Table1[[#This Row],[Selling Price]]-Table1[[#This Row],[Cost Price]]</f>
        <v>0</v>
      </c>
      <c r="H986" s="32"/>
      <c r="I986" s="36" t="s">
        <v>36</v>
      </c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x14ac:dyDescent="0.25">
      <c r="A987" s="31"/>
      <c r="B987" s="32"/>
      <c r="C987" s="32"/>
      <c r="D987" s="32"/>
      <c r="E987" s="39"/>
      <c r="F987" s="34"/>
      <c r="G987" s="35">
        <f>Table1[[#This Row],[Selling Price]]-Table1[[#This Row],[Cost Price]]</f>
        <v>0</v>
      </c>
      <c r="H987" s="32"/>
      <c r="I987" s="36" t="s">
        <v>36</v>
      </c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x14ac:dyDescent="0.25">
      <c r="A988" s="31"/>
      <c r="B988" s="32"/>
      <c r="C988" s="32"/>
      <c r="D988" s="32"/>
      <c r="E988" s="39"/>
      <c r="F988" s="34"/>
      <c r="G988" s="35">
        <f>Table1[[#This Row],[Selling Price]]-Table1[[#This Row],[Cost Price]]</f>
        <v>0</v>
      </c>
      <c r="H988" s="32"/>
      <c r="I988" s="36" t="s">
        <v>36</v>
      </c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x14ac:dyDescent="0.25">
      <c r="A989" s="31"/>
      <c r="B989" s="32"/>
      <c r="C989" s="32"/>
      <c r="D989" s="32"/>
      <c r="E989" s="39"/>
      <c r="F989" s="34"/>
      <c r="G989" s="35">
        <f>Table1[[#This Row],[Selling Price]]-Table1[[#This Row],[Cost Price]]</f>
        <v>0</v>
      </c>
      <c r="H989" s="32"/>
      <c r="I989" s="36" t="s">
        <v>36</v>
      </c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x14ac:dyDescent="0.25">
      <c r="A990" s="31"/>
      <c r="B990" s="32"/>
      <c r="C990" s="32"/>
      <c r="D990" s="32"/>
      <c r="E990" s="39"/>
      <c r="F990" s="34"/>
      <c r="G990" s="35">
        <f>Table1[[#This Row],[Selling Price]]-Table1[[#This Row],[Cost Price]]</f>
        <v>0</v>
      </c>
      <c r="H990" s="32"/>
      <c r="I990" s="36" t="s">
        <v>36</v>
      </c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x14ac:dyDescent="0.25">
      <c r="A991" s="31"/>
      <c r="B991" s="32"/>
      <c r="C991" s="32"/>
      <c r="D991" s="32"/>
      <c r="E991" s="39"/>
      <c r="F991" s="34"/>
      <c r="G991" s="35">
        <f>Table1[[#This Row],[Selling Price]]-Table1[[#This Row],[Cost Price]]</f>
        <v>0</v>
      </c>
      <c r="H991" s="32"/>
      <c r="I991" s="36" t="s">
        <v>36</v>
      </c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x14ac:dyDescent="0.25">
      <c r="A992" s="31"/>
      <c r="B992" s="32"/>
      <c r="C992" s="32"/>
      <c r="D992" s="32"/>
      <c r="E992" s="39"/>
      <c r="F992" s="34"/>
      <c r="G992" s="35">
        <f>Table1[[#This Row],[Selling Price]]-Table1[[#This Row],[Cost Price]]</f>
        <v>0</v>
      </c>
      <c r="H992" s="32"/>
      <c r="I992" s="36" t="s">
        <v>36</v>
      </c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x14ac:dyDescent="0.25">
      <c r="A993" s="31"/>
      <c r="B993" s="32"/>
      <c r="C993" s="32"/>
      <c r="D993" s="32"/>
      <c r="E993" s="39"/>
      <c r="F993" s="34"/>
      <c r="G993" s="35">
        <f>Table1[[#This Row],[Selling Price]]-Table1[[#This Row],[Cost Price]]</f>
        <v>0</v>
      </c>
      <c r="H993" s="32"/>
      <c r="I993" s="36" t="s">
        <v>36</v>
      </c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x14ac:dyDescent="0.25">
      <c r="A994" s="31"/>
      <c r="B994" s="32"/>
      <c r="C994" s="32"/>
      <c r="D994" s="32"/>
      <c r="E994" s="39"/>
      <c r="F994" s="34"/>
      <c r="G994" s="35">
        <f>Table1[[#This Row],[Selling Price]]-Table1[[#This Row],[Cost Price]]</f>
        <v>0</v>
      </c>
      <c r="H994" s="32"/>
      <c r="I994" s="36" t="s">
        <v>36</v>
      </c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x14ac:dyDescent="0.25">
      <c r="A995" s="31"/>
      <c r="B995" s="32"/>
      <c r="C995" s="32"/>
      <c r="D995" s="32"/>
      <c r="E995" s="39"/>
      <c r="F995" s="34"/>
      <c r="G995" s="35">
        <f>Table1[[#This Row],[Selling Price]]-Table1[[#This Row],[Cost Price]]</f>
        <v>0</v>
      </c>
      <c r="H995" s="32"/>
      <c r="I995" s="36" t="s">
        <v>36</v>
      </c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x14ac:dyDescent="0.25">
      <c r="A996" s="31"/>
      <c r="B996" s="32"/>
      <c r="C996" s="32"/>
      <c r="D996" s="32"/>
      <c r="E996" s="39"/>
      <c r="F996" s="34"/>
      <c r="G996" s="35">
        <f>Table1[[#This Row],[Selling Price]]-Table1[[#This Row],[Cost Price]]</f>
        <v>0</v>
      </c>
      <c r="H996" s="32"/>
      <c r="I996" s="36" t="s">
        <v>36</v>
      </c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x14ac:dyDescent="0.25">
      <c r="A997" s="31"/>
      <c r="B997" s="32"/>
      <c r="C997" s="32"/>
      <c r="D997" s="32"/>
      <c r="E997" s="39"/>
      <c r="F997" s="34"/>
      <c r="G997" s="35">
        <f>Table1[[#This Row],[Selling Price]]-Table1[[#This Row],[Cost Price]]</f>
        <v>0</v>
      </c>
      <c r="H997" s="32"/>
      <c r="I997" s="36" t="s">
        <v>36</v>
      </c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x14ac:dyDescent="0.25">
      <c r="A998" s="31"/>
      <c r="B998" s="32"/>
      <c r="C998" s="32"/>
      <c r="D998" s="32"/>
      <c r="E998" s="39"/>
      <c r="F998" s="34"/>
      <c r="G998" s="35">
        <f>Table1[[#This Row],[Selling Price]]-Table1[[#This Row],[Cost Price]]</f>
        <v>0</v>
      </c>
      <c r="H998" s="32"/>
      <c r="I998" s="36" t="s">
        <v>36</v>
      </c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x14ac:dyDescent="0.25">
      <c r="A999" s="31"/>
      <c r="B999" s="32"/>
      <c r="C999" s="32"/>
      <c r="D999" s="32"/>
      <c r="E999" s="39"/>
      <c r="F999" s="34"/>
      <c r="G999" s="35">
        <f>Table1[[#This Row],[Selling Price]]-Table1[[#This Row],[Cost Price]]</f>
        <v>0</v>
      </c>
      <c r="H999" s="32"/>
      <c r="I999" s="36" t="s">
        <v>36</v>
      </c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x14ac:dyDescent="0.25">
      <c r="A1000" s="31"/>
      <c r="B1000" s="32"/>
      <c r="C1000" s="32"/>
      <c r="D1000" s="32"/>
      <c r="E1000" s="39"/>
      <c r="F1000" s="34"/>
      <c r="G1000" s="35">
        <f>Table1[[#This Row],[Selling Price]]-Table1[[#This Row],[Cost Price]]</f>
        <v>0</v>
      </c>
      <c r="H1000" s="32"/>
      <c r="I1000" s="36" t="s">
        <v>36</v>
      </c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 x14ac:dyDescent="0.25">
      <c r="A1001" s="31"/>
      <c r="B1001" s="32"/>
      <c r="C1001" s="32"/>
      <c r="D1001" s="32"/>
      <c r="E1001" s="39"/>
      <c r="F1001" s="34"/>
      <c r="G1001" s="35">
        <f>Table1[[#This Row],[Selling Price]]-Table1[[#This Row],[Cost Price]]</f>
        <v>0</v>
      </c>
      <c r="H1001" s="32"/>
      <c r="I1001" s="36" t="s">
        <v>36</v>
      </c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 x14ac:dyDescent="0.25">
      <c r="A1002" s="31"/>
      <c r="B1002" s="32"/>
      <c r="C1002" s="32"/>
      <c r="D1002" s="32"/>
      <c r="E1002" s="39"/>
      <c r="F1002" s="34"/>
      <c r="G1002" s="35">
        <f>Table1[[#This Row],[Selling Price]]-Table1[[#This Row],[Cost Price]]</f>
        <v>0</v>
      </c>
      <c r="H1002" s="32"/>
      <c r="I1002" s="36" t="s">
        <v>36</v>
      </c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 x14ac:dyDescent="0.25">
      <c r="A1003" s="31"/>
      <c r="B1003" s="32"/>
      <c r="C1003" s="32"/>
      <c r="D1003" s="32"/>
      <c r="E1003" s="39"/>
      <c r="F1003" s="34"/>
      <c r="G1003" s="35">
        <f>Table1[[#This Row],[Selling Price]]-Table1[[#This Row],[Cost Price]]</f>
        <v>0</v>
      </c>
      <c r="H1003" s="32"/>
      <c r="I1003" s="36" t="s">
        <v>36</v>
      </c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 x14ac:dyDescent="0.25">
      <c r="A1004" s="31"/>
      <c r="B1004" s="32"/>
      <c r="C1004" s="32"/>
      <c r="D1004" s="32"/>
      <c r="E1004" s="39"/>
      <c r="F1004" s="34"/>
      <c r="G1004" s="35">
        <f>Table1[[#This Row],[Selling Price]]-Table1[[#This Row],[Cost Price]]</f>
        <v>0</v>
      </c>
      <c r="H1004" s="32"/>
      <c r="I1004" s="36" t="s">
        <v>36</v>
      </c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 x14ac:dyDescent="0.25">
      <c r="A1005" s="31"/>
      <c r="B1005" s="32"/>
      <c r="C1005" s="32"/>
      <c r="D1005" s="32"/>
      <c r="E1005" s="39"/>
      <c r="F1005" s="34"/>
      <c r="G1005" s="35">
        <f>Table1[[#This Row],[Selling Price]]-Table1[[#This Row],[Cost Price]]</f>
        <v>0</v>
      </c>
      <c r="H1005" s="32"/>
      <c r="I1005" s="36" t="s">
        <v>36</v>
      </c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1:26" x14ac:dyDescent="0.25">
      <c r="A1006" s="31"/>
      <c r="B1006" s="32"/>
      <c r="C1006" s="32"/>
      <c r="D1006" s="32"/>
      <c r="E1006" s="39"/>
      <c r="F1006" s="34"/>
      <c r="G1006" s="35">
        <f>Table1[[#This Row],[Selling Price]]-Table1[[#This Row],[Cost Price]]</f>
        <v>0</v>
      </c>
      <c r="H1006" s="32"/>
      <c r="I1006" s="36" t="s">
        <v>36</v>
      </c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1:26" x14ac:dyDescent="0.25">
      <c r="A1007" s="31"/>
      <c r="B1007" s="32"/>
      <c r="C1007" s="32"/>
      <c r="D1007" s="32"/>
      <c r="E1007" s="39"/>
      <c r="F1007" s="34"/>
      <c r="G1007" s="35">
        <f>Table1[[#This Row],[Selling Price]]-Table1[[#This Row],[Cost Price]]</f>
        <v>0</v>
      </c>
      <c r="H1007" s="32"/>
      <c r="I1007" s="36" t="s">
        <v>36</v>
      </c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1:26" x14ac:dyDescent="0.25">
      <c r="A1008" s="31"/>
      <c r="B1008" s="32"/>
      <c r="C1008" s="32"/>
      <c r="D1008" s="32"/>
      <c r="E1008" s="39"/>
      <c r="F1008" s="34"/>
      <c r="G1008" s="35">
        <f>Table1[[#This Row],[Selling Price]]-Table1[[#This Row],[Cost Price]]</f>
        <v>0</v>
      </c>
      <c r="H1008" s="32"/>
      <c r="I1008" s="36" t="s">
        <v>36</v>
      </c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spans="1:26" x14ac:dyDescent="0.25">
      <c r="A1009" s="31"/>
      <c r="B1009" s="32"/>
      <c r="C1009" s="32"/>
      <c r="D1009" s="32"/>
      <c r="E1009" s="39"/>
      <c r="F1009" s="34"/>
      <c r="G1009" s="35">
        <f>Table1[[#This Row],[Selling Price]]-Table1[[#This Row],[Cost Price]]</f>
        <v>0</v>
      </c>
      <c r="H1009" s="32"/>
      <c r="I1009" s="36" t="s">
        <v>36</v>
      </c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spans="1:26" x14ac:dyDescent="0.25">
      <c r="A1010" s="31"/>
      <c r="B1010" s="32"/>
      <c r="C1010" s="32"/>
      <c r="D1010" s="32"/>
      <c r="E1010" s="39"/>
      <c r="F1010" s="34"/>
      <c r="G1010" s="35">
        <f>Table1[[#This Row],[Selling Price]]-Table1[[#This Row],[Cost Price]]</f>
        <v>0</v>
      </c>
      <c r="H1010" s="32"/>
      <c r="I1010" s="36" t="s">
        <v>36</v>
      </c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spans="1:26" x14ac:dyDescent="0.25">
      <c r="A1011" s="31"/>
      <c r="B1011" s="32"/>
      <c r="C1011" s="32"/>
      <c r="D1011" s="32"/>
      <c r="E1011" s="39"/>
      <c r="F1011" s="34"/>
      <c r="G1011" s="35">
        <f>Table1[[#This Row],[Selling Price]]-Table1[[#This Row],[Cost Price]]</f>
        <v>0</v>
      </c>
      <c r="H1011" s="32"/>
      <c r="I1011" s="36" t="s">
        <v>36</v>
      </c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r="1012" spans="1:26" x14ac:dyDescent="0.25">
      <c r="A1012" s="31"/>
      <c r="B1012" s="32"/>
      <c r="C1012" s="32"/>
      <c r="D1012" s="32"/>
      <c r="E1012" s="39"/>
      <c r="F1012" s="34"/>
      <c r="G1012" s="35">
        <f>Table1[[#This Row],[Selling Price]]-Table1[[#This Row],[Cost Price]]</f>
        <v>0</v>
      </c>
      <c r="H1012" s="32"/>
      <c r="I1012" s="36" t="s">
        <v>36</v>
      </c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r="1013" spans="1:26" x14ac:dyDescent="0.25">
      <c r="A1013" s="31"/>
      <c r="B1013" s="32"/>
      <c r="C1013" s="32"/>
      <c r="D1013" s="32"/>
      <c r="E1013" s="39"/>
      <c r="F1013" s="34"/>
      <c r="G1013" s="35">
        <f>Table1[[#This Row],[Selling Price]]-Table1[[#This Row],[Cost Price]]</f>
        <v>0</v>
      </c>
      <c r="H1013" s="32"/>
      <c r="I1013" s="36" t="s">
        <v>36</v>
      </c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 spans="1:26" x14ac:dyDescent="0.25">
      <c r="A1014" s="31"/>
      <c r="B1014" s="32"/>
      <c r="C1014" s="32"/>
      <c r="D1014" s="32"/>
      <c r="E1014" s="39"/>
      <c r="F1014" s="34"/>
      <c r="G1014" s="35">
        <f>Table1[[#This Row],[Selling Price]]-Table1[[#This Row],[Cost Price]]</f>
        <v>0</v>
      </c>
      <c r="H1014" s="32"/>
      <c r="I1014" s="36" t="s">
        <v>36</v>
      </c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  <row r="1015" spans="1:26" x14ac:dyDescent="0.25">
      <c r="A1015" s="31"/>
      <c r="B1015" s="32"/>
      <c r="C1015" s="32"/>
      <c r="D1015" s="32"/>
      <c r="E1015" s="39"/>
      <c r="F1015" s="34"/>
      <c r="G1015" s="35">
        <f>Table1[[#This Row],[Selling Price]]-Table1[[#This Row],[Cost Price]]</f>
        <v>0</v>
      </c>
      <c r="H1015" s="32"/>
      <c r="I1015" s="36" t="s">
        <v>36</v>
      </c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</row>
    <row r="1016" spans="1:26" x14ac:dyDescent="0.25">
      <c r="A1016" s="31"/>
      <c r="B1016" s="32"/>
      <c r="C1016" s="32"/>
      <c r="D1016" s="32"/>
      <c r="E1016" s="39"/>
      <c r="F1016" s="34"/>
      <c r="G1016" s="35">
        <f>Table1[[#This Row],[Selling Price]]-Table1[[#This Row],[Cost Price]]</f>
        <v>0</v>
      </c>
      <c r="H1016" s="32"/>
      <c r="I1016" s="36" t="s">
        <v>36</v>
      </c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 spans="1:26" x14ac:dyDescent="0.25">
      <c r="A1017" s="31"/>
      <c r="B1017" s="32"/>
      <c r="C1017" s="32"/>
      <c r="D1017" s="32"/>
      <c r="E1017" s="39"/>
      <c r="F1017" s="34"/>
      <c r="G1017" s="35">
        <f>Table1[[#This Row],[Selling Price]]-Table1[[#This Row],[Cost Price]]</f>
        <v>0</v>
      </c>
      <c r="H1017" s="32"/>
      <c r="I1017" s="36" t="s">
        <v>36</v>
      </c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 spans="1:26" x14ac:dyDescent="0.25">
      <c r="A1018" s="31"/>
      <c r="B1018" s="32"/>
      <c r="C1018" s="32"/>
      <c r="D1018" s="32"/>
      <c r="E1018" s="39"/>
      <c r="F1018" s="34"/>
      <c r="G1018" s="35">
        <f>Table1[[#This Row],[Selling Price]]-Table1[[#This Row],[Cost Price]]</f>
        <v>0</v>
      </c>
      <c r="H1018" s="32"/>
      <c r="I1018" s="36" t="s">
        <v>36</v>
      </c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 spans="1:26" x14ac:dyDescent="0.25">
      <c r="A1019" s="31"/>
      <c r="B1019" s="32"/>
      <c r="C1019" s="32"/>
      <c r="D1019" s="32"/>
      <c r="E1019" s="39"/>
      <c r="F1019" s="34"/>
      <c r="G1019" s="35">
        <f>Table1[[#This Row],[Selling Price]]-Table1[[#This Row],[Cost Price]]</f>
        <v>0</v>
      </c>
      <c r="H1019" s="32"/>
      <c r="I1019" s="36" t="s">
        <v>36</v>
      </c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</row>
    <row r="1020" spans="1:26" x14ac:dyDescent="0.25">
      <c r="A1020" s="31"/>
      <c r="B1020" s="32"/>
      <c r="C1020" s="32"/>
      <c r="D1020" s="32"/>
      <c r="E1020" s="39"/>
      <c r="F1020" s="34"/>
      <c r="G1020" s="35">
        <f>Table1[[#This Row],[Selling Price]]-Table1[[#This Row],[Cost Price]]</f>
        <v>0</v>
      </c>
      <c r="H1020" s="32"/>
      <c r="I1020" s="36" t="s">
        <v>36</v>
      </c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 spans="1:26" x14ac:dyDescent="0.25">
      <c r="A1021" s="31"/>
      <c r="B1021" s="32"/>
      <c r="C1021" s="32"/>
      <c r="D1021" s="32"/>
      <c r="E1021" s="39"/>
      <c r="F1021" s="34"/>
      <c r="G1021" s="35">
        <f>Table1[[#This Row],[Selling Price]]-Table1[[#This Row],[Cost Price]]</f>
        <v>0</v>
      </c>
      <c r="H1021" s="32"/>
      <c r="I1021" s="36" t="s">
        <v>36</v>
      </c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</row>
    <row r="1022" spans="1:26" x14ac:dyDescent="0.25">
      <c r="A1022" s="31"/>
      <c r="B1022" s="32"/>
      <c r="C1022" s="32"/>
      <c r="D1022" s="32"/>
      <c r="E1022" s="39"/>
      <c r="F1022" s="34"/>
      <c r="G1022" s="35">
        <f>Table1[[#This Row],[Selling Price]]-Table1[[#This Row],[Cost Price]]</f>
        <v>0</v>
      </c>
      <c r="H1022" s="32"/>
      <c r="I1022" s="36" t="s">
        <v>36</v>
      </c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 spans="1:26" x14ac:dyDescent="0.25">
      <c r="A1023" s="31"/>
      <c r="B1023" s="32"/>
      <c r="C1023" s="32"/>
      <c r="D1023" s="32"/>
      <c r="E1023" s="39"/>
      <c r="F1023" s="34"/>
      <c r="G1023" s="35">
        <f>Table1[[#This Row],[Selling Price]]-Table1[[#This Row],[Cost Price]]</f>
        <v>0</v>
      </c>
      <c r="H1023" s="32"/>
      <c r="I1023" s="36" t="s">
        <v>36</v>
      </c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 spans="1:26" x14ac:dyDescent="0.25">
      <c r="A1024" s="31"/>
      <c r="B1024" s="32"/>
      <c r="C1024" s="32"/>
      <c r="D1024" s="32"/>
      <c r="E1024" s="39"/>
      <c r="F1024" s="34"/>
      <c r="G1024" s="35">
        <f>Table1[[#This Row],[Selling Price]]-Table1[[#This Row],[Cost Price]]</f>
        <v>0</v>
      </c>
      <c r="H1024" s="32"/>
      <c r="I1024" s="36" t="s">
        <v>36</v>
      </c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</row>
    <row r="1025" spans="1:26" x14ac:dyDescent="0.25">
      <c r="A1025" s="31"/>
      <c r="B1025" s="32"/>
      <c r="C1025" s="32"/>
      <c r="D1025" s="32"/>
      <c r="E1025" s="39"/>
      <c r="F1025" s="34"/>
      <c r="G1025" s="35">
        <f>Table1[[#This Row],[Selling Price]]-Table1[[#This Row],[Cost Price]]</f>
        <v>0</v>
      </c>
      <c r="H1025" s="32"/>
      <c r="I1025" s="36" t="s">
        <v>36</v>
      </c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</row>
    <row r="1026" spans="1:26" x14ac:dyDescent="0.25">
      <c r="A1026" s="31"/>
      <c r="B1026" s="32"/>
      <c r="C1026" s="32"/>
      <c r="D1026" s="32"/>
      <c r="E1026" s="39"/>
      <c r="F1026" s="34"/>
      <c r="G1026" s="35">
        <f>Table1[[#This Row],[Selling Price]]-Table1[[#This Row],[Cost Price]]</f>
        <v>0</v>
      </c>
      <c r="H1026" s="32"/>
      <c r="I1026" s="36" t="s">
        <v>36</v>
      </c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</row>
    <row r="1027" spans="1:26" x14ac:dyDescent="0.25">
      <c r="A1027" s="31"/>
      <c r="B1027" s="32"/>
      <c r="C1027" s="32"/>
      <c r="D1027" s="32"/>
      <c r="E1027" s="39"/>
      <c r="F1027" s="34"/>
      <c r="G1027" s="35">
        <f>Table1[[#This Row],[Selling Price]]-Table1[[#This Row],[Cost Price]]</f>
        <v>0</v>
      </c>
      <c r="H1027" s="32"/>
      <c r="I1027" s="36" t="s">
        <v>36</v>
      </c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</row>
    <row r="1028" spans="1:26" x14ac:dyDescent="0.25">
      <c r="A1028" s="40"/>
      <c r="B1028" s="32"/>
      <c r="C1028" s="32"/>
      <c r="D1028" s="32"/>
      <c r="E1028" s="37"/>
      <c r="F1028" s="38"/>
      <c r="G1028" s="41">
        <f>Table1[[#This Row],[Selling Price]]-Table1[[#This Row],[Cost Price]]</f>
        <v>0</v>
      </c>
      <c r="H1028" s="42"/>
      <c r="I1028" s="43" t="s">
        <v>36</v>
      </c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</row>
    <row r="1029" spans="1:26" x14ac:dyDescent="0.25">
      <c r="E1029" s="2"/>
      <c r="F1029" s="3"/>
      <c r="G1029" s="4"/>
      <c r="H1029" s="4"/>
    </row>
  </sheetData>
  <dataValidations count="4">
    <dataValidation type="list" allowBlank="1" showInputMessage="1" showErrorMessage="1" sqref="I2:I1028" xr:uid="{00000000-0002-0000-0200-000000000000}">
      <formula1>Statuslist</formula1>
    </dataValidation>
    <dataValidation type="list" allowBlank="1" showInputMessage="1" showErrorMessage="1" sqref="C2:C1028" xr:uid="{00000000-0002-0000-0200-000001000000}">
      <formula1>CategoryLists</formula1>
    </dataValidation>
    <dataValidation type="list" allowBlank="1" showInputMessage="1" showErrorMessage="1" sqref="B2:B1028" xr:uid="{00000000-0002-0000-0200-000002000000}">
      <formula1>ProductNames</formula1>
    </dataValidation>
    <dataValidation type="list" allowBlank="1" showInputMessage="1" showErrorMessage="1" sqref="D2:D1028" xr:uid="{00000000-0002-0000-0200-000003000000}">
      <formula1>UnitofMeasures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S1000"/>
  <sheetViews>
    <sheetView showGridLines="0" showRowColHeaders="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0.7109375" bestFit="1" customWidth="1"/>
    <col min="2" max="2" width="12.42578125" bestFit="1" customWidth="1"/>
    <col min="3" max="3" width="12" bestFit="1" customWidth="1"/>
    <col min="4" max="4" width="20" bestFit="1" customWidth="1"/>
    <col min="5" max="5" width="15.7109375" customWidth="1"/>
    <col min="6" max="6" width="8.42578125" bestFit="1" customWidth="1"/>
    <col min="7" max="7" width="14.7109375" style="16" bestFit="1" customWidth="1"/>
    <col min="8" max="8" width="17.5703125" bestFit="1" customWidth="1"/>
    <col min="9" max="9" width="14.85546875" bestFit="1" customWidth="1"/>
    <col min="10" max="10" width="15.85546875" bestFit="1" customWidth="1"/>
    <col min="11" max="11" width="13.5703125" bestFit="1" customWidth="1"/>
    <col min="12" max="12" width="14.28515625" bestFit="1" customWidth="1"/>
    <col min="13" max="13" width="12.5703125" customWidth="1"/>
    <col min="14" max="14" width="27" customWidth="1"/>
    <col min="15" max="15" width="15.140625" bestFit="1" customWidth="1"/>
  </cols>
  <sheetData>
    <row r="1" spans="1:19" s="14" customFormat="1" ht="23.1" customHeight="1" x14ac:dyDescent="0.3">
      <c r="A1" s="64" t="s">
        <v>81</v>
      </c>
      <c r="B1" s="47" t="s">
        <v>86</v>
      </c>
      <c r="C1" s="47" t="s">
        <v>82</v>
      </c>
      <c r="D1" s="47" t="s">
        <v>1</v>
      </c>
      <c r="E1" s="47" t="s">
        <v>2</v>
      </c>
      <c r="F1" s="47" t="s">
        <v>83</v>
      </c>
      <c r="G1" s="48" t="s">
        <v>84</v>
      </c>
      <c r="H1" s="47" t="s">
        <v>5</v>
      </c>
      <c r="I1" s="47" t="s">
        <v>4</v>
      </c>
      <c r="J1" s="47" t="s">
        <v>85</v>
      </c>
      <c r="K1" s="47" t="s">
        <v>91</v>
      </c>
      <c r="L1" s="47" t="s">
        <v>92</v>
      </c>
      <c r="M1" s="49" t="s">
        <v>93</v>
      </c>
      <c r="N1" s="82"/>
      <c r="O1" s="83"/>
      <c r="P1" s="82"/>
      <c r="Q1" s="82"/>
      <c r="R1" s="82"/>
      <c r="S1" s="82"/>
    </row>
    <row r="2" spans="1:19" x14ac:dyDescent="0.25">
      <c r="A2" s="65">
        <v>46252</v>
      </c>
      <c r="B2" s="50">
        <v>1</v>
      </c>
      <c r="C2" s="50" t="s">
        <v>87</v>
      </c>
      <c r="D2" s="50" t="s">
        <v>393</v>
      </c>
      <c r="E2" s="50" t="str">
        <f>IF(D2="","",VLOOKUP(D2,'Product Master'!$B:$C,2,FALSE))</f>
        <v>Food</v>
      </c>
      <c r="F2" s="50" t="str">
        <f>IF(D2="","",IFERROR(VLOOKUP(D2,'Product Master'!$B:$G,3,FALSE),""))</f>
        <v>Piece</v>
      </c>
      <c r="G2" s="51">
        <v>5</v>
      </c>
      <c r="H2" s="52">
        <f>IF(D2="","",VLOOKUP(D2,'Product Master'!$B:$F,5,FALSE))</f>
        <v>1000</v>
      </c>
      <c r="I2" s="52">
        <f>IFERROR(VLOOKUP(D2,'Product Master'!B:E,4,FALSE),0)</f>
        <v>700</v>
      </c>
      <c r="J2" s="53">
        <f>IFERROR(Table3[[#This Row],[QTY SOLD]]*Table3[[#This Row],[Selling Price]],0)</f>
        <v>5000</v>
      </c>
      <c r="K2" s="50"/>
      <c r="L2" s="54">
        <f>Table3[[#This Row],[Total Sales]]-Table3[[#This Row],[Discount]]</f>
        <v>5000</v>
      </c>
      <c r="M2" s="55">
        <f>Table3[[#This Row],[Net Sales]]-Table3[[#This Row],[Cost Price]]*Table3[[#This Row],[QTY SOLD]]</f>
        <v>1500</v>
      </c>
      <c r="N2" s="25"/>
      <c r="O2" s="25"/>
      <c r="P2" s="25"/>
      <c r="Q2" s="25"/>
      <c r="R2" s="25"/>
      <c r="S2" s="25"/>
    </row>
    <row r="3" spans="1:19" x14ac:dyDescent="0.25">
      <c r="A3" s="65">
        <v>46252</v>
      </c>
      <c r="B3" s="50">
        <v>1</v>
      </c>
      <c r="C3" s="50" t="s">
        <v>87</v>
      </c>
      <c r="D3" s="50" t="s">
        <v>394</v>
      </c>
      <c r="E3" s="50" t="str">
        <f>IF(D3="","",VLOOKUP(D3,'Product Master'!$B:$C,2,FALSE))</f>
        <v>Food</v>
      </c>
      <c r="F3" s="50" t="str">
        <f>IF(D3="","",IFERROR(VLOOKUP(D3,'Product Master'!$B:$G,3,FALSE),""))</f>
        <v>Piece</v>
      </c>
      <c r="G3" s="51">
        <v>4</v>
      </c>
      <c r="H3" s="52">
        <f>IF(D3="","",VLOOKUP(D3,'Product Master'!$B:$F,5,FALSE))</f>
        <v>1200</v>
      </c>
      <c r="I3" s="52">
        <f>IFERROR(VLOOKUP(D3,'Product Master'!B:E,4,FALSE),0)</f>
        <v>900</v>
      </c>
      <c r="J3" s="53">
        <f>IFERROR(Table3[[#This Row],[QTY SOLD]]*Table3[[#This Row],[Selling Price]],0)</f>
        <v>4800</v>
      </c>
      <c r="K3" s="50"/>
      <c r="L3" s="54">
        <f>Table3[[#This Row],[Total Sales]]-Table3[[#This Row],[Discount]]</f>
        <v>4800</v>
      </c>
      <c r="M3" s="55">
        <f>Table3[[#This Row],[Net Sales]]-Table3[[#This Row],[Cost Price]]*Table3[[#This Row],[QTY SOLD]]</f>
        <v>1200</v>
      </c>
      <c r="N3" s="25"/>
      <c r="O3" s="25"/>
      <c r="P3" s="25"/>
      <c r="Q3" s="25"/>
      <c r="R3" s="25"/>
      <c r="S3" s="25"/>
    </row>
    <row r="4" spans="1:19" x14ac:dyDescent="0.25">
      <c r="A4" s="65">
        <v>46252</v>
      </c>
      <c r="B4" s="50">
        <v>1</v>
      </c>
      <c r="C4" s="50" t="s">
        <v>87</v>
      </c>
      <c r="D4" s="50" t="s">
        <v>395</v>
      </c>
      <c r="E4" s="50" t="str">
        <f>IF(D4="","",VLOOKUP(D4,'Product Master'!$B:$C,2,FALSE))</f>
        <v>Food</v>
      </c>
      <c r="F4" s="50" t="str">
        <f>IF(D4="","",IFERROR(VLOOKUP(D4,'Product Master'!$B:$G,3,FALSE),""))</f>
        <v>Piece</v>
      </c>
      <c r="G4" s="51">
        <v>4</v>
      </c>
      <c r="H4" s="52">
        <f>IF(D4="","",VLOOKUP(D4,'Product Master'!$B:$F,5,FALSE))</f>
        <v>1500</v>
      </c>
      <c r="I4" s="52">
        <f>IFERROR(VLOOKUP(D4,'Product Master'!B:E,4,FALSE),0)</f>
        <v>1200</v>
      </c>
      <c r="J4" s="53">
        <f>IFERROR(Table3[[#This Row],[QTY SOLD]]*Table3[[#This Row],[Selling Price]],0)</f>
        <v>6000</v>
      </c>
      <c r="K4" s="50"/>
      <c r="L4" s="54">
        <f>Table3[[#This Row],[Total Sales]]-Table3[[#This Row],[Discount]]</f>
        <v>6000</v>
      </c>
      <c r="M4" s="55">
        <f>Table3[[#This Row],[Net Sales]]-Table3[[#This Row],[Cost Price]]*Table3[[#This Row],[QTY SOLD]]</f>
        <v>1200</v>
      </c>
      <c r="N4" s="25"/>
      <c r="O4" s="25"/>
      <c r="P4" s="25"/>
      <c r="Q4" s="25"/>
      <c r="R4" s="25"/>
      <c r="S4" s="25"/>
    </row>
    <row r="5" spans="1:19" x14ac:dyDescent="0.25">
      <c r="A5" s="65">
        <v>46252</v>
      </c>
      <c r="B5" s="50">
        <v>1</v>
      </c>
      <c r="C5" s="50" t="s">
        <v>87</v>
      </c>
      <c r="D5" s="50" t="s">
        <v>396</v>
      </c>
      <c r="E5" s="50" t="str">
        <f>IF(D5="","",VLOOKUP(D5,'Product Master'!$B:$C,2,FALSE))</f>
        <v>Food</v>
      </c>
      <c r="F5" s="50" t="str">
        <f>IF(D5="","",IFERROR(VLOOKUP(D5,'Product Master'!$B:$G,3,FALSE),""))</f>
        <v>Piece</v>
      </c>
      <c r="G5" s="51">
        <v>7</v>
      </c>
      <c r="H5" s="52">
        <f>IF(D5="","",VLOOKUP(D5,'Product Master'!$B:$F,5,FALSE))</f>
        <v>700</v>
      </c>
      <c r="I5" s="52">
        <f>IFERROR(VLOOKUP(D5,'Product Master'!B:E,4,FALSE),0)</f>
        <v>400</v>
      </c>
      <c r="J5" s="53">
        <f>IFERROR(Table3[[#This Row],[QTY SOLD]]*Table3[[#This Row],[Selling Price]],0)</f>
        <v>4900</v>
      </c>
      <c r="K5" s="50"/>
      <c r="L5" s="54">
        <f>Table3[[#This Row],[Total Sales]]-Table3[[#This Row],[Discount]]</f>
        <v>4900</v>
      </c>
      <c r="M5" s="55">
        <f>Table3[[#This Row],[Net Sales]]-Table3[[#This Row],[Cost Price]]*Table3[[#This Row],[QTY SOLD]]</f>
        <v>2100</v>
      </c>
      <c r="N5" s="25"/>
      <c r="O5" s="25"/>
      <c r="P5" s="25"/>
      <c r="Q5" s="25"/>
      <c r="R5" s="25"/>
      <c r="S5" s="25"/>
    </row>
    <row r="6" spans="1:19" x14ac:dyDescent="0.25">
      <c r="A6" s="65">
        <v>46252</v>
      </c>
      <c r="B6" s="50">
        <v>1</v>
      </c>
      <c r="C6" s="50" t="s">
        <v>87</v>
      </c>
      <c r="D6" s="50" t="s">
        <v>397</v>
      </c>
      <c r="E6" s="50" t="str">
        <f>IF(D6="","",VLOOKUP(D6,'Product Master'!$B:$C,2,FALSE))</f>
        <v>Food</v>
      </c>
      <c r="F6" s="50" t="str">
        <f>IF(D6="","",IFERROR(VLOOKUP(D6,'Product Master'!$B:$G,3,FALSE),""))</f>
        <v>Piece</v>
      </c>
      <c r="G6" s="51">
        <v>3</v>
      </c>
      <c r="H6" s="52">
        <f>IF(D6="","",VLOOKUP(D6,'Product Master'!$B:$F,5,FALSE))</f>
        <v>500</v>
      </c>
      <c r="I6" s="52">
        <f>IFERROR(VLOOKUP(D6,'Product Master'!B:E,4,FALSE),0)</f>
        <v>200</v>
      </c>
      <c r="J6" s="53">
        <f>IFERROR(Table3[[#This Row],[QTY SOLD]]*Table3[[#This Row],[Selling Price]],0)</f>
        <v>1500</v>
      </c>
      <c r="K6" s="50"/>
      <c r="L6" s="54">
        <f>Table3[[#This Row],[Total Sales]]-Table3[[#This Row],[Discount]]</f>
        <v>1500</v>
      </c>
      <c r="M6" s="55">
        <f>Table3[[#This Row],[Net Sales]]-Table3[[#This Row],[Cost Price]]*Table3[[#This Row],[QTY SOLD]]</f>
        <v>900</v>
      </c>
      <c r="N6" s="25"/>
      <c r="O6" s="25"/>
      <c r="P6" s="25"/>
      <c r="Q6" s="25"/>
      <c r="R6" s="25"/>
      <c r="S6" s="25"/>
    </row>
    <row r="7" spans="1:19" x14ac:dyDescent="0.25">
      <c r="A7" s="65">
        <v>46252</v>
      </c>
      <c r="B7" s="50">
        <v>1</v>
      </c>
      <c r="C7" s="50" t="s">
        <v>87</v>
      </c>
      <c r="D7" s="50" t="s">
        <v>398</v>
      </c>
      <c r="E7" s="50" t="str">
        <f>IF(D7="","",VLOOKUP(D7,'Product Master'!$B:$C,2,FALSE))</f>
        <v>Food</v>
      </c>
      <c r="F7" s="50" t="str">
        <f>IF(D7="","",IFERROR(VLOOKUP(D7,'Product Master'!$B:$G,3,FALSE),""))</f>
        <v>Piece</v>
      </c>
      <c r="G7" s="51">
        <v>6</v>
      </c>
      <c r="H7" s="52">
        <f>IF(D7="","",VLOOKUP(D7,'Product Master'!$B:$F,5,FALSE))</f>
        <v>800</v>
      </c>
      <c r="I7" s="52">
        <f>IFERROR(VLOOKUP(D7,'Product Master'!B:E,4,FALSE),0)</f>
        <v>500</v>
      </c>
      <c r="J7" s="53">
        <f>IFERROR(Table3[[#This Row],[QTY SOLD]]*Table3[[#This Row],[Selling Price]],0)</f>
        <v>4800</v>
      </c>
      <c r="K7" s="50"/>
      <c r="L7" s="54">
        <f>Table3[[#This Row],[Total Sales]]-Table3[[#This Row],[Discount]]</f>
        <v>4800</v>
      </c>
      <c r="M7" s="55">
        <f>Table3[[#This Row],[Net Sales]]-Table3[[#This Row],[Cost Price]]*Table3[[#This Row],[QTY SOLD]]</f>
        <v>1800</v>
      </c>
      <c r="N7" s="25"/>
      <c r="O7" s="84"/>
      <c r="P7" s="25"/>
      <c r="Q7" s="25"/>
      <c r="R7" s="25"/>
      <c r="S7" s="25"/>
    </row>
    <row r="8" spans="1:19" x14ac:dyDescent="0.25">
      <c r="A8" s="65">
        <f t="shared" ref="A8:A32" si="0">A7+1</f>
        <v>46253</v>
      </c>
      <c r="B8" s="50">
        <v>2</v>
      </c>
      <c r="C8" s="50" t="s">
        <v>89</v>
      </c>
      <c r="D8" s="50" t="s">
        <v>395</v>
      </c>
      <c r="E8" s="50" t="str">
        <f>IF(D8="","",VLOOKUP(D8,'Product Master'!$B:$C,2,FALSE))</f>
        <v>Food</v>
      </c>
      <c r="F8" s="50" t="str">
        <f>IF(D8="","",IFERROR(VLOOKUP(D8,'Product Master'!$B:$G,3,FALSE),""))</f>
        <v>Piece</v>
      </c>
      <c r="G8" s="51">
        <v>4</v>
      </c>
      <c r="H8" s="52">
        <f>IF(D8="","",VLOOKUP(D8,'Product Master'!$B:$F,5,FALSE))</f>
        <v>1500</v>
      </c>
      <c r="I8" s="52">
        <f>IFERROR(VLOOKUP(D8,'Product Master'!B:E,4,FALSE),0)</f>
        <v>1200</v>
      </c>
      <c r="J8" s="53">
        <f>IFERROR(Table3[[#This Row],[QTY SOLD]]*Table3[[#This Row],[Selling Price]],0)</f>
        <v>6000</v>
      </c>
      <c r="K8" s="50"/>
      <c r="L8" s="54">
        <f>Table3[[#This Row],[Total Sales]]-Table3[[#This Row],[Discount]]</f>
        <v>6000</v>
      </c>
      <c r="M8" s="55">
        <f>Table3[[#This Row],[Net Sales]]-Table3[[#This Row],[Cost Price]]*Table3[[#This Row],[QTY SOLD]]</f>
        <v>1200</v>
      </c>
      <c r="N8" s="25"/>
      <c r="O8" s="25"/>
      <c r="P8" s="25"/>
      <c r="Q8" s="25"/>
      <c r="R8" s="25"/>
      <c r="S8" s="25"/>
    </row>
    <row r="9" spans="1:19" x14ac:dyDescent="0.25">
      <c r="A9" s="65">
        <v>46251</v>
      </c>
      <c r="B9" s="50">
        <v>3</v>
      </c>
      <c r="C9" s="50" t="s">
        <v>476</v>
      </c>
      <c r="D9" s="50" t="s">
        <v>393</v>
      </c>
      <c r="E9" s="50" t="str">
        <f>IF(D9="","",VLOOKUP(D9,'Product Master'!$B:$C,2,FALSE))</f>
        <v>Food</v>
      </c>
      <c r="F9" s="50" t="str">
        <f>IF(D9="","",IFERROR(VLOOKUP(D9,'Product Master'!$B:$G,3,FALSE),""))</f>
        <v>Piece</v>
      </c>
      <c r="G9" s="51">
        <v>6</v>
      </c>
      <c r="H9" s="52">
        <f>IF(D9="","",VLOOKUP(D9,'Product Master'!$B:$F,5,FALSE))</f>
        <v>1000</v>
      </c>
      <c r="I9" s="52">
        <f>IFERROR(VLOOKUP(D9,'Product Master'!B:E,4,FALSE),0)</f>
        <v>700</v>
      </c>
      <c r="J9" s="53">
        <f>IFERROR(Table3[[#This Row],[QTY SOLD]]*Table3[[#This Row],[Selling Price]],0)</f>
        <v>6000</v>
      </c>
      <c r="K9" s="50"/>
      <c r="L9" s="54">
        <f>Table3[[#This Row],[Total Sales]]-Table3[[#This Row],[Discount]]</f>
        <v>6000</v>
      </c>
      <c r="M9" s="55">
        <f>Table3[[#This Row],[Net Sales]]-Table3[[#This Row],[Cost Price]]*Table3[[#This Row],[QTY SOLD]]</f>
        <v>1800</v>
      </c>
      <c r="N9" s="25"/>
      <c r="O9" s="25"/>
      <c r="P9" s="25"/>
      <c r="Q9" s="25"/>
      <c r="R9" s="25"/>
      <c r="S9" s="25"/>
    </row>
    <row r="10" spans="1:19" ht="15.75" customHeight="1" x14ac:dyDescent="0.25">
      <c r="A10" s="65">
        <v>46255</v>
      </c>
      <c r="B10" s="50">
        <v>4</v>
      </c>
      <c r="C10" s="50" t="s">
        <v>89</v>
      </c>
      <c r="D10" s="50" t="s">
        <v>394</v>
      </c>
      <c r="E10" s="50" t="str">
        <f>IF(D10="","",VLOOKUP(D10,'Product Master'!$B:$C,2,FALSE))</f>
        <v>Food</v>
      </c>
      <c r="F10" s="50" t="str">
        <f>IF(D10="","",IFERROR(VLOOKUP(D10,'Product Master'!$B:$G,3,FALSE),""))</f>
        <v>Piece</v>
      </c>
      <c r="G10" s="51">
        <v>15</v>
      </c>
      <c r="H10" s="52">
        <f>IF(D10="","",VLOOKUP(D10,'Product Master'!$B:$F,5,FALSE))</f>
        <v>1200</v>
      </c>
      <c r="I10" s="52">
        <f>IFERROR(VLOOKUP(D10,'Product Master'!B:E,4,FALSE),0)</f>
        <v>900</v>
      </c>
      <c r="J10" s="53">
        <f>IFERROR(Table3[[#This Row],[QTY SOLD]]*Table3[[#This Row],[Selling Price]],0)</f>
        <v>18000</v>
      </c>
      <c r="K10" s="50"/>
      <c r="L10" s="54">
        <f>Table3[[#This Row],[Total Sales]]-Table3[[#This Row],[Discount]]</f>
        <v>18000</v>
      </c>
      <c r="M10" s="55">
        <f>Table3[[#This Row],[Net Sales]]-Table3[[#This Row],[Cost Price]]*Table3[[#This Row],[QTY SOLD]]</f>
        <v>4500</v>
      </c>
      <c r="N10" s="25"/>
      <c r="O10" s="25"/>
      <c r="P10" s="25"/>
      <c r="Q10" s="25"/>
      <c r="R10" s="25"/>
      <c r="S10" s="25"/>
    </row>
    <row r="11" spans="1:19" x14ac:dyDescent="0.25">
      <c r="A11" s="65">
        <v>46255</v>
      </c>
      <c r="B11" s="50">
        <v>4</v>
      </c>
      <c r="C11" s="50" t="s">
        <v>476</v>
      </c>
      <c r="D11" s="50" t="s">
        <v>398</v>
      </c>
      <c r="E11" s="50" t="str">
        <f>IF(D11="","",VLOOKUP(D11,'Product Master'!$B:$C,2,FALSE))</f>
        <v>Food</v>
      </c>
      <c r="F11" s="50" t="str">
        <f>IF(D11="","",IFERROR(VLOOKUP(D11,'Product Master'!$B:$G,3,FALSE),""))</f>
        <v>Piece</v>
      </c>
      <c r="G11" s="51">
        <v>13</v>
      </c>
      <c r="H11" s="52">
        <f>IF(D11="","",VLOOKUP(D11,'Product Master'!$B:$F,5,FALSE))</f>
        <v>800</v>
      </c>
      <c r="I11" s="52">
        <f>IFERROR(VLOOKUP(D11,'Product Master'!B:E,4,FALSE),0)</f>
        <v>500</v>
      </c>
      <c r="J11" s="53">
        <f>IFERROR(Table3[[#This Row],[QTY SOLD]]*Table3[[#This Row],[Selling Price]],0)</f>
        <v>10400</v>
      </c>
      <c r="K11" s="50"/>
      <c r="L11" s="54">
        <f>Table3[[#This Row],[Total Sales]]-Table3[[#This Row],[Discount]]</f>
        <v>10400</v>
      </c>
      <c r="M11" s="55">
        <f>Table3[[#This Row],[Net Sales]]-Table3[[#This Row],[Cost Price]]*Table3[[#This Row],[QTY SOLD]]</f>
        <v>3900</v>
      </c>
      <c r="N11" s="25"/>
      <c r="O11" s="25"/>
      <c r="P11" s="25"/>
      <c r="Q11" s="25"/>
      <c r="R11" s="25"/>
      <c r="S11" s="25"/>
    </row>
    <row r="12" spans="1:19" x14ac:dyDescent="0.25">
      <c r="A12" s="65">
        <v>46255</v>
      </c>
      <c r="B12" s="50">
        <v>5</v>
      </c>
      <c r="C12" s="50" t="s">
        <v>89</v>
      </c>
      <c r="D12" s="50" t="s">
        <v>399</v>
      </c>
      <c r="E12" s="50" t="str">
        <f>IF(D12="","",VLOOKUP(D12,'Product Master'!$B:$C,2,FALSE))</f>
        <v>Snacks</v>
      </c>
      <c r="F12" s="50" t="str">
        <f>IF(D12="","",IFERROR(VLOOKUP(D12,'Product Master'!$B:$G,3,FALSE),""))</f>
        <v>Piece</v>
      </c>
      <c r="G12" s="51">
        <v>3</v>
      </c>
      <c r="H12" s="52">
        <f>IF(D12="","",VLOOKUP(D12,'Product Master'!$B:$F,5,FALSE))</f>
        <v>900</v>
      </c>
      <c r="I12" s="52">
        <f>IFERROR(VLOOKUP(D12,'Product Master'!B:E,4,FALSE),0)</f>
        <v>500</v>
      </c>
      <c r="J12" s="53">
        <f>IFERROR(Table3[[#This Row],[QTY SOLD]]*Table3[[#This Row],[Selling Price]],0)</f>
        <v>2700</v>
      </c>
      <c r="K12" s="50"/>
      <c r="L12" s="54">
        <f>Table3[[#This Row],[Total Sales]]-Table3[[#This Row],[Discount]]</f>
        <v>2700</v>
      </c>
      <c r="M12" s="55">
        <f>Table3[[#This Row],[Net Sales]]-Table3[[#This Row],[Cost Price]]*Table3[[#This Row],[QTY SOLD]]</f>
        <v>1200</v>
      </c>
      <c r="N12" s="25"/>
      <c r="O12" s="25"/>
      <c r="P12" s="25"/>
      <c r="Q12" s="25"/>
      <c r="R12" s="25"/>
      <c r="S12" s="25"/>
    </row>
    <row r="13" spans="1:19" x14ac:dyDescent="0.25">
      <c r="A13" s="65">
        <v>46255</v>
      </c>
      <c r="B13" s="50">
        <v>5</v>
      </c>
      <c r="C13" s="50" t="s">
        <v>89</v>
      </c>
      <c r="D13" s="50" t="s">
        <v>400</v>
      </c>
      <c r="E13" s="50" t="str">
        <f>IF(D13="","",VLOOKUP(D13,'Product Master'!$B:$C,2,FALSE))</f>
        <v>Snacks</v>
      </c>
      <c r="F13" s="50" t="str">
        <f>IF(D13="","",IFERROR(VLOOKUP(D13,'Product Master'!$B:$G,3,FALSE),""))</f>
        <v>Piece</v>
      </c>
      <c r="G13" s="51">
        <v>7</v>
      </c>
      <c r="H13" s="52">
        <f>IF(D13="","",VLOOKUP(D13,'Product Master'!$B:$F,5,FALSE))</f>
        <v>1000</v>
      </c>
      <c r="I13" s="52">
        <f>IFERROR(VLOOKUP(D13,'Product Master'!B:E,4,FALSE),0)</f>
        <v>700</v>
      </c>
      <c r="J13" s="53">
        <f>IFERROR(Table3[[#This Row],[QTY SOLD]]*Table3[[#This Row],[Selling Price]],0)</f>
        <v>7000</v>
      </c>
      <c r="K13" s="50"/>
      <c r="L13" s="54">
        <f>Table3[[#This Row],[Total Sales]]-Table3[[#This Row],[Discount]]</f>
        <v>7000</v>
      </c>
      <c r="M13" s="55">
        <f>Table3[[#This Row],[Net Sales]]-Table3[[#This Row],[Cost Price]]*Table3[[#This Row],[QTY SOLD]]</f>
        <v>2100</v>
      </c>
      <c r="N13" s="25"/>
      <c r="O13" s="25"/>
      <c r="P13" s="25"/>
      <c r="Q13" s="25"/>
      <c r="R13" s="25"/>
      <c r="S13" s="25"/>
    </row>
    <row r="14" spans="1:19" x14ac:dyDescent="0.25">
      <c r="A14" s="65">
        <v>46255</v>
      </c>
      <c r="B14" s="50">
        <v>5</v>
      </c>
      <c r="C14" s="50" t="s">
        <v>89</v>
      </c>
      <c r="D14" s="50" t="s">
        <v>401</v>
      </c>
      <c r="E14" s="50" t="str">
        <f>IF(D14="","",VLOOKUP(D14,'Product Master'!$B:$C,2,FALSE))</f>
        <v>Snacks</v>
      </c>
      <c r="F14" s="50" t="str">
        <f>IF(D14="","",IFERROR(VLOOKUP(D14,'Product Master'!$B:$G,3,FALSE),""))</f>
        <v>Piece</v>
      </c>
      <c r="G14" s="51">
        <v>5</v>
      </c>
      <c r="H14" s="52">
        <f>IF(D14="","",VLOOKUP(D14,'Product Master'!$B:$F,5,FALSE))</f>
        <v>700</v>
      </c>
      <c r="I14" s="52">
        <f>IFERROR(VLOOKUP(D14,'Product Master'!B:E,4,FALSE),0)</f>
        <v>400</v>
      </c>
      <c r="J14" s="53">
        <f>IFERROR(Table3[[#This Row],[QTY SOLD]]*Table3[[#This Row],[Selling Price]],0)</f>
        <v>3500</v>
      </c>
      <c r="K14" s="50"/>
      <c r="L14" s="54">
        <f>Table3[[#This Row],[Total Sales]]-Table3[[#This Row],[Discount]]</f>
        <v>3500</v>
      </c>
      <c r="M14" s="55">
        <f>Table3[[#This Row],[Net Sales]]-Table3[[#This Row],[Cost Price]]*Table3[[#This Row],[QTY SOLD]]</f>
        <v>1500</v>
      </c>
      <c r="N14" s="25"/>
      <c r="O14" s="25"/>
      <c r="P14" s="25"/>
      <c r="Q14" s="25"/>
      <c r="R14" s="25"/>
      <c r="S14" s="25"/>
    </row>
    <row r="15" spans="1:19" x14ac:dyDescent="0.25">
      <c r="A15" s="65">
        <v>46258</v>
      </c>
      <c r="B15" s="50">
        <v>6</v>
      </c>
      <c r="C15" s="50" t="s">
        <v>87</v>
      </c>
      <c r="D15" s="50" t="s">
        <v>469</v>
      </c>
      <c r="E15" s="50" t="str">
        <f>IF(D15="","",VLOOKUP(D15,'Product Master'!$B:$C,2,FALSE))</f>
        <v>Drinks</v>
      </c>
      <c r="F15" s="50" t="str">
        <f>IF(D15="","",IFERROR(VLOOKUP(D15,'Product Master'!$B:$G,3,FALSE),""))</f>
        <v>Pack</v>
      </c>
      <c r="G15" s="51">
        <v>5</v>
      </c>
      <c r="H15" s="52">
        <f>IF(D15="","",VLOOKUP(D15,'Product Master'!$B:$F,5,FALSE))</f>
        <v>20000</v>
      </c>
      <c r="I15" s="52">
        <f>IFERROR(VLOOKUP(D15,'Product Master'!B:E,4,FALSE),0)</f>
        <v>17000</v>
      </c>
      <c r="J15" s="53">
        <f>IFERROR(Table3[[#This Row],[QTY SOLD]]*Table3[[#This Row],[Selling Price]],0)</f>
        <v>100000</v>
      </c>
      <c r="K15" s="50"/>
      <c r="L15" s="54">
        <f>Table3[[#This Row],[Total Sales]]-Table3[[#This Row],[Discount]]</f>
        <v>100000</v>
      </c>
      <c r="M15" s="55">
        <f>Table3[[#This Row],[Net Sales]]-Table3[[#This Row],[Cost Price]]*Table3[[#This Row],[QTY SOLD]]</f>
        <v>15000</v>
      </c>
      <c r="N15" s="25"/>
      <c r="O15" s="25"/>
      <c r="P15" s="25"/>
      <c r="Q15" s="25"/>
      <c r="R15" s="25"/>
      <c r="S15" s="25"/>
    </row>
    <row r="16" spans="1:19" x14ac:dyDescent="0.25">
      <c r="A16" s="65">
        <v>46258</v>
      </c>
      <c r="B16" s="50">
        <v>6</v>
      </c>
      <c r="C16" s="50" t="s">
        <v>87</v>
      </c>
      <c r="D16" s="50" t="s">
        <v>468</v>
      </c>
      <c r="E16" s="50" t="str">
        <f>IF(D16="","",VLOOKUP(D16,'Product Master'!$B:$C,2,FALSE))</f>
        <v>Drinks</v>
      </c>
      <c r="F16" s="50" t="str">
        <f>IF(D16="","",IFERROR(VLOOKUP(D16,'Product Master'!$B:$G,3,FALSE),""))</f>
        <v>Pack</v>
      </c>
      <c r="G16" s="51">
        <v>7</v>
      </c>
      <c r="H16" s="52">
        <f>IF(D16="","",VLOOKUP(D16,'Product Master'!$B:$F,5,FALSE))</f>
        <v>8500</v>
      </c>
      <c r="I16" s="52">
        <f>IFERROR(VLOOKUP(D16,'Product Master'!B:E,4,FALSE),0)</f>
        <v>5000</v>
      </c>
      <c r="J16" s="53">
        <f>IFERROR(Table3[[#This Row],[QTY SOLD]]*Table3[[#This Row],[Selling Price]],0)</f>
        <v>59500</v>
      </c>
      <c r="K16" s="50"/>
      <c r="L16" s="54">
        <f>Table3[[#This Row],[Total Sales]]-Table3[[#This Row],[Discount]]</f>
        <v>59500</v>
      </c>
      <c r="M16" s="55">
        <f>Table3[[#This Row],[Net Sales]]-Table3[[#This Row],[Cost Price]]*Table3[[#This Row],[QTY SOLD]]</f>
        <v>24500</v>
      </c>
      <c r="N16" s="25"/>
      <c r="O16" s="25"/>
      <c r="P16" s="25"/>
      <c r="Q16" s="25"/>
      <c r="R16" s="25"/>
      <c r="S16" s="25"/>
    </row>
    <row r="17" spans="1:19" x14ac:dyDescent="0.25">
      <c r="A17" s="65">
        <f t="shared" si="0"/>
        <v>46259</v>
      </c>
      <c r="B17" s="50">
        <v>6</v>
      </c>
      <c r="C17" s="50" t="s">
        <v>88</v>
      </c>
      <c r="D17" s="50" t="s">
        <v>393</v>
      </c>
      <c r="E17" s="50" t="str">
        <f>IF(D17="","",VLOOKUP(D17,'Product Master'!$B:$C,2,FALSE))</f>
        <v>Food</v>
      </c>
      <c r="F17" s="50" t="str">
        <f>IF(D17="","",IFERROR(VLOOKUP(D17,'Product Master'!$B:$G,3,FALSE),""))</f>
        <v>Piece</v>
      </c>
      <c r="G17" s="51">
        <v>5</v>
      </c>
      <c r="H17" s="52">
        <f>IF(D17="","",VLOOKUP(D17,'Product Master'!$B:$F,5,FALSE))</f>
        <v>1000</v>
      </c>
      <c r="I17" s="52">
        <f>IFERROR(VLOOKUP(D17,'Product Master'!B:E,4,FALSE),0)</f>
        <v>700</v>
      </c>
      <c r="J17" s="53">
        <f>IFERROR(Table3[[#This Row],[QTY SOLD]]*Table3[[#This Row],[Selling Price]],0)</f>
        <v>5000</v>
      </c>
      <c r="K17" s="50"/>
      <c r="L17" s="54">
        <f>Table3[[#This Row],[Total Sales]]-Table3[[#This Row],[Discount]]</f>
        <v>5000</v>
      </c>
      <c r="M17" s="55">
        <f>Table3[[#This Row],[Net Sales]]-Table3[[#This Row],[Cost Price]]*Table3[[#This Row],[QTY SOLD]]</f>
        <v>1500</v>
      </c>
      <c r="N17" s="25"/>
      <c r="O17" s="25"/>
      <c r="P17" s="25"/>
      <c r="Q17" s="25"/>
      <c r="R17" s="25"/>
      <c r="S17" s="25"/>
    </row>
    <row r="18" spans="1:19" x14ac:dyDescent="0.25">
      <c r="A18" s="65">
        <f t="shared" si="0"/>
        <v>46260</v>
      </c>
      <c r="B18" s="50">
        <v>6</v>
      </c>
      <c r="C18" s="50" t="s">
        <v>87</v>
      </c>
      <c r="D18" s="50" t="s">
        <v>394</v>
      </c>
      <c r="E18" s="50" t="str">
        <f>IF(D18="","",VLOOKUP(D18,'Product Master'!$B:$C,2,FALSE))</f>
        <v>Food</v>
      </c>
      <c r="F18" s="50" t="str">
        <f>IF(D18="","",IFERROR(VLOOKUP(D18,'Product Master'!$B:$G,3,FALSE),""))</f>
        <v>Piece</v>
      </c>
      <c r="G18" s="51">
        <v>8</v>
      </c>
      <c r="H18" s="52">
        <f>IF(D18="","",VLOOKUP(D18,'Product Master'!$B:$F,5,FALSE))</f>
        <v>1200</v>
      </c>
      <c r="I18" s="52">
        <f>IFERROR(VLOOKUP(D18,'Product Master'!B:E,4,FALSE),0)</f>
        <v>900</v>
      </c>
      <c r="J18" s="53">
        <f>IFERROR(Table3[[#This Row],[QTY SOLD]]*Table3[[#This Row],[Selling Price]],0)</f>
        <v>9600</v>
      </c>
      <c r="K18" s="50"/>
      <c r="L18" s="54">
        <f>Table3[[#This Row],[Total Sales]]-Table3[[#This Row],[Discount]]</f>
        <v>9600</v>
      </c>
      <c r="M18" s="55">
        <f>Table3[[#This Row],[Net Sales]]-Table3[[#This Row],[Cost Price]]*Table3[[#This Row],[QTY SOLD]]</f>
        <v>2400</v>
      </c>
      <c r="N18" s="25"/>
      <c r="O18" s="25"/>
      <c r="P18" s="25"/>
      <c r="Q18" s="25"/>
      <c r="R18" s="25"/>
      <c r="S18" s="25"/>
    </row>
    <row r="19" spans="1:19" x14ac:dyDescent="0.25">
      <c r="A19" s="65">
        <v>46265</v>
      </c>
      <c r="B19" s="50">
        <v>7</v>
      </c>
      <c r="C19" s="50" t="s">
        <v>88</v>
      </c>
      <c r="D19" s="50" t="s">
        <v>467</v>
      </c>
      <c r="E19" s="50" t="str">
        <f>IF(D19="","",VLOOKUP(D19,'Product Master'!$B:$C,2,FALSE))</f>
        <v>Drinks</v>
      </c>
      <c r="F19" s="50" t="str">
        <f>IF(D19="","",IFERROR(VLOOKUP(D19,'Product Master'!$B:$G,3,FALSE),""))</f>
        <v>Pack</v>
      </c>
      <c r="G19" s="51">
        <v>5</v>
      </c>
      <c r="H19" s="52">
        <f>IF(D19="","",VLOOKUP(D19,'Product Master'!$B:$F,5,FALSE))</f>
        <v>1500</v>
      </c>
      <c r="I19" s="52">
        <f>IFERROR(VLOOKUP(D19,'Product Master'!B:E,4,FALSE),0)</f>
        <v>900</v>
      </c>
      <c r="J19" s="53">
        <f>IFERROR(Table3[[#This Row],[QTY SOLD]]*Table3[[#This Row],[Selling Price]],0)</f>
        <v>7500</v>
      </c>
      <c r="K19" s="50"/>
      <c r="L19" s="54">
        <f>Table3[[#This Row],[Total Sales]]-Table3[[#This Row],[Discount]]</f>
        <v>7500</v>
      </c>
      <c r="M19" s="55">
        <f>Table3[[#This Row],[Net Sales]]-Table3[[#This Row],[Cost Price]]*Table3[[#This Row],[QTY SOLD]]</f>
        <v>3000</v>
      </c>
      <c r="N19" s="25"/>
      <c r="O19" s="25"/>
      <c r="P19" s="25"/>
      <c r="Q19" s="25"/>
      <c r="R19" s="25"/>
      <c r="S19" s="25"/>
    </row>
    <row r="20" spans="1:19" x14ac:dyDescent="0.25">
      <c r="A20" s="65">
        <v>46265</v>
      </c>
      <c r="B20" s="50">
        <v>7</v>
      </c>
      <c r="C20" s="50" t="s">
        <v>88</v>
      </c>
      <c r="D20" s="50" t="s">
        <v>466</v>
      </c>
      <c r="E20" s="50" t="str">
        <f>IF(D20="","",VLOOKUP(D20,'Product Master'!$B:$C,2,FALSE))</f>
        <v>Drinks</v>
      </c>
      <c r="F20" s="50" t="str">
        <f>IF(D20="","",IFERROR(VLOOKUP(D20,'Product Master'!$B:$G,3,FALSE),""))</f>
        <v>Pack</v>
      </c>
      <c r="G20" s="51">
        <v>5</v>
      </c>
      <c r="H20" s="52">
        <f>IF(D20="","",VLOOKUP(D20,'Product Master'!$B:$F,5,FALSE))</f>
        <v>1500</v>
      </c>
      <c r="I20" s="52">
        <f>IFERROR(VLOOKUP(D20,'Product Master'!B:E,4,FALSE),0)</f>
        <v>1000</v>
      </c>
      <c r="J20" s="53">
        <f>IFERROR(Table3[[#This Row],[QTY SOLD]]*Table3[[#This Row],[Selling Price]],0)</f>
        <v>7500</v>
      </c>
      <c r="K20" s="50"/>
      <c r="L20" s="54">
        <f>Table3[[#This Row],[Total Sales]]-Table3[[#This Row],[Discount]]</f>
        <v>7500</v>
      </c>
      <c r="M20" s="55">
        <f>Table3[[#This Row],[Net Sales]]-Table3[[#This Row],[Cost Price]]*Table3[[#This Row],[QTY SOLD]]</f>
        <v>2500</v>
      </c>
      <c r="N20" s="25"/>
      <c r="O20" s="25"/>
      <c r="P20" s="25"/>
      <c r="Q20" s="25"/>
      <c r="R20" s="25"/>
      <c r="S20" s="25"/>
    </row>
    <row r="21" spans="1:19" x14ac:dyDescent="0.25">
      <c r="A21" s="65">
        <v>46265</v>
      </c>
      <c r="B21" s="50">
        <v>7</v>
      </c>
      <c r="C21" s="50" t="s">
        <v>88</v>
      </c>
      <c r="D21" s="50" t="s">
        <v>465</v>
      </c>
      <c r="E21" s="50" t="str">
        <f>IF(D21="","",VLOOKUP(D21,'Product Master'!$B:$C,2,FALSE))</f>
        <v>Snacks</v>
      </c>
      <c r="F21" s="50" t="str">
        <f>IF(D21="","",IFERROR(VLOOKUP(D21,'Product Master'!$B:$G,3,FALSE),""))</f>
        <v>Piece</v>
      </c>
      <c r="G21" s="51">
        <v>5</v>
      </c>
      <c r="H21" s="52">
        <f>IF(D21="","",VLOOKUP(D21,'Product Master'!$B:$F,5,FALSE))</f>
        <v>1500</v>
      </c>
      <c r="I21" s="52">
        <f>IFERROR(VLOOKUP(D21,'Product Master'!B:E,4,FALSE),0)</f>
        <v>800</v>
      </c>
      <c r="J21" s="53">
        <f>IFERROR(Table3[[#This Row],[QTY SOLD]]*Table3[[#This Row],[Selling Price]],0)</f>
        <v>7500</v>
      </c>
      <c r="K21" s="50"/>
      <c r="L21" s="54">
        <f>Table3[[#This Row],[Total Sales]]-Table3[[#This Row],[Discount]]</f>
        <v>7500</v>
      </c>
      <c r="M21" s="55">
        <f>Table3[[#This Row],[Net Sales]]-Table3[[#This Row],[Cost Price]]*Table3[[#This Row],[QTY SOLD]]</f>
        <v>3500</v>
      </c>
      <c r="N21" s="25"/>
      <c r="O21" s="25"/>
      <c r="P21" s="25"/>
      <c r="Q21" s="25"/>
      <c r="R21" s="25"/>
      <c r="S21" s="25"/>
    </row>
    <row r="22" spans="1:19" x14ac:dyDescent="0.25">
      <c r="A22" s="65">
        <v>46265</v>
      </c>
      <c r="B22" s="50">
        <v>7</v>
      </c>
      <c r="C22" s="50" t="s">
        <v>88</v>
      </c>
      <c r="D22" s="50" t="s">
        <v>464</v>
      </c>
      <c r="E22" s="50" t="str">
        <f>IF(D22="","",VLOOKUP(D22,'Product Master'!$B:$C,2,FALSE))</f>
        <v>Drinks</v>
      </c>
      <c r="F22" s="50" t="str">
        <f>IF(D22="","",IFERROR(VLOOKUP(D22,'Product Master'!$B:$G,3,FALSE),""))</f>
        <v>Pack</v>
      </c>
      <c r="G22" s="51">
        <v>5</v>
      </c>
      <c r="H22" s="52">
        <f>IF(D22="","",VLOOKUP(D22,'Product Master'!$B:$F,5,FALSE))</f>
        <v>1500</v>
      </c>
      <c r="I22" s="52">
        <f>IFERROR(VLOOKUP(D22,'Product Master'!B:E,4,FALSE),0)</f>
        <v>900</v>
      </c>
      <c r="J22" s="53">
        <f>IFERROR(Table3[[#This Row],[QTY SOLD]]*Table3[[#This Row],[Selling Price]],0)</f>
        <v>7500</v>
      </c>
      <c r="K22" s="50"/>
      <c r="L22" s="54">
        <f>Table3[[#This Row],[Total Sales]]-Table3[[#This Row],[Discount]]</f>
        <v>7500</v>
      </c>
      <c r="M22" s="55">
        <f>Table3[[#This Row],[Net Sales]]-Table3[[#This Row],[Cost Price]]*Table3[[#This Row],[QTY SOLD]]</f>
        <v>3000</v>
      </c>
      <c r="N22" s="25"/>
      <c r="O22" s="25"/>
      <c r="P22" s="25"/>
      <c r="Q22" s="25"/>
      <c r="R22" s="25"/>
      <c r="S22" s="25"/>
    </row>
    <row r="23" spans="1:19" x14ac:dyDescent="0.25">
      <c r="A23" s="65">
        <f t="shared" si="0"/>
        <v>46266</v>
      </c>
      <c r="B23" s="50"/>
      <c r="C23" s="50"/>
      <c r="D23" s="50"/>
      <c r="E23" s="50" t="str">
        <f>IF(D23="","",VLOOKUP(D23,'Product Master'!$B:$C,2,FALSE))</f>
        <v/>
      </c>
      <c r="F23" s="50" t="str">
        <f>IF(D23="","",IFERROR(VLOOKUP(D23,'Product Master'!$B:$G,3,FALSE),""))</f>
        <v/>
      </c>
      <c r="G23" s="51"/>
      <c r="H23" s="52" t="str">
        <f>IF(D23="","",VLOOKUP(D23,'Product Master'!$B:$F,5,FALSE))</f>
        <v/>
      </c>
      <c r="I23" s="52">
        <f>IFERROR(VLOOKUP(D23,'Product Master'!B:E,4,FALSE),0)</f>
        <v>0</v>
      </c>
      <c r="J23" s="53">
        <f>IFERROR(Table3[[#This Row],[QTY SOLD]]*Table3[[#This Row],[Selling Price]],0)</f>
        <v>0</v>
      </c>
      <c r="K23" s="50"/>
      <c r="L23" s="54">
        <f>Table3[[#This Row],[Total Sales]]-Table3[[#This Row],[Discount]]</f>
        <v>0</v>
      </c>
      <c r="M23" s="55">
        <f>Table3[[#This Row],[Net Sales]]-Table3[[#This Row],[Cost Price]]*Table3[[#This Row],[QTY SOLD]]</f>
        <v>0</v>
      </c>
      <c r="N23" s="25"/>
      <c r="O23" s="25"/>
      <c r="P23" s="25"/>
      <c r="Q23" s="25"/>
      <c r="R23" s="25"/>
      <c r="S23" s="25"/>
    </row>
    <row r="24" spans="1:19" x14ac:dyDescent="0.25">
      <c r="A24" s="65">
        <f t="shared" si="0"/>
        <v>46267</v>
      </c>
      <c r="B24" s="50"/>
      <c r="C24" s="50"/>
      <c r="D24" s="50"/>
      <c r="E24" s="50" t="str">
        <f>IF(D24="","",VLOOKUP(D24,'Product Master'!$B:$C,2,FALSE))</f>
        <v/>
      </c>
      <c r="F24" s="50" t="str">
        <f>IF(D24="","",IFERROR(VLOOKUP(D24,'Product Master'!$B:$G,3,FALSE),""))</f>
        <v/>
      </c>
      <c r="G24" s="51"/>
      <c r="H24" s="52" t="str">
        <f>IF(D24="","",VLOOKUP(D24,'Product Master'!$B:$F,5,FALSE))</f>
        <v/>
      </c>
      <c r="I24" s="52">
        <f>IFERROR(VLOOKUP(D24,'Product Master'!B:E,4,FALSE),0)</f>
        <v>0</v>
      </c>
      <c r="J24" s="53">
        <f>IFERROR(Table3[[#This Row],[QTY SOLD]]*Table3[[#This Row],[Selling Price]],0)</f>
        <v>0</v>
      </c>
      <c r="K24" s="50"/>
      <c r="L24" s="54">
        <f>Table3[[#This Row],[Total Sales]]-Table3[[#This Row],[Discount]]</f>
        <v>0</v>
      </c>
      <c r="M24" s="55">
        <f>Table3[[#This Row],[Net Sales]]-Table3[[#This Row],[Cost Price]]*Table3[[#This Row],[QTY SOLD]]</f>
        <v>0</v>
      </c>
      <c r="N24" s="25"/>
      <c r="O24" s="25"/>
      <c r="P24" s="25"/>
      <c r="Q24" s="25"/>
      <c r="R24" s="25"/>
      <c r="S24" s="25"/>
    </row>
    <row r="25" spans="1:19" x14ac:dyDescent="0.25">
      <c r="A25" s="65">
        <f t="shared" si="0"/>
        <v>46268</v>
      </c>
      <c r="B25" s="50"/>
      <c r="C25" s="50"/>
      <c r="D25" s="50"/>
      <c r="E25" s="50" t="str">
        <f>IF(D25="","",VLOOKUP(D25,'Product Master'!$B:$C,2,FALSE))</f>
        <v/>
      </c>
      <c r="F25" s="50" t="str">
        <f>IF(D25="","",IFERROR(VLOOKUP(D25,'Product Master'!$B:$G,3,FALSE),""))</f>
        <v/>
      </c>
      <c r="G25" s="51"/>
      <c r="H25" s="52" t="str">
        <f>IF(D25="","",VLOOKUP(D25,'Product Master'!$B:$F,5,FALSE))</f>
        <v/>
      </c>
      <c r="I25" s="52">
        <f>IFERROR(VLOOKUP(D25,'Product Master'!B:E,4,FALSE),0)</f>
        <v>0</v>
      </c>
      <c r="J25" s="53">
        <f>IFERROR(Table3[[#This Row],[QTY SOLD]]*Table3[[#This Row],[Selling Price]],0)</f>
        <v>0</v>
      </c>
      <c r="K25" s="50"/>
      <c r="L25" s="54">
        <f>Table3[[#This Row],[Total Sales]]-Table3[[#This Row],[Discount]]</f>
        <v>0</v>
      </c>
      <c r="M25" s="55">
        <f>Table3[[#This Row],[Net Sales]]-Table3[[#This Row],[Cost Price]]*Table3[[#This Row],[QTY SOLD]]</f>
        <v>0</v>
      </c>
      <c r="N25" s="25"/>
      <c r="O25" s="25"/>
      <c r="P25" s="25"/>
      <c r="Q25" s="25"/>
      <c r="R25" s="25"/>
      <c r="S25" s="25"/>
    </row>
    <row r="26" spans="1:19" x14ac:dyDescent="0.25">
      <c r="A26" s="65">
        <f t="shared" si="0"/>
        <v>46269</v>
      </c>
      <c r="B26" s="50"/>
      <c r="C26" s="50"/>
      <c r="D26" s="50"/>
      <c r="E26" s="50" t="str">
        <f>IF(D26="","",VLOOKUP(D26,'Product Master'!$B:$C,2,FALSE))</f>
        <v/>
      </c>
      <c r="F26" s="50" t="str">
        <f>IF(D26="","",IFERROR(VLOOKUP(D26,'Product Master'!$B:$G,3,FALSE),""))</f>
        <v/>
      </c>
      <c r="G26" s="51"/>
      <c r="H26" s="52" t="str">
        <f>IF(D26="","",VLOOKUP(D26,'Product Master'!$B:$F,5,FALSE))</f>
        <v/>
      </c>
      <c r="I26" s="52">
        <f>IFERROR(VLOOKUP(D26,'Product Master'!B:E,4,FALSE),0)</f>
        <v>0</v>
      </c>
      <c r="J26" s="53">
        <f>IFERROR(Table3[[#This Row],[QTY SOLD]]*Table3[[#This Row],[Selling Price]],0)</f>
        <v>0</v>
      </c>
      <c r="K26" s="50"/>
      <c r="L26" s="54">
        <f>Table3[[#This Row],[Total Sales]]-Table3[[#This Row],[Discount]]</f>
        <v>0</v>
      </c>
      <c r="M26" s="55">
        <f>Table3[[#This Row],[Net Sales]]-Table3[[#This Row],[Cost Price]]*Table3[[#This Row],[QTY SOLD]]</f>
        <v>0</v>
      </c>
      <c r="N26" s="25"/>
      <c r="O26" s="25"/>
      <c r="P26" s="25"/>
      <c r="Q26" s="25"/>
      <c r="R26" s="25"/>
      <c r="S26" s="25"/>
    </row>
    <row r="27" spans="1:19" x14ac:dyDescent="0.25">
      <c r="A27" s="65">
        <f t="shared" si="0"/>
        <v>46270</v>
      </c>
      <c r="B27" s="50"/>
      <c r="C27" s="50"/>
      <c r="D27" s="50"/>
      <c r="E27" s="50" t="str">
        <f>IF(D27="","",VLOOKUP(D27,'Product Master'!$B:$C,2,FALSE))</f>
        <v/>
      </c>
      <c r="F27" s="50" t="str">
        <f>IF(D27="","",IFERROR(VLOOKUP(D27,'Product Master'!$B:$G,3,FALSE),""))</f>
        <v/>
      </c>
      <c r="G27" s="51"/>
      <c r="H27" s="52" t="str">
        <f>IF(D27="","",VLOOKUP(D27,'Product Master'!$B:$F,5,FALSE))</f>
        <v/>
      </c>
      <c r="I27" s="52">
        <f>IFERROR(VLOOKUP(D27,'Product Master'!B:E,4,FALSE),0)</f>
        <v>0</v>
      </c>
      <c r="J27" s="53">
        <f>IFERROR(Table3[[#This Row],[QTY SOLD]]*Table3[[#This Row],[Selling Price]],0)</f>
        <v>0</v>
      </c>
      <c r="K27" s="50"/>
      <c r="L27" s="54">
        <f>Table3[[#This Row],[Total Sales]]-Table3[[#This Row],[Discount]]</f>
        <v>0</v>
      </c>
      <c r="M27" s="55">
        <f>Table3[[#This Row],[Net Sales]]-Table3[[#This Row],[Cost Price]]*Table3[[#This Row],[QTY SOLD]]</f>
        <v>0</v>
      </c>
      <c r="N27" s="25"/>
      <c r="O27" s="25"/>
      <c r="P27" s="25"/>
      <c r="Q27" s="25"/>
      <c r="R27" s="25"/>
      <c r="S27" s="25"/>
    </row>
    <row r="28" spans="1:19" x14ac:dyDescent="0.25">
      <c r="A28" s="65">
        <f t="shared" si="0"/>
        <v>46271</v>
      </c>
      <c r="B28" s="50"/>
      <c r="C28" s="50"/>
      <c r="D28" s="50"/>
      <c r="E28" s="50" t="str">
        <f>IF(D28="","",VLOOKUP(D28,'Product Master'!$B:$C,2,FALSE))</f>
        <v/>
      </c>
      <c r="F28" s="50" t="str">
        <f>IF(D28="","",IFERROR(VLOOKUP(D28,'Product Master'!$B:$G,3,FALSE),""))</f>
        <v/>
      </c>
      <c r="G28" s="51"/>
      <c r="H28" s="52" t="str">
        <f>IF(D28="","",VLOOKUP(D28,'Product Master'!$B:$F,5,FALSE))</f>
        <v/>
      </c>
      <c r="I28" s="52">
        <f>IFERROR(VLOOKUP(D28,'Product Master'!B:E,4,FALSE),0)</f>
        <v>0</v>
      </c>
      <c r="J28" s="53">
        <f>IFERROR(Table3[[#This Row],[QTY SOLD]]*Table3[[#This Row],[Selling Price]],0)</f>
        <v>0</v>
      </c>
      <c r="K28" s="50"/>
      <c r="L28" s="54">
        <f>Table3[[#This Row],[Total Sales]]-Table3[[#This Row],[Discount]]</f>
        <v>0</v>
      </c>
      <c r="M28" s="55">
        <f>Table3[[#This Row],[Net Sales]]-Table3[[#This Row],[Cost Price]]*Table3[[#This Row],[QTY SOLD]]</f>
        <v>0</v>
      </c>
      <c r="N28" s="25"/>
      <c r="O28" s="25"/>
      <c r="P28" s="25"/>
      <c r="Q28" s="25"/>
      <c r="R28" s="25"/>
      <c r="S28" s="25"/>
    </row>
    <row r="29" spans="1:19" x14ac:dyDescent="0.25">
      <c r="A29" s="65">
        <f t="shared" si="0"/>
        <v>46272</v>
      </c>
      <c r="B29" s="50"/>
      <c r="C29" s="50"/>
      <c r="D29" s="50"/>
      <c r="E29" s="50" t="str">
        <f>IF(D29="","",VLOOKUP(D29,'Product Master'!$B:$C,2,FALSE))</f>
        <v/>
      </c>
      <c r="F29" s="50" t="str">
        <f>IF(D29="","",IFERROR(VLOOKUP(D29,'Product Master'!$B:$G,3,FALSE),""))</f>
        <v/>
      </c>
      <c r="G29" s="51"/>
      <c r="H29" s="52" t="str">
        <f>IF(D29="","",VLOOKUP(D29,'Product Master'!$B:$F,5,FALSE))</f>
        <v/>
      </c>
      <c r="I29" s="52">
        <f>IFERROR(VLOOKUP(D29,'Product Master'!B:E,4,FALSE),0)</f>
        <v>0</v>
      </c>
      <c r="J29" s="53">
        <f>IFERROR(Table3[[#This Row],[QTY SOLD]]*Table3[[#This Row],[Selling Price]],0)</f>
        <v>0</v>
      </c>
      <c r="K29" s="50"/>
      <c r="L29" s="54">
        <f>Table3[[#This Row],[Total Sales]]-Table3[[#This Row],[Discount]]</f>
        <v>0</v>
      </c>
      <c r="M29" s="55">
        <f>Table3[[#This Row],[Net Sales]]-Table3[[#This Row],[Cost Price]]*Table3[[#This Row],[QTY SOLD]]</f>
        <v>0</v>
      </c>
      <c r="N29" s="25"/>
      <c r="O29" s="25"/>
      <c r="P29" s="25"/>
      <c r="Q29" s="25"/>
      <c r="R29" s="25"/>
      <c r="S29" s="25"/>
    </row>
    <row r="30" spans="1:19" x14ac:dyDescent="0.25">
      <c r="A30" s="65">
        <f t="shared" si="0"/>
        <v>46273</v>
      </c>
      <c r="B30" s="50"/>
      <c r="C30" s="50"/>
      <c r="D30" s="50"/>
      <c r="E30" s="50" t="str">
        <f>IF(D30="","",VLOOKUP(D30,'Product Master'!$B:$C,2,FALSE))</f>
        <v/>
      </c>
      <c r="F30" s="50" t="str">
        <f>IF(D30="","",IFERROR(VLOOKUP(D30,'Product Master'!$B:$G,3,FALSE),""))</f>
        <v/>
      </c>
      <c r="G30" s="51"/>
      <c r="H30" s="52" t="str">
        <f>IF(D30="","",VLOOKUP(D30,'Product Master'!$B:$F,5,FALSE))</f>
        <v/>
      </c>
      <c r="I30" s="52">
        <f>IFERROR(VLOOKUP(D30,'Product Master'!B:E,4,FALSE),0)</f>
        <v>0</v>
      </c>
      <c r="J30" s="53">
        <f>IFERROR(Table3[[#This Row],[QTY SOLD]]*Table3[[#This Row],[Selling Price]],0)</f>
        <v>0</v>
      </c>
      <c r="K30" s="50"/>
      <c r="L30" s="54">
        <f>Table3[[#This Row],[Total Sales]]-Table3[[#This Row],[Discount]]</f>
        <v>0</v>
      </c>
      <c r="M30" s="55">
        <f>Table3[[#This Row],[Net Sales]]-Table3[[#This Row],[Cost Price]]*Table3[[#This Row],[QTY SOLD]]</f>
        <v>0</v>
      </c>
      <c r="N30" s="25"/>
      <c r="O30" s="25"/>
      <c r="P30" s="25"/>
      <c r="Q30" s="25"/>
      <c r="R30" s="25"/>
      <c r="S30" s="25"/>
    </row>
    <row r="31" spans="1:19" x14ac:dyDescent="0.25">
      <c r="A31" s="65">
        <f t="shared" si="0"/>
        <v>46274</v>
      </c>
      <c r="B31" s="50"/>
      <c r="C31" s="50"/>
      <c r="D31" s="50"/>
      <c r="E31" s="50" t="str">
        <f>IF(D31="","",VLOOKUP(D31,'Product Master'!$B:$C,2,FALSE))</f>
        <v/>
      </c>
      <c r="F31" s="50" t="str">
        <f>IF(D31="","",IFERROR(VLOOKUP(D31,'Product Master'!$B:$G,3,FALSE),""))</f>
        <v/>
      </c>
      <c r="G31" s="51"/>
      <c r="H31" s="52" t="str">
        <f>IF(D31="","",VLOOKUP(D31,'Product Master'!$B:$F,5,FALSE))</f>
        <v/>
      </c>
      <c r="I31" s="52">
        <f>IFERROR(VLOOKUP(D31,'Product Master'!B:E,4,FALSE),0)</f>
        <v>0</v>
      </c>
      <c r="J31" s="53">
        <f>IFERROR(Table3[[#This Row],[QTY SOLD]]*Table3[[#This Row],[Selling Price]],0)</f>
        <v>0</v>
      </c>
      <c r="K31" s="50"/>
      <c r="L31" s="54">
        <f>Table3[[#This Row],[Total Sales]]-Table3[[#This Row],[Discount]]</f>
        <v>0</v>
      </c>
      <c r="M31" s="55">
        <f>Table3[[#This Row],[Net Sales]]-Table3[[#This Row],[Cost Price]]*Table3[[#This Row],[QTY SOLD]]</f>
        <v>0</v>
      </c>
      <c r="N31" s="25"/>
      <c r="O31" s="25"/>
      <c r="P31" s="25"/>
      <c r="Q31" s="25"/>
      <c r="R31" s="25"/>
      <c r="S31" s="25"/>
    </row>
    <row r="32" spans="1:19" x14ac:dyDescent="0.25">
      <c r="A32" s="65">
        <f t="shared" si="0"/>
        <v>46275</v>
      </c>
      <c r="B32" s="56"/>
      <c r="C32" s="50"/>
      <c r="D32" s="50"/>
      <c r="E32" s="56" t="str">
        <f>IF(D32="","",VLOOKUP(D32,'Product Master'!$B:$C,2,FALSE))</f>
        <v/>
      </c>
      <c r="F32" s="50" t="str">
        <f>IF(D32="","",IFERROR(VLOOKUP(D32,'Product Master'!$B:$G,3,FALSE),""))</f>
        <v/>
      </c>
      <c r="G32" s="51"/>
      <c r="H32" s="52" t="str">
        <f>IF(D32="","",VLOOKUP(D32,'Product Master'!$B:$F,5,FALSE))</f>
        <v/>
      </c>
      <c r="I32" s="57">
        <f>IFERROR(VLOOKUP(D32,'Product Master'!B:E,4,FALSE),0)</f>
        <v>0</v>
      </c>
      <c r="J32" s="53">
        <f>IFERROR(Table3[[#This Row],[QTY SOLD]]*Table3[[#This Row],[Selling Price]],0)</f>
        <v>0</v>
      </c>
      <c r="K32" s="56"/>
      <c r="L32" s="54">
        <f>Table3[[#This Row],[Total Sales]]-Table3[[#This Row],[Discount]]</f>
        <v>0</v>
      </c>
      <c r="M32" s="55">
        <f>Table3[[#This Row],[Net Sales]]-Table3[[#This Row],[Cost Price]]*Table3[[#This Row],[QTY SOLD]]</f>
        <v>0</v>
      </c>
      <c r="N32" s="25"/>
      <c r="O32" s="25"/>
      <c r="P32" s="25"/>
      <c r="Q32" s="25"/>
      <c r="R32" s="25"/>
      <c r="S32" s="25"/>
    </row>
    <row r="33" spans="1:19" x14ac:dyDescent="0.25">
      <c r="A33" s="65"/>
      <c r="B33" s="50"/>
      <c r="C33" s="50"/>
      <c r="D33" s="50"/>
      <c r="E33" s="50" t="str">
        <f>IF(D33="","",VLOOKUP(D33,'Product Master'!$B:$C,2,FALSE))</f>
        <v/>
      </c>
      <c r="F33" s="50" t="str">
        <f>IF(D33="","",IFERROR(VLOOKUP(D33,'Product Master'!$B:$G,3,FALSE),""))</f>
        <v/>
      </c>
      <c r="G33" s="51"/>
      <c r="H33" s="52" t="str">
        <f>IF(D33="","",VLOOKUP(D33,'Product Master'!$B:$F,5,FALSE))</f>
        <v/>
      </c>
      <c r="I33" s="52">
        <f>IFERROR(VLOOKUP(D33,'Product Master'!B:E,4,FALSE),0)</f>
        <v>0</v>
      </c>
      <c r="J33" s="53">
        <f>IFERROR(Table3[[#This Row],[QTY SOLD]]*Table3[[#This Row],[Selling Price]],0)</f>
        <v>0</v>
      </c>
      <c r="K33" s="50"/>
      <c r="L33" s="50">
        <f>Table3[[#This Row],[Total Sales]]-Table3[[#This Row],[Discount]]</f>
        <v>0</v>
      </c>
      <c r="M33" s="58">
        <f>Table3[[#This Row],[Net Sales]]-Table3[[#This Row],[Cost Price]]*Table3[[#This Row],[QTY SOLD]]</f>
        <v>0</v>
      </c>
      <c r="N33" s="25"/>
      <c r="O33" s="25"/>
      <c r="P33" s="25"/>
      <c r="Q33" s="25"/>
      <c r="R33" s="25"/>
      <c r="S33" s="25"/>
    </row>
    <row r="34" spans="1:19" x14ac:dyDescent="0.25">
      <c r="A34" s="65"/>
      <c r="B34" s="50"/>
      <c r="C34" s="50"/>
      <c r="D34" s="50"/>
      <c r="E34" s="50" t="str">
        <f>IF(D34="","",VLOOKUP(D34,'Product Master'!$B:$C,2,FALSE))</f>
        <v/>
      </c>
      <c r="F34" s="50" t="str">
        <f>IF(D34="","",IFERROR(VLOOKUP(D34,'Product Master'!$B:$G,3,FALSE),""))</f>
        <v/>
      </c>
      <c r="G34" s="51"/>
      <c r="H34" s="52" t="str">
        <f>IF(D34="","",VLOOKUP(D34,'Product Master'!$B:$F,5,FALSE))</f>
        <v/>
      </c>
      <c r="I34" s="52">
        <f>IFERROR(VLOOKUP(D34,'Product Master'!B:E,4,FALSE),0)</f>
        <v>0</v>
      </c>
      <c r="J34" s="53">
        <f>IFERROR(Table3[[#This Row],[QTY SOLD]]*Table3[[#This Row],[Selling Price]],0)</f>
        <v>0</v>
      </c>
      <c r="K34" s="50"/>
      <c r="L34" s="50">
        <f>Table3[[#This Row],[Total Sales]]-Table3[[#This Row],[Discount]]</f>
        <v>0</v>
      </c>
      <c r="M34" s="58">
        <f>Table3[[#This Row],[Net Sales]]-Table3[[#This Row],[Cost Price]]*Table3[[#This Row],[QTY SOLD]]</f>
        <v>0</v>
      </c>
      <c r="N34" s="25"/>
      <c r="O34" s="25"/>
      <c r="P34" s="25"/>
      <c r="Q34" s="25"/>
      <c r="R34" s="25"/>
      <c r="S34" s="25"/>
    </row>
    <row r="35" spans="1:19" x14ac:dyDescent="0.25">
      <c r="A35" s="65"/>
      <c r="B35" s="50"/>
      <c r="C35" s="50"/>
      <c r="D35" s="50"/>
      <c r="E35" s="50" t="str">
        <f>IF(D35="","",VLOOKUP(D35,'Product Master'!$B:$C,2,FALSE))</f>
        <v/>
      </c>
      <c r="F35" s="50" t="str">
        <f>IF(D35="","",IFERROR(VLOOKUP(D35,'Product Master'!$B:$G,3,FALSE),""))</f>
        <v/>
      </c>
      <c r="G35" s="51"/>
      <c r="H35" s="52" t="str">
        <f>IF(D35="","",VLOOKUP(D35,'Product Master'!$B:$F,5,FALSE))</f>
        <v/>
      </c>
      <c r="I35" s="52">
        <f>IFERROR(VLOOKUP(D35,'Product Master'!B:E,4,FALSE),0)</f>
        <v>0</v>
      </c>
      <c r="J35" s="53">
        <f>IFERROR(Table3[[#This Row],[QTY SOLD]]*Table3[[#This Row],[Selling Price]],0)</f>
        <v>0</v>
      </c>
      <c r="K35" s="50"/>
      <c r="L35" s="50">
        <f>Table3[[#This Row],[Total Sales]]-Table3[[#This Row],[Discount]]</f>
        <v>0</v>
      </c>
      <c r="M35" s="58">
        <f>Table3[[#This Row],[Net Sales]]-Table3[[#This Row],[Cost Price]]*Table3[[#This Row],[QTY SOLD]]</f>
        <v>0</v>
      </c>
      <c r="N35" s="25"/>
      <c r="O35" s="25"/>
      <c r="P35" s="25"/>
      <c r="Q35" s="25"/>
      <c r="R35" s="25"/>
      <c r="S35" s="25"/>
    </row>
    <row r="36" spans="1:19" x14ac:dyDescent="0.25">
      <c r="A36" s="65"/>
      <c r="B36" s="50"/>
      <c r="C36" s="50"/>
      <c r="D36" s="50"/>
      <c r="E36" s="50" t="str">
        <f>IF(D36="","",VLOOKUP(D36,'Product Master'!$B:$C,2,FALSE))</f>
        <v/>
      </c>
      <c r="F36" s="50" t="str">
        <f>IF(D36="","",IFERROR(VLOOKUP(D36,'Product Master'!$B:$G,3,FALSE),""))</f>
        <v/>
      </c>
      <c r="G36" s="51"/>
      <c r="H36" s="52" t="str">
        <f>IF(D36="","",VLOOKUP(D36,'Product Master'!$B:$F,5,FALSE))</f>
        <v/>
      </c>
      <c r="I36" s="52">
        <f>IFERROR(VLOOKUP(D36,'Product Master'!B:E,4,FALSE),0)</f>
        <v>0</v>
      </c>
      <c r="J36" s="53">
        <f>IFERROR(Table3[[#This Row],[QTY SOLD]]*Table3[[#This Row],[Selling Price]],0)</f>
        <v>0</v>
      </c>
      <c r="K36" s="50"/>
      <c r="L36" s="50">
        <f>Table3[[#This Row],[Total Sales]]-Table3[[#This Row],[Discount]]</f>
        <v>0</v>
      </c>
      <c r="M36" s="58">
        <f>Table3[[#This Row],[Net Sales]]-Table3[[#This Row],[Cost Price]]*Table3[[#This Row],[QTY SOLD]]</f>
        <v>0</v>
      </c>
      <c r="N36" s="25"/>
      <c r="O36" s="25"/>
      <c r="P36" s="25"/>
      <c r="Q36" s="25"/>
      <c r="R36" s="25"/>
      <c r="S36" s="25"/>
    </row>
    <row r="37" spans="1:19" x14ac:dyDescent="0.25">
      <c r="A37" s="65"/>
      <c r="B37" s="50"/>
      <c r="C37" s="50"/>
      <c r="D37" s="50"/>
      <c r="E37" s="50" t="str">
        <f>IF(D37="","",VLOOKUP(D37,'Product Master'!$B:$C,2,FALSE))</f>
        <v/>
      </c>
      <c r="F37" s="50" t="str">
        <f>IF(D37="","",IFERROR(VLOOKUP(D37,'Product Master'!$B:$G,3,FALSE),""))</f>
        <v/>
      </c>
      <c r="G37" s="51"/>
      <c r="H37" s="52" t="str">
        <f>IF(D37="","",VLOOKUP(D37,'Product Master'!$B:$F,5,FALSE))</f>
        <v/>
      </c>
      <c r="I37" s="52">
        <f>IFERROR(VLOOKUP(D37,'Product Master'!B:E,4,FALSE),0)</f>
        <v>0</v>
      </c>
      <c r="J37" s="53">
        <f>IFERROR(Table3[[#This Row],[QTY SOLD]]*Table3[[#This Row],[Selling Price]],0)</f>
        <v>0</v>
      </c>
      <c r="K37" s="50"/>
      <c r="L37" s="50">
        <f>Table3[[#This Row],[Total Sales]]-Table3[[#This Row],[Discount]]</f>
        <v>0</v>
      </c>
      <c r="M37" s="58">
        <f>Table3[[#This Row],[Net Sales]]-Table3[[#This Row],[Cost Price]]*Table3[[#This Row],[QTY SOLD]]</f>
        <v>0</v>
      </c>
      <c r="N37" s="25"/>
      <c r="O37" s="25"/>
      <c r="P37" s="25"/>
      <c r="Q37" s="25"/>
      <c r="R37" s="25"/>
      <c r="S37" s="25"/>
    </row>
    <row r="38" spans="1:19" x14ac:dyDescent="0.25">
      <c r="A38" s="65"/>
      <c r="B38" s="50"/>
      <c r="C38" s="50"/>
      <c r="D38" s="50"/>
      <c r="E38" s="50" t="str">
        <f>IF(D38="","",VLOOKUP(D38,'Product Master'!$B:$C,2,FALSE))</f>
        <v/>
      </c>
      <c r="F38" s="50" t="str">
        <f>IF(D38="","",IFERROR(VLOOKUP(D38,'Product Master'!$B:$G,3,FALSE),""))</f>
        <v/>
      </c>
      <c r="G38" s="51"/>
      <c r="H38" s="52" t="str">
        <f>IF(D38="","",VLOOKUP(D38,'Product Master'!$B:$F,5,FALSE))</f>
        <v/>
      </c>
      <c r="I38" s="52">
        <f>IFERROR(VLOOKUP(D38,'Product Master'!B:E,4,FALSE),0)</f>
        <v>0</v>
      </c>
      <c r="J38" s="53">
        <f>IFERROR(Table3[[#This Row],[QTY SOLD]]*Table3[[#This Row],[Selling Price]],0)</f>
        <v>0</v>
      </c>
      <c r="K38" s="50"/>
      <c r="L38" s="50">
        <f>Table3[[#This Row],[Total Sales]]-Table3[[#This Row],[Discount]]</f>
        <v>0</v>
      </c>
      <c r="M38" s="58">
        <f>Table3[[#This Row],[Net Sales]]-Table3[[#This Row],[Cost Price]]*Table3[[#This Row],[QTY SOLD]]</f>
        <v>0</v>
      </c>
      <c r="N38" s="25"/>
      <c r="O38" s="25"/>
      <c r="P38" s="25"/>
      <c r="Q38" s="25"/>
      <c r="R38" s="25"/>
      <c r="S38" s="25"/>
    </row>
    <row r="39" spans="1:19" x14ac:dyDescent="0.25">
      <c r="A39" s="65"/>
      <c r="B39" s="50"/>
      <c r="C39" s="50"/>
      <c r="D39" s="50"/>
      <c r="E39" s="50" t="str">
        <f>IF(D39="","",VLOOKUP(D39,'Product Master'!$B:$C,2,FALSE))</f>
        <v/>
      </c>
      <c r="F39" s="50" t="str">
        <f>IF(D39="","",IFERROR(VLOOKUP(D39,'Product Master'!$B:$G,3,FALSE),""))</f>
        <v/>
      </c>
      <c r="G39" s="51"/>
      <c r="H39" s="52" t="str">
        <f>IF(D39="","",VLOOKUP(D39,'Product Master'!$B:$F,5,FALSE))</f>
        <v/>
      </c>
      <c r="I39" s="52">
        <f>IFERROR(VLOOKUP(D39,'Product Master'!B:E,4,FALSE),0)</f>
        <v>0</v>
      </c>
      <c r="J39" s="53">
        <f>IFERROR(Table3[[#This Row],[QTY SOLD]]*Table3[[#This Row],[Selling Price]],0)</f>
        <v>0</v>
      </c>
      <c r="K39" s="50"/>
      <c r="L39" s="50">
        <f>Table3[[#This Row],[Total Sales]]-Table3[[#This Row],[Discount]]</f>
        <v>0</v>
      </c>
      <c r="M39" s="58">
        <f>Table3[[#This Row],[Net Sales]]-Table3[[#This Row],[Cost Price]]*Table3[[#This Row],[QTY SOLD]]</f>
        <v>0</v>
      </c>
      <c r="N39" s="25"/>
      <c r="O39" s="25"/>
      <c r="P39" s="25"/>
      <c r="Q39" s="25"/>
      <c r="R39" s="25"/>
      <c r="S39" s="25"/>
    </row>
    <row r="40" spans="1:19" x14ac:dyDescent="0.25">
      <c r="A40" s="65"/>
      <c r="B40" s="50"/>
      <c r="C40" s="50"/>
      <c r="D40" s="50"/>
      <c r="E40" s="50" t="str">
        <f>IF(D40="","",VLOOKUP(D40,'Product Master'!$B:$C,2,FALSE))</f>
        <v/>
      </c>
      <c r="F40" s="50" t="str">
        <f>IF(D40="","",IFERROR(VLOOKUP(D40,'Product Master'!$B:$G,3,FALSE),""))</f>
        <v/>
      </c>
      <c r="G40" s="51"/>
      <c r="H40" s="52" t="str">
        <f>IF(D40="","",VLOOKUP(D40,'Product Master'!$B:$F,5,FALSE))</f>
        <v/>
      </c>
      <c r="I40" s="52">
        <f>IFERROR(VLOOKUP(D40,'Product Master'!B:E,4,FALSE),0)</f>
        <v>0</v>
      </c>
      <c r="J40" s="53">
        <f>IFERROR(Table3[[#This Row],[QTY SOLD]]*Table3[[#This Row],[Selling Price]],0)</f>
        <v>0</v>
      </c>
      <c r="K40" s="50"/>
      <c r="L40" s="50">
        <f>Table3[[#This Row],[Total Sales]]-Table3[[#This Row],[Discount]]</f>
        <v>0</v>
      </c>
      <c r="M40" s="58">
        <f>Table3[[#This Row],[Net Sales]]-Table3[[#This Row],[Cost Price]]*Table3[[#This Row],[QTY SOLD]]</f>
        <v>0</v>
      </c>
      <c r="N40" s="25"/>
      <c r="O40" s="25"/>
      <c r="P40" s="25"/>
      <c r="Q40" s="25"/>
      <c r="R40" s="25"/>
      <c r="S40" s="25"/>
    </row>
    <row r="41" spans="1:19" x14ac:dyDescent="0.25">
      <c r="A41" s="65"/>
      <c r="B41" s="50"/>
      <c r="C41" s="50"/>
      <c r="D41" s="50"/>
      <c r="E41" s="50" t="str">
        <f>IF(D41="","",VLOOKUP(D41,'Product Master'!$B:$C,2,FALSE))</f>
        <v/>
      </c>
      <c r="F41" s="50" t="str">
        <f>IF(D41="","",IFERROR(VLOOKUP(D41,'Product Master'!$B:$G,3,FALSE),""))</f>
        <v/>
      </c>
      <c r="G41" s="51"/>
      <c r="H41" s="52" t="str">
        <f>IF(D41="","",VLOOKUP(D41,'Product Master'!$B:$F,5,FALSE))</f>
        <v/>
      </c>
      <c r="I41" s="52">
        <f>IFERROR(VLOOKUP(D41,'Product Master'!B:E,4,FALSE),0)</f>
        <v>0</v>
      </c>
      <c r="J41" s="53">
        <f>IFERROR(Table3[[#This Row],[QTY SOLD]]*Table3[[#This Row],[Selling Price]],0)</f>
        <v>0</v>
      </c>
      <c r="K41" s="50"/>
      <c r="L41" s="50">
        <f>Table3[[#This Row],[Total Sales]]-Table3[[#This Row],[Discount]]</f>
        <v>0</v>
      </c>
      <c r="M41" s="58">
        <f>Table3[[#This Row],[Net Sales]]-Table3[[#This Row],[Cost Price]]*Table3[[#This Row],[QTY SOLD]]</f>
        <v>0</v>
      </c>
      <c r="N41" s="25"/>
      <c r="O41" s="25"/>
      <c r="P41" s="25"/>
      <c r="Q41" s="25"/>
      <c r="R41" s="25"/>
      <c r="S41" s="25"/>
    </row>
    <row r="42" spans="1:19" x14ac:dyDescent="0.25">
      <c r="A42" s="65"/>
      <c r="B42" s="50"/>
      <c r="C42" s="50"/>
      <c r="D42" s="50"/>
      <c r="E42" s="50" t="str">
        <f>IF(D42="","",VLOOKUP(D42,'Product Master'!$B:$C,2,FALSE))</f>
        <v/>
      </c>
      <c r="F42" s="50" t="str">
        <f>IF(D42="","",IFERROR(VLOOKUP(D42,'Product Master'!$B:$G,3,FALSE),""))</f>
        <v/>
      </c>
      <c r="G42" s="51"/>
      <c r="H42" s="52" t="str">
        <f>IF(D42="","",VLOOKUP(D42,'Product Master'!$B:$F,5,FALSE))</f>
        <v/>
      </c>
      <c r="I42" s="52">
        <f>IFERROR(VLOOKUP(D42,'Product Master'!B:E,4,FALSE),0)</f>
        <v>0</v>
      </c>
      <c r="J42" s="53">
        <f>IFERROR(Table3[[#This Row],[QTY SOLD]]*Table3[[#This Row],[Selling Price]],0)</f>
        <v>0</v>
      </c>
      <c r="K42" s="50"/>
      <c r="L42" s="50">
        <f>Table3[[#This Row],[Total Sales]]-Table3[[#This Row],[Discount]]</f>
        <v>0</v>
      </c>
      <c r="M42" s="58">
        <f>Table3[[#This Row],[Net Sales]]-Table3[[#This Row],[Cost Price]]*Table3[[#This Row],[QTY SOLD]]</f>
        <v>0</v>
      </c>
      <c r="N42" s="25"/>
      <c r="O42" s="25"/>
      <c r="P42" s="25"/>
      <c r="Q42" s="25"/>
      <c r="R42" s="25"/>
      <c r="S42" s="25"/>
    </row>
    <row r="43" spans="1:19" x14ac:dyDescent="0.25">
      <c r="A43" s="65"/>
      <c r="B43" s="50"/>
      <c r="C43" s="50"/>
      <c r="D43" s="50"/>
      <c r="E43" s="50" t="str">
        <f>IF(D43="","",VLOOKUP(D43,'Product Master'!$B:$C,2,FALSE))</f>
        <v/>
      </c>
      <c r="F43" s="50" t="str">
        <f>IF(D43="","",IFERROR(VLOOKUP(D43,'Product Master'!$B:$G,3,FALSE),""))</f>
        <v/>
      </c>
      <c r="G43" s="51"/>
      <c r="H43" s="52" t="str">
        <f>IF(D43="","",VLOOKUP(D43,'Product Master'!$B:$F,5,FALSE))</f>
        <v/>
      </c>
      <c r="I43" s="52">
        <f>IFERROR(VLOOKUP(D43,'Product Master'!B:E,4,FALSE),0)</f>
        <v>0</v>
      </c>
      <c r="J43" s="53">
        <f>IFERROR(Table3[[#This Row],[QTY SOLD]]*Table3[[#This Row],[Selling Price]],0)</f>
        <v>0</v>
      </c>
      <c r="K43" s="50"/>
      <c r="L43" s="50">
        <f>Table3[[#This Row],[Total Sales]]-Table3[[#This Row],[Discount]]</f>
        <v>0</v>
      </c>
      <c r="M43" s="58">
        <f>Table3[[#This Row],[Net Sales]]-Table3[[#This Row],[Cost Price]]*Table3[[#This Row],[QTY SOLD]]</f>
        <v>0</v>
      </c>
      <c r="N43" s="25"/>
      <c r="O43" s="25"/>
      <c r="P43" s="25"/>
      <c r="Q43" s="25"/>
      <c r="R43" s="25"/>
      <c r="S43" s="25"/>
    </row>
    <row r="44" spans="1:19" x14ac:dyDescent="0.25">
      <c r="A44" s="65"/>
      <c r="B44" s="50"/>
      <c r="C44" s="50"/>
      <c r="D44" s="50"/>
      <c r="E44" s="50" t="str">
        <f>IF(D44="","",VLOOKUP(D44,'Product Master'!$B:$C,2,FALSE))</f>
        <v/>
      </c>
      <c r="F44" s="50" t="str">
        <f>IF(D44="","",IFERROR(VLOOKUP(D44,'Product Master'!$B:$G,3,FALSE),""))</f>
        <v/>
      </c>
      <c r="G44" s="51"/>
      <c r="H44" s="52" t="str">
        <f>IF(D44="","",VLOOKUP(D44,'Product Master'!$B:$F,5,FALSE))</f>
        <v/>
      </c>
      <c r="I44" s="52">
        <f>IFERROR(VLOOKUP(D44,'Product Master'!B:E,4,FALSE),0)</f>
        <v>0</v>
      </c>
      <c r="J44" s="53">
        <f>IFERROR(Table3[[#This Row],[QTY SOLD]]*Table3[[#This Row],[Selling Price]],0)</f>
        <v>0</v>
      </c>
      <c r="K44" s="50"/>
      <c r="L44" s="50">
        <f>Table3[[#This Row],[Total Sales]]-Table3[[#This Row],[Discount]]</f>
        <v>0</v>
      </c>
      <c r="M44" s="58">
        <f>Table3[[#This Row],[Net Sales]]-Table3[[#This Row],[Cost Price]]*Table3[[#This Row],[QTY SOLD]]</f>
        <v>0</v>
      </c>
      <c r="N44" s="25"/>
      <c r="O44" s="25"/>
      <c r="P44" s="25"/>
      <c r="Q44" s="25"/>
      <c r="R44" s="25"/>
      <c r="S44" s="25"/>
    </row>
    <row r="45" spans="1:19" x14ac:dyDescent="0.25">
      <c r="A45" s="65"/>
      <c r="B45" s="50"/>
      <c r="C45" s="50"/>
      <c r="D45" s="50"/>
      <c r="E45" s="50" t="str">
        <f>IF(D45="","",VLOOKUP(D45,'Product Master'!$B:$C,2,FALSE))</f>
        <v/>
      </c>
      <c r="F45" s="50" t="str">
        <f>IF(D45="","",IFERROR(VLOOKUP(D45,'Product Master'!$B:$G,3,FALSE),""))</f>
        <v/>
      </c>
      <c r="G45" s="51"/>
      <c r="H45" s="52" t="str">
        <f>IF(D45="","",VLOOKUP(D45,'Product Master'!$B:$F,5,FALSE))</f>
        <v/>
      </c>
      <c r="I45" s="52">
        <f>IFERROR(VLOOKUP(D45,'Product Master'!B:E,4,FALSE),0)</f>
        <v>0</v>
      </c>
      <c r="J45" s="53">
        <f>IFERROR(Table3[[#This Row],[QTY SOLD]]*Table3[[#This Row],[Selling Price]],0)</f>
        <v>0</v>
      </c>
      <c r="K45" s="50"/>
      <c r="L45" s="50">
        <f>Table3[[#This Row],[Total Sales]]-Table3[[#This Row],[Discount]]</f>
        <v>0</v>
      </c>
      <c r="M45" s="58">
        <f>Table3[[#This Row],[Net Sales]]-Table3[[#This Row],[Cost Price]]*Table3[[#This Row],[QTY SOLD]]</f>
        <v>0</v>
      </c>
      <c r="N45" s="25"/>
      <c r="O45" s="25"/>
      <c r="P45" s="25"/>
      <c r="Q45" s="25"/>
      <c r="R45" s="25"/>
      <c r="S45" s="25"/>
    </row>
    <row r="46" spans="1:19" x14ac:dyDescent="0.25">
      <c r="A46" s="65"/>
      <c r="B46" s="50"/>
      <c r="C46" s="50"/>
      <c r="D46" s="50"/>
      <c r="E46" s="50" t="str">
        <f>IF(D46="","",VLOOKUP(D46,'Product Master'!$B:$C,2,FALSE))</f>
        <v/>
      </c>
      <c r="F46" s="50" t="str">
        <f>IF(D46="","",IFERROR(VLOOKUP(D46,'Product Master'!$B:$G,3,FALSE),""))</f>
        <v/>
      </c>
      <c r="G46" s="51"/>
      <c r="H46" s="52" t="str">
        <f>IF(D46="","",VLOOKUP(D46,'Product Master'!$B:$F,5,FALSE))</f>
        <v/>
      </c>
      <c r="I46" s="52">
        <f>IFERROR(VLOOKUP(D46,'Product Master'!B:E,4,FALSE),0)</f>
        <v>0</v>
      </c>
      <c r="J46" s="53">
        <f>IFERROR(Table3[[#This Row],[QTY SOLD]]*Table3[[#This Row],[Selling Price]],0)</f>
        <v>0</v>
      </c>
      <c r="K46" s="50"/>
      <c r="L46" s="50">
        <f>Table3[[#This Row],[Total Sales]]-Table3[[#This Row],[Discount]]</f>
        <v>0</v>
      </c>
      <c r="M46" s="58">
        <f>Table3[[#This Row],[Net Sales]]-Table3[[#This Row],[Cost Price]]*Table3[[#This Row],[QTY SOLD]]</f>
        <v>0</v>
      </c>
      <c r="N46" s="25"/>
      <c r="O46" s="25"/>
      <c r="P46" s="25"/>
      <c r="Q46" s="25"/>
      <c r="R46" s="25"/>
      <c r="S46" s="25"/>
    </row>
    <row r="47" spans="1:19" x14ac:dyDescent="0.25">
      <c r="A47" s="65"/>
      <c r="B47" s="50"/>
      <c r="C47" s="50"/>
      <c r="D47" s="50"/>
      <c r="E47" s="50" t="str">
        <f>IF(D47="","",VLOOKUP(D47,'Product Master'!$B:$C,2,FALSE))</f>
        <v/>
      </c>
      <c r="F47" s="50" t="str">
        <f>IF(D47="","",IFERROR(VLOOKUP(D47,'Product Master'!$B:$G,3,FALSE),""))</f>
        <v/>
      </c>
      <c r="G47" s="51"/>
      <c r="H47" s="52" t="str">
        <f>IF(D47="","",VLOOKUP(D47,'Product Master'!$B:$F,5,FALSE))</f>
        <v/>
      </c>
      <c r="I47" s="52">
        <f>IFERROR(VLOOKUP(D47,'Product Master'!B:E,4,FALSE),0)</f>
        <v>0</v>
      </c>
      <c r="J47" s="53">
        <f>IFERROR(Table3[[#This Row],[QTY SOLD]]*Table3[[#This Row],[Selling Price]],0)</f>
        <v>0</v>
      </c>
      <c r="K47" s="50"/>
      <c r="L47" s="50">
        <f>Table3[[#This Row],[Total Sales]]-Table3[[#This Row],[Discount]]</f>
        <v>0</v>
      </c>
      <c r="M47" s="58">
        <f>Table3[[#This Row],[Net Sales]]-Table3[[#This Row],[Cost Price]]*Table3[[#This Row],[QTY SOLD]]</f>
        <v>0</v>
      </c>
      <c r="N47" s="25"/>
      <c r="O47" s="25"/>
      <c r="P47" s="25"/>
      <c r="Q47" s="25"/>
      <c r="R47" s="25"/>
      <c r="S47" s="25"/>
    </row>
    <row r="48" spans="1:19" x14ac:dyDescent="0.25">
      <c r="A48" s="65"/>
      <c r="B48" s="50"/>
      <c r="C48" s="50"/>
      <c r="D48" s="50"/>
      <c r="E48" s="50" t="str">
        <f>IF(D48="","",VLOOKUP(D48,'Product Master'!$B:$C,2,FALSE))</f>
        <v/>
      </c>
      <c r="F48" s="50" t="str">
        <f>IF(D48="","",IFERROR(VLOOKUP(D48,'Product Master'!$B:$G,3,FALSE),""))</f>
        <v/>
      </c>
      <c r="G48" s="51"/>
      <c r="H48" s="52" t="str">
        <f>IF(D48="","",VLOOKUP(D48,'Product Master'!$B:$F,5,FALSE))</f>
        <v/>
      </c>
      <c r="I48" s="52">
        <f>IFERROR(VLOOKUP(D48,'Product Master'!B:E,4,FALSE),0)</f>
        <v>0</v>
      </c>
      <c r="J48" s="53">
        <f>IFERROR(Table3[[#This Row],[QTY SOLD]]*Table3[[#This Row],[Selling Price]],0)</f>
        <v>0</v>
      </c>
      <c r="K48" s="50"/>
      <c r="L48" s="50">
        <f>Table3[[#This Row],[Total Sales]]-Table3[[#This Row],[Discount]]</f>
        <v>0</v>
      </c>
      <c r="M48" s="58">
        <f>Table3[[#This Row],[Net Sales]]-Table3[[#This Row],[Cost Price]]*Table3[[#This Row],[QTY SOLD]]</f>
        <v>0</v>
      </c>
      <c r="N48" s="25"/>
      <c r="O48" s="25"/>
      <c r="P48" s="25"/>
      <c r="Q48" s="25"/>
      <c r="R48" s="25"/>
      <c r="S48" s="25"/>
    </row>
    <row r="49" spans="1:19" x14ac:dyDescent="0.25">
      <c r="A49" s="65"/>
      <c r="B49" s="50"/>
      <c r="C49" s="50"/>
      <c r="D49" s="50"/>
      <c r="E49" s="50" t="str">
        <f>IF(D49="","",VLOOKUP(D49,'Product Master'!$B:$C,2,FALSE))</f>
        <v/>
      </c>
      <c r="F49" s="50" t="str">
        <f>IF(D49="","",IFERROR(VLOOKUP(D49,'Product Master'!$B:$G,3,FALSE),""))</f>
        <v/>
      </c>
      <c r="G49" s="51"/>
      <c r="H49" s="52" t="str">
        <f>IF(D49="","",VLOOKUP(D49,'Product Master'!$B:$F,5,FALSE))</f>
        <v/>
      </c>
      <c r="I49" s="52">
        <f>IFERROR(VLOOKUP(D49,'Product Master'!B:E,4,FALSE),0)</f>
        <v>0</v>
      </c>
      <c r="J49" s="53">
        <f>IFERROR(Table3[[#This Row],[QTY SOLD]]*Table3[[#This Row],[Selling Price]],0)</f>
        <v>0</v>
      </c>
      <c r="K49" s="50"/>
      <c r="L49" s="50">
        <f>Table3[[#This Row],[Total Sales]]-Table3[[#This Row],[Discount]]</f>
        <v>0</v>
      </c>
      <c r="M49" s="58">
        <f>Table3[[#This Row],[Net Sales]]-Table3[[#This Row],[Cost Price]]*Table3[[#This Row],[QTY SOLD]]</f>
        <v>0</v>
      </c>
      <c r="N49" s="25"/>
      <c r="O49" s="25"/>
      <c r="P49" s="25"/>
      <c r="Q49" s="25"/>
      <c r="R49" s="25"/>
      <c r="S49" s="25"/>
    </row>
    <row r="50" spans="1:19" x14ac:dyDescent="0.25">
      <c r="A50" s="65"/>
      <c r="B50" s="50"/>
      <c r="C50" s="50"/>
      <c r="D50" s="50"/>
      <c r="E50" s="50" t="str">
        <f>IF(D50="","",VLOOKUP(D50,'Product Master'!$B:$C,2,FALSE))</f>
        <v/>
      </c>
      <c r="F50" s="50" t="str">
        <f>IF(D50="","",IFERROR(VLOOKUP(D50,'Product Master'!$B:$G,3,FALSE),""))</f>
        <v/>
      </c>
      <c r="G50" s="51"/>
      <c r="H50" s="52" t="str">
        <f>IF(D50="","",VLOOKUP(D50,'Product Master'!$B:$F,5,FALSE))</f>
        <v/>
      </c>
      <c r="I50" s="52">
        <f>IFERROR(VLOOKUP(D50,'Product Master'!B:E,4,FALSE),0)</f>
        <v>0</v>
      </c>
      <c r="J50" s="53">
        <f>IFERROR(Table3[[#This Row],[QTY SOLD]]*Table3[[#This Row],[Selling Price]],0)</f>
        <v>0</v>
      </c>
      <c r="K50" s="50"/>
      <c r="L50" s="50">
        <f>Table3[[#This Row],[Total Sales]]-Table3[[#This Row],[Discount]]</f>
        <v>0</v>
      </c>
      <c r="M50" s="58">
        <f>Table3[[#This Row],[Net Sales]]-Table3[[#This Row],[Cost Price]]*Table3[[#This Row],[QTY SOLD]]</f>
        <v>0</v>
      </c>
      <c r="N50" s="25"/>
      <c r="O50" s="25"/>
      <c r="P50" s="25"/>
      <c r="Q50" s="25"/>
      <c r="R50" s="25"/>
      <c r="S50" s="25"/>
    </row>
    <row r="51" spans="1:19" x14ac:dyDescent="0.25">
      <c r="A51" s="65"/>
      <c r="B51" s="50"/>
      <c r="C51" s="50"/>
      <c r="D51" s="50"/>
      <c r="E51" s="50" t="str">
        <f>IF(D51="","",VLOOKUP(D51,'Product Master'!$B:$C,2,FALSE))</f>
        <v/>
      </c>
      <c r="F51" s="50" t="str">
        <f>IF(D51="","",IFERROR(VLOOKUP(D51,'Product Master'!$B:$G,3,FALSE),""))</f>
        <v/>
      </c>
      <c r="G51" s="51"/>
      <c r="H51" s="52" t="str">
        <f>IF(D51="","",VLOOKUP(D51,'Product Master'!$B:$F,5,FALSE))</f>
        <v/>
      </c>
      <c r="I51" s="52">
        <f>IFERROR(VLOOKUP(D51,'Product Master'!B:E,4,FALSE),0)</f>
        <v>0</v>
      </c>
      <c r="J51" s="53">
        <f>IFERROR(Table3[[#This Row],[QTY SOLD]]*Table3[[#This Row],[Selling Price]],0)</f>
        <v>0</v>
      </c>
      <c r="K51" s="50"/>
      <c r="L51" s="50">
        <f>Table3[[#This Row],[Total Sales]]-Table3[[#This Row],[Discount]]</f>
        <v>0</v>
      </c>
      <c r="M51" s="58">
        <f>Table3[[#This Row],[Net Sales]]-Table3[[#This Row],[Cost Price]]*Table3[[#This Row],[QTY SOLD]]</f>
        <v>0</v>
      </c>
      <c r="N51" s="25"/>
      <c r="O51" s="25"/>
      <c r="P51" s="25"/>
      <c r="Q51" s="25"/>
      <c r="R51" s="25"/>
      <c r="S51" s="25"/>
    </row>
    <row r="52" spans="1:19" x14ac:dyDescent="0.25">
      <c r="A52" s="65"/>
      <c r="B52" s="50"/>
      <c r="C52" s="50"/>
      <c r="D52" s="50"/>
      <c r="E52" s="50" t="str">
        <f>IF(D52="","",VLOOKUP(D52,'Product Master'!$B:$C,2,FALSE))</f>
        <v/>
      </c>
      <c r="F52" s="50" t="str">
        <f>IF(D52="","",IFERROR(VLOOKUP(D52,'Product Master'!$B:$G,3,FALSE),""))</f>
        <v/>
      </c>
      <c r="G52" s="51"/>
      <c r="H52" s="52" t="str">
        <f>IF(D52="","",VLOOKUP(D52,'Product Master'!$B:$F,5,FALSE))</f>
        <v/>
      </c>
      <c r="I52" s="52">
        <f>IFERROR(VLOOKUP(D52,'Product Master'!B:E,4,FALSE),0)</f>
        <v>0</v>
      </c>
      <c r="J52" s="53">
        <f>IFERROR(Table3[[#This Row],[QTY SOLD]]*Table3[[#This Row],[Selling Price]],0)</f>
        <v>0</v>
      </c>
      <c r="K52" s="50"/>
      <c r="L52" s="50">
        <f>Table3[[#This Row],[Total Sales]]-Table3[[#This Row],[Discount]]</f>
        <v>0</v>
      </c>
      <c r="M52" s="58">
        <f>Table3[[#This Row],[Net Sales]]-Table3[[#This Row],[Cost Price]]*Table3[[#This Row],[QTY SOLD]]</f>
        <v>0</v>
      </c>
      <c r="N52" s="25"/>
      <c r="O52" s="25"/>
      <c r="P52" s="25"/>
      <c r="Q52" s="25"/>
      <c r="R52" s="25"/>
      <c r="S52" s="25"/>
    </row>
    <row r="53" spans="1:19" x14ac:dyDescent="0.25">
      <c r="A53" s="65"/>
      <c r="B53" s="50"/>
      <c r="C53" s="50"/>
      <c r="D53" s="50"/>
      <c r="E53" s="50" t="str">
        <f>IF(D53="","",VLOOKUP(D53,'Product Master'!$B:$C,2,FALSE))</f>
        <v/>
      </c>
      <c r="F53" s="50" t="str">
        <f>IF(D53="","",IFERROR(VLOOKUP(D53,'Product Master'!$B:$G,3,FALSE),""))</f>
        <v/>
      </c>
      <c r="G53" s="51"/>
      <c r="H53" s="52" t="str">
        <f>IF(D53="","",VLOOKUP(D53,'Product Master'!$B:$F,5,FALSE))</f>
        <v/>
      </c>
      <c r="I53" s="52">
        <f>IFERROR(VLOOKUP(D53,'Product Master'!B:E,4,FALSE),0)</f>
        <v>0</v>
      </c>
      <c r="J53" s="53">
        <f>IFERROR(Table3[[#This Row],[QTY SOLD]]*Table3[[#This Row],[Selling Price]],0)</f>
        <v>0</v>
      </c>
      <c r="K53" s="50"/>
      <c r="L53" s="50">
        <f>Table3[[#This Row],[Total Sales]]-Table3[[#This Row],[Discount]]</f>
        <v>0</v>
      </c>
      <c r="M53" s="58">
        <f>Table3[[#This Row],[Net Sales]]-Table3[[#This Row],[Cost Price]]*Table3[[#This Row],[QTY SOLD]]</f>
        <v>0</v>
      </c>
      <c r="N53" s="25"/>
      <c r="O53" s="25"/>
      <c r="P53" s="25"/>
      <c r="Q53" s="25"/>
      <c r="R53" s="25"/>
      <c r="S53" s="25"/>
    </row>
    <row r="54" spans="1:19" x14ac:dyDescent="0.25">
      <c r="A54" s="65"/>
      <c r="B54" s="50"/>
      <c r="C54" s="50"/>
      <c r="D54" s="50"/>
      <c r="E54" s="50" t="str">
        <f>IF(D54="","",VLOOKUP(D54,'Product Master'!$B:$C,2,FALSE))</f>
        <v/>
      </c>
      <c r="F54" s="50" t="str">
        <f>IF(D54="","",IFERROR(VLOOKUP(D54,'Product Master'!$B:$G,3,FALSE),""))</f>
        <v/>
      </c>
      <c r="G54" s="51"/>
      <c r="H54" s="52" t="str">
        <f>IF(D54="","",VLOOKUP(D54,'Product Master'!$B:$F,5,FALSE))</f>
        <v/>
      </c>
      <c r="I54" s="52">
        <f>IFERROR(VLOOKUP(D54,'Product Master'!B:E,4,FALSE),0)</f>
        <v>0</v>
      </c>
      <c r="J54" s="53">
        <f>IFERROR(Table3[[#This Row],[QTY SOLD]]*Table3[[#This Row],[Selling Price]],0)</f>
        <v>0</v>
      </c>
      <c r="K54" s="50"/>
      <c r="L54" s="50">
        <f>Table3[[#This Row],[Total Sales]]-Table3[[#This Row],[Discount]]</f>
        <v>0</v>
      </c>
      <c r="M54" s="58">
        <f>Table3[[#This Row],[Net Sales]]-Table3[[#This Row],[Cost Price]]*Table3[[#This Row],[QTY SOLD]]</f>
        <v>0</v>
      </c>
      <c r="N54" s="25"/>
      <c r="O54" s="25"/>
      <c r="P54" s="25"/>
      <c r="Q54" s="25"/>
      <c r="R54" s="25"/>
      <c r="S54" s="25"/>
    </row>
    <row r="55" spans="1:19" x14ac:dyDescent="0.25">
      <c r="A55" s="65"/>
      <c r="B55" s="50"/>
      <c r="C55" s="50"/>
      <c r="D55" s="50"/>
      <c r="E55" s="50" t="str">
        <f>IF(D55="","",VLOOKUP(D55,'Product Master'!$B:$C,2,FALSE))</f>
        <v/>
      </c>
      <c r="F55" s="50" t="str">
        <f>IF(D55="","",IFERROR(VLOOKUP(D55,'Product Master'!$B:$G,3,FALSE),""))</f>
        <v/>
      </c>
      <c r="G55" s="51"/>
      <c r="H55" s="52" t="str">
        <f>IF(D55="","",VLOOKUP(D55,'Product Master'!$B:$F,5,FALSE))</f>
        <v/>
      </c>
      <c r="I55" s="52">
        <f>IFERROR(VLOOKUP(D55,'Product Master'!B:E,4,FALSE),0)</f>
        <v>0</v>
      </c>
      <c r="J55" s="53">
        <f>IFERROR(Table3[[#This Row],[QTY SOLD]]*Table3[[#This Row],[Selling Price]],0)</f>
        <v>0</v>
      </c>
      <c r="K55" s="50"/>
      <c r="L55" s="50">
        <f>Table3[[#This Row],[Total Sales]]-Table3[[#This Row],[Discount]]</f>
        <v>0</v>
      </c>
      <c r="M55" s="58">
        <f>Table3[[#This Row],[Net Sales]]-Table3[[#This Row],[Cost Price]]*Table3[[#This Row],[QTY SOLD]]</f>
        <v>0</v>
      </c>
      <c r="N55" s="25"/>
      <c r="O55" s="25"/>
      <c r="P55" s="25"/>
      <c r="Q55" s="25"/>
      <c r="R55" s="25"/>
      <c r="S55" s="25"/>
    </row>
    <row r="56" spans="1:19" x14ac:dyDescent="0.25">
      <c r="A56" s="65"/>
      <c r="B56" s="50"/>
      <c r="C56" s="50"/>
      <c r="D56" s="50"/>
      <c r="E56" s="50" t="str">
        <f>IF(D56="","",VLOOKUP(D56,'Product Master'!$B:$C,2,FALSE))</f>
        <v/>
      </c>
      <c r="F56" s="50" t="str">
        <f>IF(D56="","",IFERROR(VLOOKUP(D56,'Product Master'!$B:$G,3,FALSE),""))</f>
        <v/>
      </c>
      <c r="G56" s="51"/>
      <c r="H56" s="52" t="str">
        <f>IF(D56="","",VLOOKUP(D56,'Product Master'!$B:$F,5,FALSE))</f>
        <v/>
      </c>
      <c r="I56" s="52">
        <f>IFERROR(VLOOKUP(D56,'Product Master'!B:E,4,FALSE),0)</f>
        <v>0</v>
      </c>
      <c r="J56" s="53">
        <f>IFERROR(Table3[[#This Row],[QTY SOLD]]*Table3[[#This Row],[Selling Price]],0)</f>
        <v>0</v>
      </c>
      <c r="K56" s="50"/>
      <c r="L56" s="50">
        <f>Table3[[#This Row],[Total Sales]]-Table3[[#This Row],[Discount]]</f>
        <v>0</v>
      </c>
      <c r="M56" s="58">
        <f>Table3[[#This Row],[Net Sales]]-Table3[[#This Row],[Cost Price]]*Table3[[#This Row],[QTY SOLD]]</f>
        <v>0</v>
      </c>
      <c r="N56" s="25"/>
      <c r="O56" s="25"/>
      <c r="P56" s="25"/>
      <c r="Q56" s="25"/>
      <c r="R56" s="25"/>
      <c r="S56" s="25"/>
    </row>
    <row r="57" spans="1:19" x14ac:dyDescent="0.25">
      <c r="A57" s="65"/>
      <c r="B57" s="50"/>
      <c r="C57" s="50"/>
      <c r="D57" s="50"/>
      <c r="E57" s="50" t="str">
        <f>IF(D57="","",VLOOKUP(D57,'Product Master'!$B:$C,2,FALSE))</f>
        <v/>
      </c>
      <c r="F57" s="50" t="str">
        <f>IF(D57="","",IFERROR(VLOOKUP(D57,'Product Master'!$B:$G,3,FALSE),""))</f>
        <v/>
      </c>
      <c r="G57" s="51"/>
      <c r="H57" s="52" t="str">
        <f>IF(D57="","",VLOOKUP(D57,'Product Master'!$B:$F,5,FALSE))</f>
        <v/>
      </c>
      <c r="I57" s="52">
        <f>IFERROR(VLOOKUP(D57,'Product Master'!B:E,4,FALSE),0)</f>
        <v>0</v>
      </c>
      <c r="J57" s="53">
        <f>IFERROR(Table3[[#This Row],[QTY SOLD]]*Table3[[#This Row],[Selling Price]],0)</f>
        <v>0</v>
      </c>
      <c r="K57" s="50"/>
      <c r="L57" s="50">
        <f>Table3[[#This Row],[Total Sales]]-Table3[[#This Row],[Discount]]</f>
        <v>0</v>
      </c>
      <c r="M57" s="58">
        <f>Table3[[#This Row],[Net Sales]]-Table3[[#This Row],[Cost Price]]*Table3[[#This Row],[QTY SOLD]]</f>
        <v>0</v>
      </c>
      <c r="N57" s="25"/>
      <c r="O57" s="25"/>
      <c r="P57" s="25"/>
      <c r="Q57" s="25"/>
      <c r="R57" s="25"/>
      <c r="S57" s="25"/>
    </row>
    <row r="58" spans="1:19" x14ac:dyDescent="0.25">
      <c r="A58" s="65"/>
      <c r="B58" s="50"/>
      <c r="C58" s="50"/>
      <c r="D58" s="50"/>
      <c r="E58" s="50" t="str">
        <f>IF(D58="","",VLOOKUP(D58,'Product Master'!$B:$C,2,FALSE))</f>
        <v/>
      </c>
      <c r="F58" s="50" t="str">
        <f>IF(D58="","",IFERROR(VLOOKUP(D58,'Product Master'!$B:$G,3,FALSE),""))</f>
        <v/>
      </c>
      <c r="G58" s="51"/>
      <c r="H58" s="52" t="str">
        <f>IF(D58="","",VLOOKUP(D58,'Product Master'!$B:$F,5,FALSE))</f>
        <v/>
      </c>
      <c r="I58" s="52">
        <f>IFERROR(VLOOKUP(D58,'Product Master'!B:E,4,FALSE),0)</f>
        <v>0</v>
      </c>
      <c r="J58" s="53">
        <f>IFERROR(Table3[[#This Row],[QTY SOLD]]*Table3[[#This Row],[Selling Price]],0)</f>
        <v>0</v>
      </c>
      <c r="K58" s="50"/>
      <c r="L58" s="50">
        <f>Table3[[#This Row],[Total Sales]]-Table3[[#This Row],[Discount]]</f>
        <v>0</v>
      </c>
      <c r="M58" s="58">
        <f>Table3[[#This Row],[Net Sales]]-Table3[[#This Row],[Cost Price]]*Table3[[#This Row],[QTY SOLD]]</f>
        <v>0</v>
      </c>
      <c r="N58" s="25"/>
      <c r="O58" s="25"/>
      <c r="P58" s="25"/>
      <c r="Q58" s="25"/>
      <c r="R58" s="25"/>
      <c r="S58" s="25"/>
    </row>
    <row r="59" spans="1:19" x14ac:dyDescent="0.25">
      <c r="A59" s="65"/>
      <c r="B59" s="50"/>
      <c r="C59" s="50"/>
      <c r="D59" s="50"/>
      <c r="E59" s="50" t="str">
        <f>IF(D59="","",VLOOKUP(D59,'Product Master'!$B:$C,2,FALSE))</f>
        <v/>
      </c>
      <c r="F59" s="50" t="str">
        <f>IF(D59="","",IFERROR(VLOOKUP(D59,'Product Master'!$B:$G,3,FALSE),""))</f>
        <v/>
      </c>
      <c r="G59" s="51"/>
      <c r="H59" s="52" t="str">
        <f>IF(D59="","",VLOOKUP(D59,'Product Master'!$B:$F,5,FALSE))</f>
        <v/>
      </c>
      <c r="I59" s="52">
        <f>IFERROR(VLOOKUP(D59,'Product Master'!B:E,4,FALSE),0)</f>
        <v>0</v>
      </c>
      <c r="J59" s="53">
        <f>IFERROR(Table3[[#This Row],[QTY SOLD]]*Table3[[#This Row],[Selling Price]],0)</f>
        <v>0</v>
      </c>
      <c r="K59" s="50"/>
      <c r="L59" s="50">
        <f>Table3[[#This Row],[Total Sales]]-Table3[[#This Row],[Discount]]</f>
        <v>0</v>
      </c>
      <c r="M59" s="58">
        <f>Table3[[#This Row],[Net Sales]]-Table3[[#This Row],[Cost Price]]*Table3[[#This Row],[QTY SOLD]]</f>
        <v>0</v>
      </c>
      <c r="N59" s="25"/>
      <c r="O59" s="25"/>
      <c r="P59" s="25"/>
      <c r="Q59" s="25"/>
      <c r="R59" s="25"/>
      <c r="S59" s="25"/>
    </row>
    <row r="60" spans="1:19" x14ac:dyDescent="0.25">
      <c r="A60" s="65"/>
      <c r="B60" s="50"/>
      <c r="C60" s="50"/>
      <c r="D60" s="50"/>
      <c r="E60" s="50" t="str">
        <f>IF(D60="","",VLOOKUP(D60,'Product Master'!$B:$C,2,FALSE))</f>
        <v/>
      </c>
      <c r="F60" s="50" t="str">
        <f>IF(D60="","",IFERROR(VLOOKUP(D60,'Product Master'!$B:$G,3,FALSE),""))</f>
        <v/>
      </c>
      <c r="G60" s="51"/>
      <c r="H60" s="52" t="str">
        <f>IF(D60="","",VLOOKUP(D60,'Product Master'!$B:$F,5,FALSE))</f>
        <v/>
      </c>
      <c r="I60" s="52">
        <f>IFERROR(VLOOKUP(D60,'Product Master'!B:E,4,FALSE),0)</f>
        <v>0</v>
      </c>
      <c r="J60" s="53">
        <f>IFERROR(Table3[[#This Row],[QTY SOLD]]*Table3[[#This Row],[Selling Price]],0)</f>
        <v>0</v>
      </c>
      <c r="K60" s="50"/>
      <c r="L60" s="50">
        <f>Table3[[#This Row],[Total Sales]]-Table3[[#This Row],[Discount]]</f>
        <v>0</v>
      </c>
      <c r="M60" s="58">
        <f>Table3[[#This Row],[Net Sales]]-Table3[[#This Row],[Cost Price]]*Table3[[#This Row],[QTY SOLD]]</f>
        <v>0</v>
      </c>
      <c r="N60" s="25"/>
      <c r="O60" s="25"/>
      <c r="P60" s="25"/>
      <c r="Q60" s="25"/>
      <c r="R60" s="25"/>
      <c r="S60" s="25"/>
    </row>
    <row r="61" spans="1:19" x14ac:dyDescent="0.25">
      <c r="A61" s="65"/>
      <c r="B61" s="50"/>
      <c r="C61" s="50"/>
      <c r="D61" s="50"/>
      <c r="E61" s="50" t="str">
        <f>IF(D61="","",VLOOKUP(D61,'Product Master'!$B:$C,2,FALSE))</f>
        <v/>
      </c>
      <c r="F61" s="50" t="str">
        <f>IF(D61="","",IFERROR(VLOOKUP(D61,'Product Master'!$B:$G,3,FALSE),""))</f>
        <v/>
      </c>
      <c r="G61" s="51"/>
      <c r="H61" s="52" t="str">
        <f>IF(D61="","",VLOOKUP(D61,'Product Master'!$B:$F,5,FALSE))</f>
        <v/>
      </c>
      <c r="I61" s="52">
        <f>IFERROR(VLOOKUP(D61,'Product Master'!B:E,4,FALSE),0)</f>
        <v>0</v>
      </c>
      <c r="J61" s="53">
        <f>IFERROR(Table3[[#This Row],[QTY SOLD]]*Table3[[#This Row],[Selling Price]],0)</f>
        <v>0</v>
      </c>
      <c r="K61" s="50"/>
      <c r="L61" s="50">
        <f>Table3[[#This Row],[Total Sales]]-Table3[[#This Row],[Discount]]</f>
        <v>0</v>
      </c>
      <c r="M61" s="58">
        <f>Table3[[#This Row],[Net Sales]]-Table3[[#This Row],[Cost Price]]*Table3[[#This Row],[QTY SOLD]]</f>
        <v>0</v>
      </c>
      <c r="N61" s="25"/>
      <c r="O61" s="25"/>
      <c r="P61" s="25"/>
      <c r="Q61" s="25"/>
      <c r="R61" s="25"/>
      <c r="S61" s="25"/>
    </row>
    <row r="62" spans="1:19" x14ac:dyDescent="0.25">
      <c r="A62" s="65"/>
      <c r="B62" s="50"/>
      <c r="C62" s="50"/>
      <c r="D62" s="50"/>
      <c r="E62" s="50" t="str">
        <f>IF(D62="","",VLOOKUP(D62,'Product Master'!$B:$C,2,FALSE))</f>
        <v/>
      </c>
      <c r="F62" s="50" t="str">
        <f>IF(D62="","",IFERROR(VLOOKUP(D62,'Product Master'!$B:$G,3,FALSE),""))</f>
        <v/>
      </c>
      <c r="G62" s="51"/>
      <c r="H62" s="52" t="str">
        <f>IF(D62="","",VLOOKUP(D62,'Product Master'!$B:$F,5,FALSE))</f>
        <v/>
      </c>
      <c r="I62" s="52">
        <f>IFERROR(VLOOKUP(D62,'Product Master'!B:E,4,FALSE),0)</f>
        <v>0</v>
      </c>
      <c r="J62" s="53">
        <f>IFERROR(Table3[[#This Row],[QTY SOLD]]*Table3[[#This Row],[Selling Price]],0)</f>
        <v>0</v>
      </c>
      <c r="K62" s="50"/>
      <c r="L62" s="50">
        <f>Table3[[#This Row],[Total Sales]]-Table3[[#This Row],[Discount]]</f>
        <v>0</v>
      </c>
      <c r="M62" s="58">
        <f>Table3[[#This Row],[Net Sales]]-Table3[[#This Row],[Cost Price]]*Table3[[#This Row],[QTY SOLD]]</f>
        <v>0</v>
      </c>
      <c r="N62" s="25"/>
      <c r="O62" s="25"/>
      <c r="P62" s="25"/>
      <c r="Q62" s="25"/>
      <c r="R62" s="25"/>
      <c r="S62" s="25"/>
    </row>
    <row r="63" spans="1:19" x14ac:dyDescent="0.25">
      <c r="A63" s="65"/>
      <c r="B63" s="50"/>
      <c r="C63" s="50"/>
      <c r="D63" s="50"/>
      <c r="E63" s="50" t="str">
        <f>IF(D63="","",VLOOKUP(D63,'Product Master'!$B:$C,2,FALSE))</f>
        <v/>
      </c>
      <c r="F63" s="50" t="str">
        <f>IF(D63="","",IFERROR(VLOOKUP(D63,'Product Master'!$B:$G,3,FALSE),""))</f>
        <v/>
      </c>
      <c r="G63" s="51"/>
      <c r="H63" s="52" t="str">
        <f>IF(D63="","",VLOOKUP(D63,'Product Master'!$B:$F,5,FALSE))</f>
        <v/>
      </c>
      <c r="I63" s="52">
        <f>IFERROR(VLOOKUP(D63,'Product Master'!B:E,4,FALSE),0)</f>
        <v>0</v>
      </c>
      <c r="J63" s="53">
        <f>IFERROR(Table3[[#This Row],[QTY SOLD]]*Table3[[#This Row],[Selling Price]],0)</f>
        <v>0</v>
      </c>
      <c r="K63" s="50"/>
      <c r="L63" s="50">
        <f>Table3[[#This Row],[Total Sales]]-Table3[[#This Row],[Discount]]</f>
        <v>0</v>
      </c>
      <c r="M63" s="58">
        <f>Table3[[#This Row],[Net Sales]]-Table3[[#This Row],[Cost Price]]*Table3[[#This Row],[QTY SOLD]]</f>
        <v>0</v>
      </c>
      <c r="N63" s="25"/>
      <c r="O63" s="25"/>
      <c r="P63" s="25"/>
      <c r="Q63" s="25"/>
      <c r="R63" s="25"/>
      <c r="S63" s="25"/>
    </row>
    <row r="64" spans="1:19" x14ac:dyDescent="0.25">
      <c r="A64" s="65"/>
      <c r="B64" s="50"/>
      <c r="C64" s="50"/>
      <c r="D64" s="50"/>
      <c r="E64" s="50" t="str">
        <f>IF(D64="","",VLOOKUP(D64,'Product Master'!$B:$C,2,FALSE))</f>
        <v/>
      </c>
      <c r="F64" s="50" t="str">
        <f>IF(D64="","",IFERROR(VLOOKUP(D64,'Product Master'!$B:$G,3,FALSE),""))</f>
        <v/>
      </c>
      <c r="G64" s="51"/>
      <c r="H64" s="52" t="str">
        <f>IF(D64="","",VLOOKUP(D64,'Product Master'!$B:$F,5,FALSE))</f>
        <v/>
      </c>
      <c r="I64" s="52">
        <f>IFERROR(VLOOKUP(D64,'Product Master'!B:E,4,FALSE),0)</f>
        <v>0</v>
      </c>
      <c r="J64" s="53">
        <f>IFERROR(Table3[[#This Row],[QTY SOLD]]*Table3[[#This Row],[Selling Price]],0)</f>
        <v>0</v>
      </c>
      <c r="K64" s="50"/>
      <c r="L64" s="50">
        <f>Table3[[#This Row],[Total Sales]]-Table3[[#This Row],[Discount]]</f>
        <v>0</v>
      </c>
      <c r="M64" s="58">
        <f>Table3[[#This Row],[Net Sales]]-Table3[[#This Row],[Cost Price]]*Table3[[#This Row],[QTY SOLD]]</f>
        <v>0</v>
      </c>
      <c r="N64" s="25"/>
      <c r="O64" s="25"/>
      <c r="P64" s="25"/>
      <c r="Q64" s="25"/>
      <c r="R64" s="25"/>
      <c r="S64" s="25"/>
    </row>
    <row r="65" spans="1:19" x14ac:dyDescent="0.25">
      <c r="A65" s="65"/>
      <c r="B65" s="50"/>
      <c r="C65" s="50"/>
      <c r="D65" s="50"/>
      <c r="E65" s="50" t="str">
        <f>IF(D65="","",VLOOKUP(D65,'Product Master'!$B:$C,2,FALSE))</f>
        <v/>
      </c>
      <c r="F65" s="50" t="str">
        <f>IF(D65="","",IFERROR(VLOOKUP(D65,'Product Master'!$B:$G,3,FALSE),""))</f>
        <v/>
      </c>
      <c r="G65" s="51"/>
      <c r="H65" s="52" t="str">
        <f>IF(D65="","",VLOOKUP(D65,'Product Master'!$B:$F,5,FALSE))</f>
        <v/>
      </c>
      <c r="I65" s="52">
        <f>IFERROR(VLOOKUP(D65,'Product Master'!B:E,4,FALSE),0)</f>
        <v>0</v>
      </c>
      <c r="J65" s="53">
        <f>IFERROR(Table3[[#This Row],[QTY SOLD]]*Table3[[#This Row],[Selling Price]],0)</f>
        <v>0</v>
      </c>
      <c r="K65" s="50"/>
      <c r="L65" s="50">
        <f>Table3[[#This Row],[Total Sales]]-Table3[[#This Row],[Discount]]</f>
        <v>0</v>
      </c>
      <c r="M65" s="58">
        <f>Table3[[#This Row],[Net Sales]]-Table3[[#This Row],[Cost Price]]*Table3[[#This Row],[QTY SOLD]]</f>
        <v>0</v>
      </c>
      <c r="N65" s="25"/>
      <c r="O65" s="25"/>
      <c r="P65" s="25"/>
      <c r="Q65" s="25"/>
      <c r="R65" s="25"/>
      <c r="S65" s="25"/>
    </row>
    <row r="66" spans="1:19" x14ac:dyDescent="0.25">
      <c r="A66" s="65"/>
      <c r="B66" s="50"/>
      <c r="C66" s="50"/>
      <c r="D66" s="50"/>
      <c r="E66" s="50" t="str">
        <f>IF(D66="","",VLOOKUP(D66,'Product Master'!$B:$C,2,FALSE))</f>
        <v/>
      </c>
      <c r="F66" s="50" t="str">
        <f>IF(D66="","",IFERROR(VLOOKUP(D66,'Product Master'!$B:$G,3,FALSE),""))</f>
        <v/>
      </c>
      <c r="G66" s="51"/>
      <c r="H66" s="52" t="str">
        <f>IF(D66="","",VLOOKUP(D66,'Product Master'!$B:$F,5,FALSE))</f>
        <v/>
      </c>
      <c r="I66" s="52">
        <f>IFERROR(VLOOKUP(D66,'Product Master'!B:E,4,FALSE),0)</f>
        <v>0</v>
      </c>
      <c r="J66" s="53">
        <f>IFERROR(Table3[[#This Row],[QTY SOLD]]*Table3[[#This Row],[Selling Price]],0)</f>
        <v>0</v>
      </c>
      <c r="K66" s="50"/>
      <c r="L66" s="50">
        <f>Table3[[#This Row],[Total Sales]]-Table3[[#This Row],[Discount]]</f>
        <v>0</v>
      </c>
      <c r="M66" s="58">
        <f>Table3[[#This Row],[Net Sales]]-Table3[[#This Row],[Cost Price]]*Table3[[#This Row],[QTY SOLD]]</f>
        <v>0</v>
      </c>
      <c r="N66" s="25"/>
      <c r="O66" s="25"/>
      <c r="P66" s="25"/>
      <c r="Q66" s="25"/>
      <c r="R66" s="25"/>
      <c r="S66" s="25"/>
    </row>
    <row r="67" spans="1:19" x14ac:dyDescent="0.25">
      <c r="A67" s="65"/>
      <c r="B67" s="50"/>
      <c r="C67" s="50"/>
      <c r="D67" s="50"/>
      <c r="E67" s="50" t="str">
        <f>IF(D67="","",VLOOKUP(D67,'Product Master'!$B:$C,2,FALSE))</f>
        <v/>
      </c>
      <c r="F67" s="50" t="str">
        <f>IF(D67="","",IFERROR(VLOOKUP(D67,'Product Master'!$B:$G,3,FALSE),""))</f>
        <v/>
      </c>
      <c r="G67" s="51"/>
      <c r="H67" s="52" t="str">
        <f>IF(D67="","",VLOOKUP(D67,'Product Master'!$B:$F,5,FALSE))</f>
        <v/>
      </c>
      <c r="I67" s="52">
        <f>IFERROR(VLOOKUP(D67,'Product Master'!B:E,4,FALSE),0)</f>
        <v>0</v>
      </c>
      <c r="J67" s="53">
        <f>IFERROR(Table3[[#This Row],[QTY SOLD]]*Table3[[#This Row],[Selling Price]],0)</f>
        <v>0</v>
      </c>
      <c r="K67" s="50"/>
      <c r="L67" s="50">
        <f>Table3[[#This Row],[Total Sales]]-Table3[[#This Row],[Discount]]</f>
        <v>0</v>
      </c>
      <c r="M67" s="58">
        <f>Table3[[#This Row],[Net Sales]]-Table3[[#This Row],[Cost Price]]*Table3[[#This Row],[QTY SOLD]]</f>
        <v>0</v>
      </c>
      <c r="N67" s="25"/>
      <c r="O67" s="25"/>
      <c r="P67" s="25"/>
      <c r="Q67" s="25"/>
      <c r="R67" s="25"/>
      <c r="S67" s="25"/>
    </row>
    <row r="68" spans="1:19" x14ac:dyDescent="0.25">
      <c r="A68" s="65"/>
      <c r="B68" s="50"/>
      <c r="C68" s="50"/>
      <c r="D68" s="50"/>
      <c r="E68" s="50" t="str">
        <f>IF(D68="","",VLOOKUP(D68,'Product Master'!$B:$C,2,FALSE))</f>
        <v/>
      </c>
      <c r="F68" s="50" t="str">
        <f>IF(D68="","",IFERROR(VLOOKUP(D68,'Product Master'!$B:$G,3,FALSE),""))</f>
        <v/>
      </c>
      <c r="G68" s="51"/>
      <c r="H68" s="52" t="str">
        <f>IF(D68="","",VLOOKUP(D68,'Product Master'!$B:$F,5,FALSE))</f>
        <v/>
      </c>
      <c r="I68" s="52">
        <f>IFERROR(VLOOKUP(D68,'Product Master'!B:E,4,FALSE),0)</f>
        <v>0</v>
      </c>
      <c r="J68" s="53">
        <f>IFERROR(Table3[[#This Row],[QTY SOLD]]*Table3[[#This Row],[Selling Price]],0)</f>
        <v>0</v>
      </c>
      <c r="K68" s="50"/>
      <c r="L68" s="50">
        <f>Table3[[#This Row],[Total Sales]]-Table3[[#This Row],[Discount]]</f>
        <v>0</v>
      </c>
      <c r="M68" s="58">
        <f>Table3[[#This Row],[Net Sales]]-Table3[[#This Row],[Cost Price]]*Table3[[#This Row],[QTY SOLD]]</f>
        <v>0</v>
      </c>
      <c r="N68" s="25"/>
      <c r="O68" s="25"/>
      <c r="P68" s="25"/>
      <c r="Q68" s="25"/>
      <c r="R68" s="25"/>
      <c r="S68" s="25"/>
    </row>
    <row r="69" spans="1:19" x14ac:dyDescent="0.25">
      <c r="A69" s="65"/>
      <c r="B69" s="50"/>
      <c r="C69" s="50"/>
      <c r="D69" s="50"/>
      <c r="E69" s="50" t="str">
        <f>IF(D69="","",VLOOKUP(D69,'Product Master'!$B:$C,2,FALSE))</f>
        <v/>
      </c>
      <c r="F69" s="50" t="str">
        <f>IF(D69="","",IFERROR(VLOOKUP(D69,'Product Master'!$B:$G,3,FALSE),""))</f>
        <v/>
      </c>
      <c r="G69" s="51"/>
      <c r="H69" s="52" t="str">
        <f>IF(D69="","",VLOOKUP(D69,'Product Master'!$B:$F,5,FALSE))</f>
        <v/>
      </c>
      <c r="I69" s="52">
        <f>IFERROR(VLOOKUP(D69,'Product Master'!B:E,4,FALSE),0)</f>
        <v>0</v>
      </c>
      <c r="J69" s="53">
        <f>IFERROR(Table3[[#This Row],[QTY SOLD]]*Table3[[#This Row],[Selling Price]],0)</f>
        <v>0</v>
      </c>
      <c r="K69" s="50"/>
      <c r="L69" s="50">
        <f>Table3[[#This Row],[Total Sales]]-Table3[[#This Row],[Discount]]</f>
        <v>0</v>
      </c>
      <c r="M69" s="58">
        <f>Table3[[#This Row],[Net Sales]]-Table3[[#This Row],[Cost Price]]*Table3[[#This Row],[QTY SOLD]]</f>
        <v>0</v>
      </c>
      <c r="N69" s="25"/>
      <c r="O69" s="25"/>
      <c r="P69" s="25"/>
      <c r="Q69" s="25"/>
      <c r="R69" s="25"/>
      <c r="S69" s="25"/>
    </row>
    <row r="70" spans="1:19" x14ac:dyDescent="0.25">
      <c r="A70" s="65"/>
      <c r="B70" s="50"/>
      <c r="C70" s="50"/>
      <c r="D70" s="50"/>
      <c r="E70" s="50" t="str">
        <f>IF(D70="","",VLOOKUP(D70,'Product Master'!$B:$C,2,FALSE))</f>
        <v/>
      </c>
      <c r="F70" s="50" t="str">
        <f>IF(D70="","",IFERROR(VLOOKUP(D70,'Product Master'!$B:$G,3,FALSE),""))</f>
        <v/>
      </c>
      <c r="G70" s="51"/>
      <c r="H70" s="52" t="str">
        <f>IF(D70="","",VLOOKUP(D70,'Product Master'!$B:$F,5,FALSE))</f>
        <v/>
      </c>
      <c r="I70" s="52">
        <f>IFERROR(VLOOKUP(D70,'Product Master'!B:E,4,FALSE),0)</f>
        <v>0</v>
      </c>
      <c r="J70" s="53">
        <f>IFERROR(Table3[[#This Row],[QTY SOLD]]*Table3[[#This Row],[Selling Price]],0)</f>
        <v>0</v>
      </c>
      <c r="K70" s="50"/>
      <c r="L70" s="50">
        <f>Table3[[#This Row],[Total Sales]]-Table3[[#This Row],[Discount]]</f>
        <v>0</v>
      </c>
      <c r="M70" s="58">
        <f>Table3[[#This Row],[Net Sales]]-Table3[[#This Row],[Cost Price]]*Table3[[#This Row],[QTY SOLD]]</f>
        <v>0</v>
      </c>
      <c r="N70" s="25"/>
      <c r="O70" s="25"/>
      <c r="P70" s="25"/>
      <c r="Q70" s="25"/>
      <c r="R70" s="25"/>
      <c r="S70" s="25"/>
    </row>
    <row r="71" spans="1:19" x14ac:dyDescent="0.25">
      <c r="A71" s="65"/>
      <c r="B71" s="50"/>
      <c r="C71" s="50"/>
      <c r="D71" s="50"/>
      <c r="E71" s="50" t="str">
        <f>IF(D71="","",VLOOKUP(D71,'Product Master'!$B:$C,2,FALSE))</f>
        <v/>
      </c>
      <c r="F71" s="50" t="str">
        <f>IF(D71="","",IFERROR(VLOOKUP(D71,'Product Master'!$B:$G,3,FALSE),""))</f>
        <v/>
      </c>
      <c r="G71" s="51"/>
      <c r="H71" s="52" t="str">
        <f>IF(D71="","",VLOOKUP(D71,'Product Master'!$B:$F,5,FALSE))</f>
        <v/>
      </c>
      <c r="I71" s="52">
        <f>IFERROR(VLOOKUP(D71,'Product Master'!B:E,4,FALSE),0)</f>
        <v>0</v>
      </c>
      <c r="J71" s="53">
        <f>IFERROR(Table3[[#This Row],[QTY SOLD]]*Table3[[#This Row],[Selling Price]],0)</f>
        <v>0</v>
      </c>
      <c r="K71" s="50"/>
      <c r="L71" s="50">
        <f>Table3[[#This Row],[Total Sales]]-Table3[[#This Row],[Discount]]</f>
        <v>0</v>
      </c>
      <c r="M71" s="58">
        <f>Table3[[#This Row],[Net Sales]]-Table3[[#This Row],[Cost Price]]*Table3[[#This Row],[QTY SOLD]]</f>
        <v>0</v>
      </c>
      <c r="N71" s="25"/>
      <c r="O71" s="25"/>
      <c r="P71" s="25"/>
      <c r="Q71" s="25"/>
      <c r="R71" s="25"/>
      <c r="S71" s="25"/>
    </row>
    <row r="72" spans="1:19" x14ac:dyDescent="0.25">
      <c r="A72" s="65"/>
      <c r="B72" s="50"/>
      <c r="C72" s="50"/>
      <c r="D72" s="50"/>
      <c r="E72" s="50" t="str">
        <f>IF(D72="","",VLOOKUP(D72,'Product Master'!$B:$C,2,FALSE))</f>
        <v/>
      </c>
      <c r="F72" s="50" t="str">
        <f>IF(D72="","",IFERROR(VLOOKUP(D72,'Product Master'!$B:$G,3,FALSE),""))</f>
        <v/>
      </c>
      <c r="G72" s="51"/>
      <c r="H72" s="52" t="str">
        <f>IF(D72="","",VLOOKUP(D72,'Product Master'!$B:$F,5,FALSE))</f>
        <v/>
      </c>
      <c r="I72" s="52">
        <f>IFERROR(VLOOKUP(D72,'Product Master'!B:E,4,FALSE),0)</f>
        <v>0</v>
      </c>
      <c r="J72" s="53">
        <f>IFERROR(Table3[[#This Row],[QTY SOLD]]*Table3[[#This Row],[Selling Price]],0)</f>
        <v>0</v>
      </c>
      <c r="K72" s="50"/>
      <c r="L72" s="50">
        <f>Table3[[#This Row],[Total Sales]]-Table3[[#This Row],[Discount]]</f>
        <v>0</v>
      </c>
      <c r="M72" s="58">
        <f>Table3[[#This Row],[Net Sales]]-Table3[[#This Row],[Cost Price]]*Table3[[#This Row],[QTY SOLD]]</f>
        <v>0</v>
      </c>
      <c r="N72" s="25"/>
      <c r="O72" s="25"/>
      <c r="P72" s="25"/>
      <c r="Q72" s="25"/>
      <c r="R72" s="25"/>
      <c r="S72" s="25"/>
    </row>
    <row r="73" spans="1:19" x14ac:dyDescent="0.25">
      <c r="A73" s="65"/>
      <c r="B73" s="50"/>
      <c r="C73" s="50"/>
      <c r="D73" s="50"/>
      <c r="E73" s="50" t="str">
        <f>IF(D73="","",VLOOKUP(D73,'Product Master'!$B:$C,2,FALSE))</f>
        <v/>
      </c>
      <c r="F73" s="50" t="str">
        <f>IF(D73="","",IFERROR(VLOOKUP(D73,'Product Master'!$B:$G,3,FALSE),""))</f>
        <v/>
      </c>
      <c r="G73" s="51"/>
      <c r="H73" s="52" t="str">
        <f>IF(D73="","",VLOOKUP(D73,'Product Master'!$B:$F,5,FALSE))</f>
        <v/>
      </c>
      <c r="I73" s="52">
        <f>IFERROR(VLOOKUP(D73,'Product Master'!B:E,4,FALSE),0)</f>
        <v>0</v>
      </c>
      <c r="J73" s="53">
        <f>IFERROR(Table3[[#This Row],[QTY SOLD]]*Table3[[#This Row],[Selling Price]],0)</f>
        <v>0</v>
      </c>
      <c r="K73" s="50"/>
      <c r="L73" s="50">
        <f>Table3[[#This Row],[Total Sales]]-Table3[[#This Row],[Discount]]</f>
        <v>0</v>
      </c>
      <c r="M73" s="58">
        <f>Table3[[#This Row],[Net Sales]]-Table3[[#This Row],[Cost Price]]*Table3[[#This Row],[QTY SOLD]]</f>
        <v>0</v>
      </c>
      <c r="N73" s="25"/>
      <c r="O73" s="25"/>
      <c r="P73" s="25"/>
      <c r="Q73" s="25"/>
      <c r="R73" s="25"/>
      <c r="S73" s="25"/>
    </row>
    <row r="74" spans="1:19" x14ac:dyDescent="0.25">
      <c r="A74" s="65"/>
      <c r="B74" s="50"/>
      <c r="C74" s="50"/>
      <c r="D74" s="50"/>
      <c r="E74" s="50" t="str">
        <f>IF(D74="","",VLOOKUP(D74,'Product Master'!$B:$C,2,FALSE))</f>
        <v/>
      </c>
      <c r="F74" s="50" t="str">
        <f>IF(D74="","",IFERROR(VLOOKUP(D74,'Product Master'!$B:$G,3,FALSE),""))</f>
        <v/>
      </c>
      <c r="G74" s="51"/>
      <c r="H74" s="52" t="str">
        <f>IF(D74="","",VLOOKUP(D74,'Product Master'!$B:$F,5,FALSE))</f>
        <v/>
      </c>
      <c r="I74" s="52">
        <f>IFERROR(VLOOKUP(D74,'Product Master'!B:E,4,FALSE),0)</f>
        <v>0</v>
      </c>
      <c r="J74" s="53">
        <f>IFERROR(Table3[[#This Row],[QTY SOLD]]*Table3[[#This Row],[Selling Price]],0)</f>
        <v>0</v>
      </c>
      <c r="K74" s="50"/>
      <c r="L74" s="50">
        <f>Table3[[#This Row],[Total Sales]]-Table3[[#This Row],[Discount]]</f>
        <v>0</v>
      </c>
      <c r="M74" s="58">
        <f>Table3[[#This Row],[Net Sales]]-Table3[[#This Row],[Cost Price]]*Table3[[#This Row],[QTY SOLD]]</f>
        <v>0</v>
      </c>
      <c r="N74" s="25"/>
      <c r="O74" s="25"/>
      <c r="P74" s="25"/>
      <c r="Q74" s="25"/>
      <c r="R74" s="25"/>
      <c r="S74" s="25"/>
    </row>
    <row r="75" spans="1:19" x14ac:dyDescent="0.25">
      <c r="A75" s="65"/>
      <c r="B75" s="50"/>
      <c r="C75" s="50"/>
      <c r="D75" s="50"/>
      <c r="E75" s="50" t="str">
        <f>IF(D75="","",VLOOKUP(D75,'Product Master'!$B:$C,2,FALSE))</f>
        <v/>
      </c>
      <c r="F75" s="50" t="str">
        <f>IF(D75="","",IFERROR(VLOOKUP(D75,'Product Master'!$B:$G,3,FALSE),""))</f>
        <v/>
      </c>
      <c r="G75" s="51"/>
      <c r="H75" s="52" t="str">
        <f>IF(D75="","",VLOOKUP(D75,'Product Master'!$B:$F,5,FALSE))</f>
        <v/>
      </c>
      <c r="I75" s="52">
        <f>IFERROR(VLOOKUP(D75,'Product Master'!B:E,4,FALSE),0)</f>
        <v>0</v>
      </c>
      <c r="J75" s="53">
        <f>IFERROR(Table3[[#This Row],[QTY SOLD]]*Table3[[#This Row],[Selling Price]],0)</f>
        <v>0</v>
      </c>
      <c r="K75" s="50"/>
      <c r="L75" s="50">
        <f>Table3[[#This Row],[Total Sales]]-Table3[[#This Row],[Discount]]</f>
        <v>0</v>
      </c>
      <c r="M75" s="58">
        <f>Table3[[#This Row],[Net Sales]]-Table3[[#This Row],[Cost Price]]*Table3[[#This Row],[QTY SOLD]]</f>
        <v>0</v>
      </c>
      <c r="N75" s="25"/>
      <c r="O75" s="25"/>
      <c r="P75" s="25"/>
      <c r="Q75" s="25"/>
      <c r="R75" s="25"/>
      <c r="S75" s="25"/>
    </row>
    <row r="76" spans="1:19" x14ac:dyDescent="0.25">
      <c r="A76" s="65"/>
      <c r="B76" s="50"/>
      <c r="C76" s="50"/>
      <c r="D76" s="50"/>
      <c r="E76" s="50" t="str">
        <f>IF(D76="","",VLOOKUP(D76,'Product Master'!$B:$C,2,FALSE))</f>
        <v/>
      </c>
      <c r="F76" s="50" t="str">
        <f>IF(D76="","",IFERROR(VLOOKUP(D76,'Product Master'!$B:$G,3,FALSE),""))</f>
        <v/>
      </c>
      <c r="G76" s="51"/>
      <c r="H76" s="52" t="str">
        <f>IF(D76="","",VLOOKUP(D76,'Product Master'!$B:$F,5,FALSE))</f>
        <v/>
      </c>
      <c r="I76" s="52">
        <f>IFERROR(VLOOKUP(D76,'Product Master'!B:E,4,FALSE),0)</f>
        <v>0</v>
      </c>
      <c r="J76" s="53">
        <f>IFERROR(Table3[[#This Row],[QTY SOLD]]*Table3[[#This Row],[Selling Price]],0)</f>
        <v>0</v>
      </c>
      <c r="K76" s="50"/>
      <c r="L76" s="50">
        <f>Table3[[#This Row],[Total Sales]]-Table3[[#This Row],[Discount]]</f>
        <v>0</v>
      </c>
      <c r="M76" s="58">
        <f>Table3[[#This Row],[Net Sales]]-Table3[[#This Row],[Cost Price]]*Table3[[#This Row],[QTY SOLD]]</f>
        <v>0</v>
      </c>
      <c r="N76" s="25"/>
      <c r="O76" s="25"/>
      <c r="P76" s="25"/>
      <c r="Q76" s="25"/>
      <c r="R76" s="25"/>
      <c r="S76" s="25"/>
    </row>
    <row r="77" spans="1:19" x14ac:dyDescent="0.25">
      <c r="A77" s="65"/>
      <c r="B77" s="50"/>
      <c r="C77" s="50"/>
      <c r="D77" s="50"/>
      <c r="E77" s="50" t="str">
        <f>IF(D77="","",VLOOKUP(D77,'Product Master'!$B:$C,2,FALSE))</f>
        <v/>
      </c>
      <c r="F77" s="50" t="str">
        <f>IF(D77="","",IFERROR(VLOOKUP(D77,'Product Master'!$B:$G,3,FALSE),""))</f>
        <v/>
      </c>
      <c r="G77" s="51"/>
      <c r="H77" s="52" t="str">
        <f>IF(D77="","",VLOOKUP(D77,'Product Master'!$B:$F,5,FALSE))</f>
        <v/>
      </c>
      <c r="I77" s="52">
        <f>IFERROR(VLOOKUP(D77,'Product Master'!B:E,4,FALSE),0)</f>
        <v>0</v>
      </c>
      <c r="J77" s="53">
        <f>IFERROR(Table3[[#This Row],[QTY SOLD]]*Table3[[#This Row],[Selling Price]],0)</f>
        <v>0</v>
      </c>
      <c r="K77" s="50"/>
      <c r="L77" s="50">
        <f>Table3[[#This Row],[Total Sales]]-Table3[[#This Row],[Discount]]</f>
        <v>0</v>
      </c>
      <c r="M77" s="58">
        <f>Table3[[#This Row],[Net Sales]]-Table3[[#This Row],[Cost Price]]*Table3[[#This Row],[QTY SOLD]]</f>
        <v>0</v>
      </c>
      <c r="N77" s="25"/>
      <c r="O77" s="25"/>
      <c r="P77" s="25"/>
      <c r="Q77" s="25"/>
      <c r="R77" s="25"/>
      <c r="S77" s="25"/>
    </row>
    <row r="78" spans="1:19" x14ac:dyDescent="0.25">
      <c r="A78" s="65"/>
      <c r="B78" s="50"/>
      <c r="C78" s="50"/>
      <c r="D78" s="50"/>
      <c r="E78" s="50" t="str">
        <f>IF(D78="","",VLOOKUP(D78,'Product Master'!$B:$C,2,FALSE))</f>
        <v/>
      </c>
      <c r="F78" s="50" t="str">
        <f>IF(D78="","",IFERROR(VLOOKUP(D78,'Product Master'!$B:$G,3,FALSE),""))</f>
        <v/>
      </c>
      <c r="G78" s="51"/>
      <c r="H78" s="52" t="str">
        <f>IF(D78="","",VLOOKUP(D78,'Product Master'!$B:$F,5,FALSE))</f>
        <v/>
      </c>
      <c r="I78" s="52">
        <f>IFERROR(VLOOKUP(D78,'Product Master'!B:E,4,FALSE),0)</f>
        <v>0</v>
      </c>
      <c r="J78" s="53">
        <f>IFERROR(Table3[[#This Row],[QTY SOLD]]*Table3[[#This Row],[Selling Price]],0)</f>
        <v>0</v>
      </c>
      <c r="K78" s="50"/>
      <c r="L78" s="50">
        <f>Table3[[#This Row],[Total Sales]]-Table3[[#This Row],[Discount]]</f>
        <v>0</v>
      </c>
      <c r="M78" s="58">
        <f>Table3[[#This Row],[Net Sales]]-Table3[[#This Row],[Cost Price]]*Table3[[#This Row],[QTY SOLD]]</f>
        <v>0</v>
      </c>
      <c r="N78" s="25"/>
      <c r="O78" s="25"/>
      <c r="P78" s="25"/>
      <c r="Q78" s="25"/>
      <c r="R78" s="25"/>
      <c r="S78" s="25"/>
    </row>
    <row r="79" spans="1:19" x14ac:dyDescent="0.25">
      <c r="A79" s="65"/>
      <c r="B79" s="50"/>
      <c r="C79" s="50"/>
      <c r="D79" s="50"/>
      <c r="E79" s="50" t="str">
        <f>IF(D79="","",VLOOKUP(D79,'Product Master'!$B:$C,2,FALSE))</f>
        <v/>
      </c>
      <c r="F79" s="50" t="str">
        <f>IF(D79="","",IFERROR(VLOOKUP(D79,'Product Master'!$B:$G,3,FALSE),""))</f>
        <v/>
      </c>
      <c r="G79" s="51"/>
      <c r="H79" s="52" t="str">
        <f>IF(D79="","",VLOOKUP(D79,'Product Master'!$B:$F,5,FALSE))</f>
        <v/>
      </c>
      <c r="I79" s="52">
        <f>IFERROR(VLOOKUP(D79,'Product Master'!B:E,4,FALSE),0)</f>
        <v>0</v>
      </c>
      <c r="J79" s="53">
        <f>IFERROR(Table3[[#This Row],[QTY SOLD]]*Table3[[#This Row],[Selling Price]],0)</f>
        <v>0</v>
      </c>
      <c r="K79" s="50"/>
      <c r="L79" s="50">
        <f>Table3[[#This Row],[Total Sales]]-Table3[[#This Row],[Discount]]</f>
        <v>0</v>
      </c>
      <c r="M79" s="58">
        <f>Table3[[#This Row],[Net Sales]]-Table3[[#This Row],[Cost Price]]*Table3[[#This Row],[QTY SOLD]]</f>
        <v>0</v>
      </c>
      <c r="N79" s="25"/>
      <c r="O79" s="25"/>
      <c r="P79" s="25"/>
      <c r="Q79" s="25"/>
      <c r="R79" s="25"/>
      <c r="S79" s="25"/>
    </row>
    <row r="80" spans="1:19" x14ac:dyDescent="0.25">
      <c r="A80" s="65"/>
      <c r="B80" s="50"/>
      <c r="C80" s="50"/>
      <c r="D80" s="50"/>
      <c r="E80" s="50" t="str">
        <f>IF(D80="","",VLOOKUP(D80,'Product Master'!$B:$C,2,FALSE))</f>
        <v/>
      </c>
      <c r="F80" s="50" t="str">
        <f>IF(D80="","",IFERROR(VLOOKUP(D80,'Product Master'!$B:$G,3,FALSE),""))</f>
        <v/>
      </c>
      <c r="G80" s="51"/>
      <c r="H80" s="52" t="str">
        <f>IF(D80="","",VLOOKUP(D80,'Product Master'!$B:$F,5,FALSE))</f>
        <v/>
      </c>
      <c r="I80" s="52">
        <f>IFERROR(VLOOKUP(D80,'Product Master'!B:E,4,FALSE),0)</f>
        <v>0</v>
      </c>
      <c r="J80" s="53">
        <f>IFERROR(Table3[[#This Row],[QTY SOLD]]*Table3[[#This Row],[Selling Price]],0)</f>
        <v>0</v>
      </c>
      <c r="K80" s="50"/>
      <c r="L80" s="50">
        <f>Table3[[#This Row],[Total Sales]]-Table3[[#This Row],[Discount]]</f>
        <v>0</v>
      </c>
      <c r="M80" s="58">
        <f>Table3[[#This Row],[Net Sales]]-Table3[[#This Row],[Cost Price]]*Table3[[#This Row],[QTY SOLD]]</f>
        <v>0</v>
      </c>
      <c r="N80" s="25"/>
      <c r="O80" s="25"/>
      <c r="P80" s="25"/>
      <c r="Q80" s="25"/>
      <c r="R80" s="25"/>
      <c r="S80" s="25"/>
    </row>
    <row r="81" spans="1:19" x14ac:dyDescent="0.25">
      <c r="A81" s="65"/>
      <c r="B81" s="50"/>
      <c r="C81" s="50"/>
      <c r="D81" s="50"/>
      <c r="E81" s="50" t="str">
        <f>IF(D81="","",VLOOKUP(D81,'Product Master'!$B:$C,2,FALSE))</f>
        <v/>
      </c>
      <c r="F81" s="50" t="str">
        <f>IF(D81="","",IFERROR(VLOOKUP(D81,'Product Master'!$B:$G,3,FALSE),""))</f>
        <v/>
      </c>
      <c r="G81" s="51"/>
      <c r="H81" s="52" t="str">
        <f>IF(D81="","",VLOOKUP(D81,'Product Master'!$B:$F,5,FALSE))</f>
        <v/>
      </c>
      <c r="I81" s="52">
        <f>IFERROR(VLOOKUP(D81,'Product Master'!B:E,4,FALSE),0)</f>
        <v>0</v>
      </c>
      <c r="J81" s="53">
        <f>IFERROR(Table3[[#This Row],[QTY SOLD]]*Table3[[#This Row],[Selling Price]],0)</f>
        <v>0</v>
      </c>
      <c r="K81" s="50"/>
      <c r="L81" s="50">
        <f>Table3[[#This Row],[Total Sales]]-Table3[[#This Row],[Discount]]</f>
        <v>0</v>
      </c>
      <c r="M81" s="58">
        <f>Table3[[#This Row],[Net Sales]]-Table3[[#This Row],[Cost Price]]*Table3[[#This Row],[QTY SOLD]]</f>
        <v>0</v>
      </c>
      <c r="N81" s="25"/>
      <c r="O81" s="25"/>
      <c r="P81" s="25"/>
      <c r="Q81" s="25"/>
      <c r="R81" s="25"/>
      <c r="S81" s="25"/>
    </row>
    <row r="82" spans="1:19" x14ac:dyDescent="0.25">
      <c r="A82" s="65"/>
      <c r="B82" s="50"/>
      <c r="C82" s="50"/>
      <c r="D82" s="50"/>
      <c r="E82" s="50" t="str">
        <f>IF(D82="","",VLOOKUP(D82,'Product Master'!$B:$C,2,FALSE))</f>
        <v/>
      </c>
      <c r="F82" s="50" t="str">
        <f>IF(D82="","",IFERROR(VLOOKUP(D82,'Product Master'!$B:$G,3,FALSE),""))</f>
        <v/>
      </c>
      <c r="G82" s="51"/>
      <c r="H82" s="52" t="str">
        <f>IF(D82="","",VLOOKUP(D82,'Product Master'!$B:$F,5,FALSE))</f>
        <v/>
      </c>
      <c r="I82" s="52">
        <f>IFERROR(VLOOKUP(D82,'Product Master'!B:E,4,FALSE),0)</f>
        <v>0</v>
      </c>
      <c r="J82" s="53">
        <f>IFERROR(Table3[[#This Row],[QTY SOLD]]*Table3[[#This Row],[Selling Price]],0)</f>
        <v>0</v>
      </c>
      <c r="K82" s="50"/>
      <c r="L82" s="50">
        <f>Table3[[#This Row],[Total Sales]]-Table3[[#This Row],[Discount]]</f>
        <v>0</v>
      </c>
      <c r="M82" s="58">
        <f>Table3[[#This Row],[Net Sales]]-Table3[[#This Row],[Cost Price]]*Table3[[#This Row],[QTY SOLD]]</f>
        <v>0</v>
      </c>
      <c r="N82" s="25"/>
      <c r="O82" s="25"/>
      <c r="P82" s="25"/>
      <c r="Q82" s="25"/>
      <c r="R82" s="25"/>
      <c r="S82" s="25"/>
    </row>
    <row r="83" spans="1:19" x14ac:dyDescent="0.25">
      <c r="A83" s="65"/>
      <c r="B83" s="50"/>
      <c r="C83" s="50"/>
      <c r="D83" s="50"/>
      <c r="E83" s="50" t="str">
        <f>IF(D83="","",VLOOKUP(D83,'Product Master'!$B:$C,2,FALSE))</f>
        <v/>
      </c>
      <c r="F83" s="50" t="str">
        <f>IF(D83="","",IFERROR(VLOOKUP(D83,'Product Master'!$B:$G,3,FALSE),""))</f>
        <v/>
      </c>
      <c r="G83" s="51"/>
      <c r="H83" s="52" t="str">
        <f>IF(D83="","",VLOOKUP(D83,'Product Master'!$B:$F,5,FALSE))</f>
        <v/>
      </c>
      <c r="I83" s="52">
        <f>IFERROR(VLOOKUP(D83,'Product Master'!B:E,4,FALSE),0)</f>
        <v>0</v>
      </c>
      <c r="J83" s="53">
        <f>IFERROR(Table3[[#This Row],[QTY SOLD]]*Table3[[#This Row],[Selling Price]],0)</f>
        <v>0</v>
      </c>
      <c r="K83" s="50"/>
      <c r="L83" s="50">
        <f>Table3[[#This Row],[Total Sales]]-Table3[[#This Row],[Discount]]</f>
        <v>0</v>
      </c>
      <c r="M83" s="58">
        <f>Table3[[#This Row],[Net Sales]]-Table3[[#This Row],[Cost Price]]*Table3[[#This Row],[QTY SOLD]]</f>
        <v>0</v>
      </c>
      <c r="N83" s="25"/>
      <c r="O83" s="25"/>
      <c r="P83" s="25"/>
      <c r="Q83" s="25"/>
      <c r="R83" s="25"/>
      <c r="S83" s="25"/>
    </row>
    <row r="84" spans="1:19" x14ac:dyDescent="0.25">
      <c r="A84" s="65"/>
      <c r="B84" s="50"/>
      <c r="C84" s="50"/>
      <c r="D84" s="50"/>
      <c r="E84" s="50" t="str">
        <f>IF(D84="","",VLOOKUP(D84,'Product Master'!$B:$C,2,FALSE))</f>
        <v/>
      </c>
      <c r="F84" s="50" t="str">
        <f>IF(D84="","",IFERROR(VLOOKUP(D84,'Product Master'!$B:$G,3,FALSE),""))</f>
        <v/>
      </c>
      <c r="G84" s="51"/>
      <c r="H84" s="52" t="str">
        <f>IF(D84="","",VLOOKUP(D84,'Product Master'!$B:$F,5,FALSE))</f>
        <v/>
      </c>
      <c r="I84" s="52">
        <f>IFERROR(VLOOKUP(D84,'Product Master'!B:E,4,FALSE),0)</f>
        <v>0</v>
      </c>
      <c r="J84" s="53">
        <f>IFERROR(Table3[[#This Row],[QTY SOLD]]*Table3[[#This Row],[Selling Price]],0)</f>
        <v>0</v>
      </c>
      <c r="K84" s="50"/>
      <c r="L84" s="50">
        <f>Table3[[#This Row],[Total Sales]]-Table3[[#This Row],[Discount]]</f>
        <v>0</v>
      </c>
      <c r="M84" s="58">
        <f>Table3[[#This Row],[Net Sales]]-Table3[[#This Row],[Cost Price]]*Table3[[#This Row],[QTY SOLD]]</f>
        <v>0</v>
      </c>
      <c r="N84" s="25"/>
      <c r="O84" s="25"/>
      <c r="P84" s="25"/>
      <c r="Q84" s="25"/>
      <c r="R84" s="25"/>
      <c r="S84" s="25"/>
    </row>
    <row r="85" spans="1:19" x14ac:dyDescent="0.25">
      <c r="A85" s="65"/>
      <c r="B85" s="50"/>
      <c r="C85" s="50"/>
      <c r="D85" s="50"/>
      <c r="E85" s="50" t="str">
        <f>IF(D85="","",VLOOKUP(D85,'Product Master'!$B:$C,2,FALSE))</f>
        <v/>
      </c>
      <c r="F85" s="50" t="str">
        <f>IF(D85="","",IFERROR(VLOOKUP(D85,'Product Master'!$B:$G,3,FALSE),""))</f>
        <v/>
      </c>
      <c r="G85" s="51"/>
      <c r="H85" s="52" t="str">
        <f>IF(D85="","",VLOOKUP(D85,'Product Master'!$B:$F,5,FALSE))</f>
        <v/>
      </c>
      <c r="I85" s="52">
        <f>IFERROR(VLOOKUP(D85,'Product Master'!B:E,4,FALSE),0)</f>
        <v>0</v>
      </c>
      <c r="J85" s="53">
        <f>IFERROR(Table3[[#This Row],[QTY SOLD]]*Table3[[#This Row],[Selling Price]],0)</f>
        <v>0</v>
      </c>
      <c r="K85" s="50"/>
      <c r="L85" s="50">
        <f>Table3[[#This Row],[Total Sales]]-Table3[[#This Row],[Discount]]</f>
        <v>0</v>
      </c>
      <c r="M85" s="58">
        <f>Table3[[#This Row],[Net Sales]]-Table3[[#This Row],[Cost Price]]*Table3[[#This Row],[QTY SOLD]]</f>
        <v>0</v>
      </c>
      <c r="N85" s="25"/>
      <c r="O85" s="25"/>
      <c r="P85" s="25"/>
      <c r="Q85" s="25"/>
      <c r="R85" s="25"/>
      <c r="S85" s="25"/>
    </row>
    <row r="86" spans="1:19" x14ac:dyDescent="0.25">
      <c r="A86" s="65"/>
      <c r="B86" s="50"/>
      <c r="C86" s="50"/>
      <c r="D86" s="50"/>
      <c r="E86" s="50" t="str">
        <f>IF(D86="","",VLOOKUP(D86,'Product Master'!$B:$C,2,FALSE))</f>
        <v/>
      </c>
      <c r="F86" s="50" t="str">
        <f>IF(D86="","",IFERROR(VLOOKUP(D86,'Product Master'!$B:$G,3,FALSE),""))</f>
        <v/>
      </c>
      <c r="G86" s="51"/>
      <c r="H86" s="52" t="str">
        <f>IF(D86="","",VLOOKUP(D86,'Product Master'!$B:$F,5,FALSE))</f>
        <v/>
      </c>
      <c r="I86" s="52">
        <f>IFERROR(VLOOKUP(D86,'Product Master'!B:E,4,FALSE),0)</f>
        <v>0</v>
      </c>
      <c r="J86" s="53">
        <f>IFERROR(Table3[[#This Row],[QTY SOLD]]*Table3[[#This Row],[Selling Price]],0)</f>
        <v>0</v>
      </c>
      <c r="K86" s="50"/>
      <c r="L86" s="50">
        <f>Table3[[#This Row],[Total Sales]]-Table3[[#This Row],[Discount]]</f>
        <v>0</v>
      </c>
      <c r="M86" s="58">
        <f>Table3[[#This Row],[Net Sales]]-Table3[[#This Row],[Cost Price]]*Table3[[#This Row],[QTY SOLD]]</f>
        <v>0</v>
      </c>
      <c r="N86" s="25"/>
      <c r="O86" s="25"/>
      <c r="P86" s="25"/>
      <c r="Q86" s="25"/>
      <c r="R86" s="25"/>
      <c r="S86" s="25"/>
    </row>
    <row r="87" spans="1:19" x14ac:dyDescent="0.25">
      <c r="A87" s="65"/>
      <c r="B87" s="50"/>
      <c r="C87" s="50"/>
      <c r="D87" s="50"/>
      <c r="E87" s="50" t="str">
        <f>IF(D87="","",VLOOKUP(D87,'Product Master'!$B:$C,2,FALSE))</f>
        <v/>
      </c>
      <c r="F87" s="50" t="str">
        <f>IF(D87="","",IFERROR(VLOOKUP(D87,'Product Master'!$B:$G,3,FALSE),""))</f>
        <v/>
      </c>
      <c r="G87" s="51"/>
      <c r="H87" s="52" t="str">
        <f>IF(D87="","",VLOOKUP(D87,'Product Master'!$B:$F,5,FALSE))</f>
        <v/>
      </c>
      <c r="I87" s="52">
        <f>IFERROR(VLOOKUP(D87,'Product Master'!B:E,4,FALSE),0)</f>
        <v>0</v>
      </c>
      <c r="J87" s="53">
        <f>IFERROR(Table3[[#This Row],[QTY SOLD]]*Table3[[#This Row],[Selling Price]],0)</f>
        <v>0</v>
      </c>
      <c r="K87" s="50"/>
      <c r="L87" s="50">
        <f>Table3[[#This Row],[Total Sales]]-Table3[[#This Row],[Discount]]</f>
        <v>0</v>
      </c>
      <c r="M87" s="58">
        <f>Table3[[#This Row],[Net Sales]]-Table3[[#This Row],[Cost Price]]*Table3[[#This Row],[QTY SOLD]]</f>
        <v>0</v>
      </c>
      <c r="N87" s="25"/>
      <c r="O87" s="25"/>
      <c r="P87" s="25"/>
      <c r="Q87" s="25"/>
      <c r="R87" s="25"/>
      <c r="S87" s="25"/>
    </row>
    <row r="88" spans="1:19" x14ac:dyDescent="0.25">
      <c r="A88" s="65"/>
      <c r="B88" s="50"/>
      <c r="C88" s="50"/>
      <c r="D88" s="50"/>
      <c r="E88" s="50" t="str">
        <f>IF(D88="","",VLOOKUP(D88,'Product Master'!$B:$C,2,FALSE))</f>
        <v/>
      </c>
      <c r="F88" s="50" t="str">
        <f>IF(D88="","",IFERROR(VLOOKUP(D88,'Product Master'!$B:$G,3,FALSE),""))</f>
        <v/>
      </c>
      <c r="G88" s="51"/>
      <c r="H88" s="52" t="str">
        <f>IF(D88="","",VLOOKUP(D88,'Product Master'!$B:$F,5,FALSE))</f>
        <v/>
      </c>
      <c r="I88" s="52">
        <f>IFERROR(VLOOKUP(D88,'Product Master'!B:E,4,FALSE),0)</f>
        <v>0</v>
      </c>
      <c r="J88" s="53">
        <f>IFERROR(Table3[[#This Row],[QTY SOLD]]*Table3[[#This Row],[Selling Price]],0)</f>
        <v>0</v>
      </c>
      <c r="K88" s="50"/>
      <c r="L88" s="50">
        <f>Table3[[#This Row],[Total Sales]]-Table3[[#This Row],[Discount]]</f>
        <v>0</v>
      </c>
      <c r="M88" s="58">
        <f>Table3[[#This Row],[Net Sales]]-Table3[[#This Row],[Cost Price]]*Table3[[#This Row],[QTY SOLD]]</f>
        <v>0</v>
      </c>
      <c r="N88" s="25"/>
      <c r="O88" s="25"/>
      <c r="P88" s="25"/>
      <c r="Q88" s="25"/>
      <c r="R88" s="25"/>
      <c r="S88" s="25"/>
    </row>
    <row r="89" spans="1:19" x14ac:dyDescent="0.25">
      <c r="A89" s="65"/>
      <c r="B89" s="50"/>
      <c r="C89" s="50"/>
      <c r="D89" s="50"/>
      <c r="E89" s="50" t="str">
        <f>IF(D89="","",VLOOKUP(D89,'Product Master'!$B:$C,2,FALSE))</f>
        <v/>
      </c>
      <c r="F89" s="50" t="str">
        <f>IF(D89="","",IFERROR(VLOOKUP(D89,'Product Master'!$B:$G,3,FALSE),""))</f>
        <v/>
      </c>
      <c r="G89" s="51"/>
      <c r="H89" s="52" t="str">
        <f>IF(D89="","",VLOOKUP(D89,'Product Master'!$B:$F,5,FALSE))</f>
        <v/>
      </c>
      <c r="I89" s="52">
        <f>IFERROR(VLOOKUP(D89,'Product Master'!B:E,4,FALSE),0)</f>
        <v>0</v>
      </c>
      <c r="J89" s="53">
        <f>IFERROR(Table3[[#This Row],[QTY SOLD]]*Table3[[#This Row],[Selling Price]],0)</f>
        <v>0</v>
      </c>
      <c r="K89" s="50"/>
      <c r="L89" s="50">
        <f>Table3[[#This Row],[Total Sales]]-Table3[[#This Row],[Discount]]</f>
        <v>0</v>
      </c>
      <c r="M89" s="58">
        <f>Table3[[#This Row],[Net Sales]]-Table3[[#This Row],[Cost Price]]*Table3[[#This Row],[QTY SOLD]]</f>
        <v>0</v>
      </c>
      <c r="N89" s="25"/>
      <c r="O89" s="25"/>
      <c r="P89" s="25"/>
      <c r="Q89" s="25"/>
      <c r="R89" s="25"/>
      <c r="S89" s="25"/>
    </row>
    <row r="90" spans="1:19" x14ac:dyDescent="0.25">
      <c r="A90" s="65"/>
      <c r="B90" s="50"/>
      <c r="C90" s="50"/>
      <c r="D90" s="50"/>
      <c r="E90" s="50" t="str">
        <f>IF(D90="","",VLOOKUP(D90,'Product Master'!$B:$C,2,FALSE))</f>
        <v/>
      </c>
      <c r="F90" s="50" t="str">
        <f>IF(D90="","",IFERROR(VLOOKUP(D90,'Product Master'!$B:$G,3,FALSE),""))</f>
        <v/>
      </c>
      <c r="G90" s="51"/>
      <c r="H90" s="52" t="str">
        <f>IF(D90="","",VLOOKUP(D90,'Product Master'!$B:$F,5,FALSE))</f>
        <v/>
      </c>
      <c r="I90" s="52">
        <f>IFERROR(VLOOKUP(D90,'Product Master'!B:E,4,FALSE),0)</f>
        <v>0</v>
      </c>
      <c r="J90" s="53">
        <f>IFERROR(Table3[[#This Row],[QTY SOLD]]*Table3[[#This Row],[Selling Price]],0)</f>
        <v>0</v>
      </c>
      <c r="K90" s="50"/>
      <c r="L90" s="50">
        <f>Table3[[#This Row],[Total Sales]]-Table3[[#This Row],[Discount]]</f>
        <v>0</v>
      </c>
      <c r="M90" s="58">
        <f>Table3[[#This Row],[Net Sales]]-Table3[[#This Row],[Cost Price]]*Table3[[#This Row],[QTY SOLD]]</f>
        <v>0</v>
      </c>
      <c r="N90" s="25"/>
      <c r="O90" s="25"/>
      <c r="P90" s="25"/>
      <c r="Q90" s="25"/>
      <c r="R90" s="25"/>
      <c r="S90" s="25"/>
    </row>
    <row r="91" spans="1:19" x14ac:dyDescent="0.25">
      <c r="A91" s="65"/>
      <c r="B91" s="50"/>
      <c r="C91" s="50"/>
      <c r="D91" s="50"/>
      <c r="E91" s="50" t="str">
        <f>IF(D91="","",VLOOKUP(D91,'Product Master'!$B:$C,2,FALSE))</f>
        <v/>
      </c>
      <c r="F91" s="50" t="str">
        <f>IF(D91="","",IFERROR(VLOOKUP(D91,'Product Master'!$B:$G,3,FALSE),""))</f>
        <v/>
      </c>
      <c r="G91" s="51"/>
      <c r="H91" s="52" t="str">
        <f>IF(D91="","",VLOOKUP(D91,'Product Master'!$B:$F,5,FALSE))</f>
        <v/>
      </c>
      <c r="I91" s="52">
        <f>IFERROR(VLOOKUP(D91,'Product Master'!B:E,4,FALSE),0)</f>
        <v>0</v>
      </c>
      <c r="J91" s="53">
        <f>IFERROR(Table3[[#This Row],[QTY SOLD]]*Table3[[#This Row],[Selling Price]],0)</f>
        <v>0</v>
      </c>
      <c r="K91" s="50"/>
      <c r="L91" s="50">
        <f>Table3[[#This Row],[Total Sales]]-Table3[[#This Row],[Discount]]</f>
        <v>0</v>
      </c>
      <c r="M91" s="58">
        <f>Table3[[#This Row],[Net Sales]]-Table3[[#This Row],[Cost Price]]*Table3[[#This Row],[QTY SOLD]]</f>
        <v>0</v>
      </c>
      <c r="N91" s="25"/>
      <c r="O91" s="25"/>
      <c r="P91" s="25"/>
      <c r="Q91" s="25"/>
      <c r="R91" s="25"/>
      <c r="S91" s="25"/>
    </row>
    <row r="92" spans="1:19" x14ac:dyDescent="0.25">
      <c r="A92" s="65"/>
      <c r="B92" s="50"/>
      <c r="C92" s="50"/>
      <c r="D92" s="50"/>
      <c r="E92" s="50" t="str">
        <f>IF(D92="","",VLOOKUP(D92,'Product Master'!$B:$C,2,FALSE))</f>
        <v/>
      </c>
      <c r="F92" s="50" t="str">
        <f>IF(D92="","",IFERROR(VLOOKUP(D92,'Product Master'!$B:$G,3,FALSE),""))</f>
        <v/>
      </c>
      <c r="G92" s="51"/>
      <c r="H92" s="52" t="str">
        <f>IF(D92="","",VLOOKUP(D92,'Product Master'!$B:$F,5,FALSE))</f>
        <v/>
      </c>
      <c r="I92" s="52">
        <f>IFERROR(VLOOKUP(D92,'Product Master'!B:E,4,FALSE),0)</f>
        <v>0</v>
      </c>
      <c r="J92" s="53">
        <f>IFERROR(Table3[[#This Row],[QTY SOLD]]*Table3[[#This Row],[Selling Price]],0)</f>
        <v>0</v>
      </c>
      <c r="K92" s="50"/>
      <c r="L92" s="50">
        <f>Table3[[#This Row],[Total Sales]]-Table3[[#This Row],[Discount]]</f>
        <v>0</v>
      </c>
      <c r="M92" s="58">
        <f>Table3[[#This Row],[Net Sales]]-Table3[[#This Row],[Cost Price]]*Table3[[#This Row],[QTY SOLD]]</f>
        <v>0</v>
      </c>
      <c r="N92" s="25"/>
      <c r="O92" s="25"/>
      <c r="P92" s="25"/>
      <c r="Q92" s="25"/>
      <c r="R92" s="25"/>
      <c r="S92" s="25"/>
    </row>
    <row r="93" spans="1:19" x14ac:dyDescent="0.25">
      <c r="A93" s="65"/>
      <c r="B93" s="50"/>
      <c r="C93" s="50"/>
      <c r="D93" s="50"/>
      <c r="E93" s="50" t="str">
        <f>IF(D93="","",VLOOKUP(D93,'Product Master'!$B:$C,2,FALSE))</f>
        <v/>
      </c>
      <c r="F93" s="50" t="str">
        <f>IF(D93="","",IFERROR(VLOOKUP(D93,'Product Master'!$B:$G,3,FALSE),""))</f>
        <v/>
      </c>
      <c r="G93" s="51"/>
      <c r="H93" s="52" t="str">
        <f>IF(D93="","",VLOOKUP(D93,'Product Master'!$B:$F,5,FALSE))</f>
        <v/>
      </c>
      <c r="I93" s="52">
        <f>IFERROR(VLOOKUP(D93,'Product Master'!B:E,4,FALSE),0)</f>
        <v>0</v>
      </c>
      <c r="J93" s="53">
        <f>IFERROR(Table3[[#This Row],[QTY SOLD]]*Table3[[#This Row],[Selling Price]],0)</f>
        <v>0</v>
      </c>
      <c r="K93" s="50"/>
      <c r="L93" s="50">
        <f>Table3[[#This Row],[Total Sales]]-Table3[[#This Row],[Discount]]</f>
        <v>0</v>
      </c>
      <c r="M93" s="58">
        <f>Table3[[#This Row],[Net Sales]]-Table3[[#This Row],[Cost Price]]*Table3[[#This Row],[QTY SOLD]]</f>
        <v>0</v>
      </c>
      <c r="N93" s="25"/>
      <c r="O93" s="25"/>
      <c r="P93" s="25"/>
      <c r="Q93" s="25"/>
      <c r="R93" s="25"/>
      <c r="S93" s="25"/>
    </row>
    <row r="94" spans="1:19" x14ac:dyDescent="0.25">
      <c r="A94" s="65"/>
      <c r="B94" s="50"/>
      <c r="C94" s="50"/>
      <c r="D94" s="50"/>
      <c r="E94" s="50" t="str">
        <f>IF(D94="","",VLOOKUP(D94,'Product Master'!$B:$C,2,FALSE))</f>
        <v/>
      </c>
      <c r="F94" s="50" t="str">
        <f>IF(D94="","",IFERROR(VLOOKUP(D94,'Product Master'!$B:$G,3,FALSE),""))</f>
        <v/>
      </c>
      <c r="G94" s="51"/>
      <c r="H94" s="52" t="str">
        <f>IF(D94="","",VLOOKUP(D94,'Product Master'!$B:$F,5,FALSE))</f>
        <v/>
      </c>
      <c r="I94" s="52">
        <f>IFERROR(VLOOKUP(D94,'Product Master'!B:E,4,FALSE),0)</f>
        <v>0</v>
      </c>
      <c r="J94" s="53">
        <f>IFERROR(Table3[[#This Row],[QTY SOLD]]*Table3[[#This Row],[Selling Price]],0)</f>
        <v>0</v>
      </c>
      <c r="K94" s="50"/>
      <c r="L94" s="50">
        <f>Table3[[#This Row],[Total Sales]]-Table3[[#This Row],[Discount]]</f>
        <v>0</v>
      </c>
      <c r="M94" s="58">
        <f>Table3[[#This Row],[Net Sales]]-Table3[[#This Row],[Cost Price]]*Table3[[#This Row],[QTY SOLD]]</f>
        <v>0</v>
      </c>
      <c r="N94" s="25"/>
      <c r="O94" s="25"/>
      <c r="P94" s="25"/>
      <c r="Q94" s="25"/>
      <c r="R94" s="25"/>
      <c r="S94" s="25"/>
    </row>
    <row r="95" spans="1:19" x14ac:dyDescent="0.25">
      <c r="A95" s="65"/>
      <c r="B95" s="50"/>
      <c r="C95" s="50"/>
      <c r="D95" s="50"/>
      <c r="E95" s="50" t="str">
        <f>IF(D95="","",VLOOKUP(D95,'Product Master'!$B:$C,2,FALSE))</f>
        <v/>
      </c>
      <c r="F95" s="50" t="str">
        <f>IF(D95="","",IFERROR(VLOOKUP(D95,'Product Master'!$B:$G,3,FALSE),""))</f>
        <v/>
      </c>
      <c r="G95" s="51"/>
      <c r="H95" s="52" t="str">
        <f>IF(D95="","",VLOOKUP(D95,'Product Master'!$B:$F,5,FALSE))</f>
        <v/>
      </c>
      <c r="I95" s="52">
        <f>IFERROR(VLOOKUP(D95,'Product Master'!B:E,4,FALSE),0)</f>
        <v>0</v>
      </c>
      <c r="J95" s="53">
        <f>IFERROR(Table3[[#This Row],[QTY SOLD]]*Table3[[#This Row],[Selling Price]],0)</f>
        <v>0</v>
      </c>
      <c r="K95" s="50"/>
      <c r="L95" s="50">
        <f>Table3[[#This Row],[Total Sales]]-Table3[[#This Row],[Discount]]</f>
        <v>0</v>
      </c>
      <c r="M95" s="58">
        <f>Table3[[#This Row],[Net Sales]]-Table3[[#This Row],[Cost Price]]*Table3[[#This Row],[QTY SOLD]]</f>
        <v>0</v>
      </c>
      <c r="N95" s="25"/>
      <c r="O95" s="25"/>
      <c r="P95" s="25"/>
      <c r="Q95" s="25"/>
      <c r="R95" s="25"/>
      <c r="S95" s="25"/>
    </row>
    <row r="96" spans="1:19" x14ac:dyDescent="0.25">
      <c r="A96" s="65"/>
      <c r="B96" s="50"/>
      <c r="C96" s="50"/>
      <c r="D96" s="50"/>
      <c r="E96" s="50" t="str">
        <f>IF(D96="","",VLOOKUP(D96,'Product Master'!$B:$C,2,FALSE))</f>
        <v/>
      </c>
      <c r="F96" s="50" t="str">
        <f>IF(D96="","",IFERROR(VLOOKUP(D96,'Product Master'!$B:$G,3,FALSE),""))</f>
        <v/>
      </c>
      <c r="G96" s="51"/>
      <c r="H96" s="52" t="str">
        <f>IF(D96="","",VLOOKUP(D96,'Product Master'!$B:$F,5,FALSE))</f>
        <v/>
      </c>
      <c r="I96" s="52">
        <f>IFERROR(VLOOKUP(D96,'Product Master'!B:E,4,FALSE),0)</f>
        <v>0</v>
      </c>
      <c r="J96" s="53">
        <f>IFERROR(Table3[[#This Row],[QTY SOLD]]*Table3[[#This Row],[Selling Price]],0)</f>
        <v>0</v>
      </c>
      <c r="K96" s="50"/>
      <c r="L96" s="50">
        <f>Table3[[#This Row],[Total Sales]]-Table3[[#This Row],[Discount]]</f>
        <v>0</v>
      </c>
      <c r="M96" s="58">
        <f>Table3[[#This Row],[Net Sales]]-Table3[[#This Row],[Cost Price]]*Table3[[#This Row],[QTY SOLD]]</f>
        <v>0</v>
      </c>
      <c r="N96" s="25"/>
      <c r="O96" s="25"/>
      <c r="P96" s="25"/>
      <c r="Q96" s="25"/>
      <c r="R96" s="25"/>
      <c r="S96" s="25"/>
    </row>
    <row r="97" spans="1:19" x14ac:dyDescent="0.25">
      <c r="A97" s="65"/>
      <c r="B97" s="50"/>
      <c r="C97" s="50"/>
      <c r="D97" s="50"/>
      <c r="E97" s="50" t="str">
        <f>IF(D97="","",VLOOKUP(D97,'Product Master'!$B:$C,2,FALSE))</f>
        <v/>
      </c>
      <c r="F97" s="50" t="str">
        <f>IF(D97="","",IFERROR(VLOOKUP(D97,'Product Master'!$B:$G,3,FALSE),""))</f>
        <v/>
      </c>
      <c r="G97" s="51"/>
      <c r="H97" s="52" t="str">
        <f>IF(D97="","",VLOOKUP(D97,'Product Master'!$B:$F,5,FALSE))</f>
        <v/>
      </c>
      <c r="I97" s="52">
        <f>IFERROR(VLOOKUP(D97,'Product Master'!B:E,4,FALSE),0)</f>
        <v>0</v>
      </c>
      <c r="J97" s="53">
        <f>IFERROR(Table3[[#This Row],[QTY SOLD]]*Table3[[#This Row],[Selling Price]],0)</f>
        <v>0</v>
      </c>
      <c r="K97" s="50"/>
      <c r="L97" s="50">
        <f>Table3[[#This Row],[Total Sales]]-Table3[[#This Row],[Discount]]</f>
        <v>0</v>
      </c>
      <c r="M97" s="58">
        <f>Table3[[#This Row],[Net Sales]]-Table3[[#This Row],[Cost Price]]*Table3[[#This Row],[QTY SOLD]]</f>
        <v>0</v>
      </c>
      <c r="N97" s="25"/>
      <c r="O97" s="25"/>
      <c r="P97" s="25"/>
      <c r="Q97" s="25"/>
      <c r="R97" s="25"/>
      <c r="S97" s="25"/>
    </row>
    <row r="98" spans="1:19" x14ac:dyDescent="0.25">
      <c r="A98" s="65"/>
      <c r="B98" s="50"/>
      <c r="C98" s="50"/>
      <c r="D98" s="50"/>
      <c r="E98" s="50" t="str">
        <f>IF(D98="","",VLOOKUP(D98,'Product Master'!$B:$C,2,FALSE))</f>
        <v/>
      </c>
      <c r="F98" s="50" t="str">
        <f>IF(D98="","",IFERROR(VLOOKUP(D98,'Product Master'!$B:$G,3,FALSE),""))</f>
        <v/>
      </c>
      <c r="G98" s="51"/>
      <c r="H98" s="52" t="str">
        <f>IF(D98="","",VLOOKUP(D98,'Product Master'!$B:$F,5,FALSE))</f>
        <v/>
      </c>
      <c r="I98" s="52">
        <f>IFERROR(VLOOKUP(D98,'Product Master'!B:E,4,FALSE),0)</f>
        <v>0</v>
      </c>
      <c r="J98" s="53">
        <f>IFERROR(Table3[[#This Row],[QTY SOLD]]*Table3[[#This Row],[Selling Price]],0)</f>
        <v>0</v>
      </c>
      <c r="K98" s="50"/>
      <c r="L98" s="50">
        <f>Table3[[#This Row],[Total Sales]]-Table3[[#This Row],[Discount]]</f>
        <v>0</v>
      </c>
      <c r="M98" s="58">
        <f>Table3[[#This Row],[Net Sales]]-Table3[[#This Row],[Cost Price]]*Table3[[#This Row],[QTY SOLD]]</f>
        <v>0</v>
      </c>
      <c r="N98" s="25"/>
      <c r="O98" s="25"/>
      <c r="P98" s="25"/>
      <c r="Q98" s="25"/>
      <c r="R98" s="25"/>
      <c r="S98" s="25"/>
    </row>
    <row r="99" spans="1:19" x14ac:dyDescent="0.25">
      <c r="A99" s="65"/>
      <c r="B99" s="50"/>
      <c r="C99" s="50"/>
      <c r="D99" s="50"/>
      <c r="E99" s="50" t="str">
        <f>IF(D99="","",VLOOKUP(D99,'Product Master'!$B:$C,2,FALSE))</f>
        <v/>
      </c>
      <c r="F99" s="50" t="str">
        <f>IF(D99="","",IFERROR(VLOOKUP(D99,'Product Master'!$B:$G,3,FALSE),""))</f>
        <v/>
      </c>
      <c r="G99" s="51"/>
      <c r="H99" s="52" t="str">
        <f>IF(D99="","",VLOOKUP(D99,'Product Master'!$B:$F,5,FALSE))</f>
        <v/>
      </c>
      <c r="I99" s="52">
        <f>IFERROR(VLOOKUP(D99,'Product Master'!B:E,4,FALSE),0)</f>
        <v>0</v>
      </c>
      <c r="J99" s="53">
        <f>IFERROR(Table3[[#This Row],[QTY SOLD]]*Table3[[#This Row],[Selling Price]],0)</f>
        <v>0</v>
      </c>
      <c r="K99" s="50"/>
      <c r="L99" s="50">
        <f>Table3[[#This Row],[Total Sales]]-Table3[[#This Row],[Discount]]</f>
        <v>0</v>
      </c>
      <c r="M99" s="58">
        <f>Table3[[#This Row],[Net Sales]]-Table3[[#This Row],[Cost Price]]*Table3[[#This Row],[QTY SOLD]]</f>
        <v>0</v>
      </c>
      <c r="N99" s="25"/>
      <c r="O99" s="25"/>
      <c r="P99" s="25"/>
      <c r="Q99" s="25"/>
      <c r="R99" s="25"/>
      <c r="S99" s="25"/>
    </row>
    <row r="100" spans="1:19" x14ac:dyDescent="0.25">
      <c r="A100" s="65"/>
      <c r="B100" s="50"/>
      <c r="C100" s="50"/>
      <c r="D100" s="50"/>
      <c r="E100" s="50" t="str">
        <f>IF(D100="","",VLOOKUP(D100,'Product Master'!$B:$C,2,FALSE))</f>
        <v/>
      </c>
      <c r="F100" s="50" t="str">
        <f>IF(D100="","",IFERROR(VLOOKUP(D100,'Product Master'!$B:$G,3,FALSE),""))</f>
        <v/>
      </c>
      <c r="G100" s="51"/>
      <c r="H100" s="52" t="str">
        <f>IF(D100="","",VLOOKUP(D100,'Product Master'!$B:$F,5,FALSE))</f>
        <v/>
      </c>
      <c r="I100" s="52">
        <f>IFERROR(VLOOKUP(D100,'Product Master'!B:E,4,FALSE),0)</f>
        <v>0</v>
      </c>
      <c r="J100" s="53">
        <f>IFERROR(Table3[[#This Row],[QTY SOLD]]*Table3[[#This Row],[Selling Price]],0)</f>
        <v>0</v>
      </c>
      <c r="K100" s="50"/>
      <c r="L100" s="50">
        <f>Table3[[#This Row],[Total Sales]]-Table3[[#This Row],[Discount]]</f>
        <v>0</v>
      </c>
      <c r="M100" s="58">
        <f>Table3[[#This Row],[Net Sales]]-Table3[[#This Row],[Cost Price]]*Table3[[#This Row],[QTY SOLD]]</f>
        <v>0</v>
      </c>
      <c r="N100" s="25"/>
      <c r="O100" s="25"/>
      <c r="P100" s="25"/>
      <c r="Q100" s="25"/>
      <c r="R100" s="25"/>
      <c r="S100" s="25"/>
    </row>
    <row r="101" spans="1:19" x14ac:dyDescent="0.25">
      <c r="A101" s="65"/>
      <c r="B101" s="50"/>
      <c r="C101" s="50"/>
      <c r="D101" s="50"/>
      <c r="E101" s="50" t="str">
        <f>IF(D101="","",VLOOKUP(D101,'Product Master'!$B:$C,2,FALSE))</f>
        <v/>
      </c>
      <c r="F101" s="50" t="str">
        <f>IF(D101="","",IFERROR(VLOOKUP(D101,'Product Master'!$B:$G,3,FALSE),""))</f>
        <v/>
      </c>
      <c r="G101" s="51"/>
      <c r="H101" s="52" t="str">
        <f>IF(D101="","",VLOOKUP(D101,'Product Master'!$B:$F,5,FALSE))</f>
        <v/>
      </c>
      <c r="I101" s="52">
        <f>IFERROR(VLOOKUP(D101,'Product Master'!B:E,4,FALSE),0)</f>
        <v>0</v>
      </c>
      <c r="J101" s="53">
        <f>IFERROR(Table3[[#This Row],[QTY SOLD]]*Table3[[#This Row],[Selling Price]],0)</f>
        <v>0</v>
      </c>
      <c r="K101" s="50"/>
      <c r="L101" s="50">
        <f>Table3[[#This Row],[Total Sales]]-Table3[[#This Row],[Discount]]</f>
        <v>0</v>
      </c>
      <c r="M101" s="58">
        <f>Table3[[#This Row],[Net Sales]]-Table3[[#This Row],[Cost Price]]*Table3[[#This Row],[QTY SOLD]]</f>
        <v>0</v>
      </c>
      <c r="N101" s="25"/>
      <c r="O101" s="25"/>
      <c r="P101" s="25"/>
      <c r="Q101" s="25"/>
      <c r="R101" s="25"/>
      <c r="S101" s="25"/>
    </row>
    <row r="102" spans="1:19" x14ac:dyDescent="0.25">
      <c r="A102" s="65"/>
      <c r="B102" s="50"/>
      <c r="C102" s="50"/>
      <c r="D102" s="50"/>
      <c r="E102" s="50" t="str">
        <f>IF(D102="","",VLOOKUP(D102,'Product Master'!$B:$C,2,FALSE))</f>
        <v/>
      </c>
      <c r="F102" s="50" t="str">
        <f>IF(D102="","",IFERROR(VLOOKUP(D102,'Product Master'!$B:$G,3,FALSE),""))</f>
        <v/>
      </c>
      <c r="G102" s="51"/>
      <c r="H102" s="52" t="str">
        <f>IF(D102="","",VLOOKUP(D102,'Product Master'!$B:$F,5,FALSE))</f>
        <v/>
      </c>
      <c r="I102" s="52">
        <f>IFERROR(VLOOKUP(D102,'Product Master'!B:E,4,FALSE),0)</f>
        <v>0</v>
      </c>
      <c r="J102" s="53">
        <f>IFERROR(Table3[[#This Row],[QTY SOLD]]*Table3[[#This Row],[Selling Price]],0)</f>
        <v>0</v>
      </c>
      <c r="K102" s="50"/>
      <c r="L102" s="50">
        <f>Table3[[#This Row],[Total Sales]]-Table3[[#This Row],[Discount]]</f>
        <v>0</v>
      </c>
      <c r="M102" s="58">
        <f>Table3[[#This Row],[Net Sales]]-Table3[[#This Row],[Cost Price]]*Table3[[#This Row],[QTY SOLD]]</f>
        <v>0</v>
      </c>
      <c r="N102" s="25"/>
      <c r="O102" s="25"/>
      <c r="P102" s="25"/>
      <c r="Q102" s="25"/>
      <c r="R102" s="25"/>
      <c r="S102" s="25"/>
    </row>
    <row r="103" spans="1:19" x14ac:dyDescent="0.25">
      <c r="A103" s="65"/>
      <c r="B103" s="50"/>
      <c r="C103" s="50"/>
      <c r="D103" s="50"/>
      <c r="E103" s="50" t="str">
        <f>IF(D103="","",VLOOKUP(D103,'Product Master'!$B:$C,2,FALSE))</f>
        <v/>
      </c>
      <c r="F103" s="50" t="str">
        <f>IF(D103="","",IFERROR(VLOOKUP(D103,'Product Master'!$B:$G,3,FALSE),""))</f>
        <v/>
      </c>
      <c r="G103" s="51"/>
      <c r="H103" s="52" t="str">
        <f>IF(D103="","",VLOOKUP(D103,'Product Master'!$B:$F,5,FALSE))</f>
        <v/>
      </c>
      <c r="I103" s="52">
        <f>IFERROR(VLOOKUP(D103,'Product Master'!B:E,4,FALSE),0)</f>
        <v>0</v>
      </c>
      <c r="J103" s="53">
        <f>IFERROR(Table3[[#This Row],[QTY SOLD]]*Table3[[#This Row],[Selling Price]],0)</f>
        <v>0</v>
      </c>
      <c r="K103" s="50"/>
      <c r="L103" s="50">
        <f>Table3[[#This Row],[Total Sales]]-Table3[[#This Row],[Discount]]</f>
        <v>0</v>
      </c>
      <c r="M103" s="58">
        <f>Table3[[#This Row],[Net Sales]]-Table3[[#This Row],[Cost Price]]*Table3[[#This Row],[QTY SOLD]]</f>
        <v>0</v>
      </c>
      <c r="N103" s="25"/>
      <c r="O103" s="25"/>
      <c r="P103" s="25"/>
      <c r="Q103" s="25"/>
      <c r="R103" s="25"/>
      <c r="S103" s="25"/>
    </row>
    <row r="104" spans="1:19" x14ac:dyDescent="0.25">
      <c r="A104" s="65"/>
      <c r="B104" s="50"/>
      <c r="C104" s="50"/>
      <c r="D104" s="50"/>
      <c r="E104" s="50" t="str">
        <f>IF(D104="","",VLOOKUP(D104,'Product Master'!$B:$C,2,FALSE))</f>
        <v/>
      </c>
      <c r="F104" s="50" t="str">
        <f>IF(D104="","",IFERROR(VLOOKUP(D104,'Product Master'!$B:$G,3,FALSE),""))</f>
        <v/>
      </c>
      <c r="G104" s="51"/>
      <c r="H104" s="52" t="str">
        <f>IF(D104="","",VLOOKUP(D104,'Product Master'!$B:$F,5,FALSE))</f>
        <v/>
      </c>
      <c r="I104" s="52">
        <f>IFERROR(VLOOKUP(D104,'Product Master'!B:E,4,FALSE),0)</f>
        <v>0</v>
      </c>
      <c r="J104" s="53">
        <f>IFERROR(Table3[[#This Row],[QTY SOLD]]*Table3[[#This Row],[Selling Price]],0)</f>
        <v>0</v>
      </c>
      <c r="K104" s="50"/>
      <c r="L104" s="50">
        <f>Table3[[#This Row],[Total Sales]]-Table3[[#This Row],[Discount]]</f>
        <v>0</v>
      </c>
      <c r="M104" s="58">
        <f>Table3[[#This Row],[Net Sales]]-Table3[[#This Row],[Cost Price]]*Table3[[#This Row],[QTY SOLD]]</f>
        <v>0</v>
      </c>
      <c r="N104" s="25"/>
      <c r="O104" s="25"/>
      <c r="P104" s="25"/>
      <c r="Q104" s="25"/>
      <c r="R104" s="25"/>
      <c r="S104" s="25"/>
    </row>
    <row r="105" spans="1:19" x14ac:dyDescent="0.25">
      <c r="A105" s="65"/>
      <c r="B105" s="50"/>
      <c r="C105" s="50"/>
      <c r="D105" s="50"/>
      <c r="E105" s="50" t="str">
        <f>IF(D105="","",VLOOKUP(D105,'Product Master'!$B:$C,2,FALSE))</f>
        <v/>
      </c>
      <c r="F105" s="50" t="str">
        <f>IF(D105="","",IFERROR(VLOOKUP(D105,'Product Master'!$B:$G,3,FALSE),""))</f>
        <v/>
      </c>
      <c r="G105" s="51"/>
      <c r="H105" s="52" t="str">
        <f>IF(D105="","",VLOOKUP(D105,'Product Master'!$B:$F,5,FALSE))</f>
        <v/>
      </c>
      <c r="I105" s="52">
        <f>IFERROR(VLOOKUP(D105,'Product Master'!B:E,4,FALSE),0)</f>
        <v>0</v>
      </c>
      <c r="J105" s="53">
        <f>IFERROR(Table3[[#This Row],[QTY SOLD]]*Table3[[#This Row],[Selling Price]],0)</f>
        <v>0</v>
      </c>
      <c r="K105" s="50"/>
      <c r="L105" s="50">
        <f>Table3[[#This Row],[Total Sales]]-Table3[[#This Row],[Discount]]</f>
        <v>0</v>
      </c>
      <c r="M105" s="58">
        <f>Table3[[#This Row],[Net Sales]]-Table3[[#This Row],[Cost Price]]*Table3[[#This Row],[QTY SOLD]]</f>
        <v>0</v>
      </c>
      <c r="N105" s="25"/>
      <c r="O105" s="25"/>
      <c r="P105" s="25"/>
      <c r="Q105" s="25"/>
      <c r="R105" s="25"/>
      <c r="S105" s="25"/>
    </row>
    <row r="106" spans="1:19" x14ac:dyDescent="0.25">
      <c r="A106" s="65"/>
      <c r="B106" s="50"/>
      <c r="C106" s="50"/>
      <c r="D106" s="50"/>
      <c r="E106" s="50" t="str">
        <f>IF(D106="","",VLOOKUP(D106,'Product Master'!$B:$C,2,FALSE))</f>
        <v/>
      </c>
      <c r="F106" s="50" t="str">
        <f>IF(D106="","",IFERROR(VLOOKUP(D106,'Product Master'!$B:$G,3,FALSE),""))</f>
        <v/>
      </c>
      <c r="G106" s="51"/>
      <c r="H106" s="52" t="str">
        <f>IF(D106="","",VLOOKUP(D106,'Product Master'!$B:$F,5,FALSE))</f>
        <v/>
      </c>
      <c r="I106" s="52">
        <f>IFERROR(VLOOKUP(D106,'Product Master'!B:E,4,FALSE),0)</f>
        <v>0</v>
      </c>
      <c r="J106" s="53">
        <f>IFERROR(Table3[[#This Row],[QTY SOLD]]*Table3[[#This Row],[Selling Price]],0)</f>
        <v>0</v>
      </c>
      <c r="K106" s="50"/>
      <c r="L106" s="50">
        <f>Table3[[#This Row],[Total Sales]]-Table3[[#This Row],[Discount]]</f>
        <v>0</v>
      </c>
      <c r="M106" s="58">
        <f>Table3[[#This Row],[Net Sales]]-Table3[[#This Row],[Cost Price]]*Table3[[#This Row],[QTY SOLD]]</f>
        <v>0</v>
      </c>
      <c r="N106" s="25"/>
      <c r="O106" s="25"/>
      <c r="P106" s="25"/>
      <c r="Q106" s="25"/>
      <c r="R106" s="25"/>
      <c r="S106" s="25"/>
    </row>
    <row r="107" spans="1:19" x14ac:dyDescent="0.25">
      <c r="A107" s="65"/>
      <c r="B107" s="50"/>
      <c r="C107" s="50"/>
      <c r="D107" s="50"/>
      <c r="E107" s="50" t="str">
        <f>IF(D107="","",VLOOKUP(D107,'Product Master'!$B:$C,2,FALSE))</f>
        <v/>
      </c>
      <c r="F107" s="50" t="str">
        <f>IF(D107="","",IFERROR(VLOOKUP(D107,'Product Master'!$B:$G,3,FALSE),""))</f>
        <v/>
      </c>
      <c r="G107" s="51"/>
      <c r="H107" s="52" t="str">
        <f>IF(D107="","",VLOOKUP(D107,'Product Master'!$B:$F,5,FALSE))</f>
        <v/>
      </c>
      <c r="I107" s="52">
        <f>IFERROR(VLOOKUP(D107,'Product Master'!B:E,4,FALSE),0)</f>
        <v>0</v>
      </c>
      <c r="J107" s="53">
        <f>IFERROR(Table3[[#This Row],[QTY SOLD]]*Table3[[#This Row],[Selling Price]],0)</f>
        <v>0</v>
      </c>
      <c r="K107" s="50"/>
      <c r="L107" s="50">
        <f>Table3[[#This Row],[Total Sales]]-Table3[[#This Row],[Discount]]</f>
        <v>0</v>
      </c>
      <c r="M107" s="58">
        <f>Table3[[#This Row],[Net Sales]]-Table3[[#This Row],[Cost Price]]*Table3[[#This Row],[QTY SOLD]]</f>
        <v>0</v>
      </c>
      <c r="N107" s="25"/>
      <c r="O107" s="25"/>
      <c r="P107" s="25"/>
      <c r="Q107" s="25"/>
      <c r="R107" s="25"/>
      <c r="S107" s="25"/>
    </row>
    <row r="108" spans="1:19" x14ac:dyDescent="0.25">
      <c r="A108" s="65"/>
      <c r="B108" s="50"/>
      <c r="C108" s="50"/>
      <c r="D108" s="50"/>
      <c r="E108" s="50" t="str">
        <f>IF(D108="","",VLOOKUP(D108,'Product Master'!$B:$C,2,FALSE))</f>
        <v/>
      </c>
      <c r="F108" s="50" t="str">
        <f>IF(D108="","",IFERROR(VLOOKUP(D108,'Product Master'!$B:$G,3,FALSE),""))</f>
        <v/>
      </c>
      <c r="G108" s="51"/>
      <c r="H108" s="52" t="str">
        <f>IF(D108="","",VLOOKUP(D108,'Product Master'!$B:$F,5,FALSE))</f>
        <v/>
      </c>
      <c r="I108" s="52">
        <f>IFERROR(VLOOKUP(D108,'Product Master'!B:E,4,FALSE),0)</f>
        <v>0</v>
      </c>
      <c r="J108" s="53">
        <f>IFERROR(Table3[[#This Row],[QTY SOLD]]*Table3[[#This Row],[Selling Price]],0)</f>
        <v>0</v>
      </c>
      <c r="K108" s="50"/>
      <c r="L108" s="50">
        <f>Table3[[#This Row],[Total Sales]]-Table3[[#This Row],[Discount]]</f>
        <v>0</v>
      </c>
      <c r="M108" s="58">
        <f>Table3[[#This Row],[Net Sales]]-Table3[[#This Row],[Cost Price]]*Table3[[#This Row],[QTY SOLD]]</f>
        <v>0</v>
      </c>
      <c r="N108" s="25"/>
      <c r="O108" s="25"/>
      <c r="P108" s="25"/>
      <c r="Q108" s="25"/>
      <c r="R108" s="25"/>
      <c r="S108" s="25"/>
    </row>
    <row r="109" spans="1:19" x14ac:dyDescent="0.25">
      <c r="A109" s="65"/>
      <c r="B109" s="50"/>
      <c r="C109" s="50"/>
      <c r="D109" s="50"/>
      <c r="E109" s="50" t="str">
        <f>IF(D109="","",VLOOKUP(D109,'Product Master'!$B:$C,2,FALSE))</f>
        <v/>
      </c>
      <c r="F109" s="50" t="str">
        <f>IF(D109="","",IFERROR(VLOOKUP(D109,'Product Master'!$B:$G,3,FALSE),""))</f>
        <v/>
      </c>
      <c r="G109" s="51"/>
      <c r="H109" s="52" t="str">
        <f>IF(D109="","",VLOOKUP(D109,'Product Master'!$B:$F,5,FALSE))</f>
        <v/>
      </c>
      <c r="I109" s="52">
        <f>IFERROR(VLOOKUP(D109,'Product Master'!B:E,4,FALSE),0)</f>
        <v>0</v>
      </c>
      <c r="J109" s="53">
        <f>IFERROR(Table3[[#This Row],[QTY SOLD]]*Table3[[#This Row],[Selling Price]],0)</f>
        <v>0</v>
      </c>
      <c r="K109" s="50"/>
      <c r="L109" s="50">
        <f>Table3[[#This Row],[Total Sales]]-Table3[[#This Row],[Discount]]</f>
        <v>0</v>
      </c>
      <c r="M109" s="58">
        <f>Table3[[#This Row],[Net Sales]]-Table3[[#This Row],[Cost Price]]*Table3[[#This Row],[QTY SOLD]]</f>
        <v>0</v>
      </c>
      <c r="N109" s="25"/>
      <c r="O109" s="25"/>
      <c r="P109" s="25"/>
      <c r="Q109" s="25"/>
      <c r="R109" s="25"/>
      <c r="S109" s="25"/>
    </row>
    <row r="110" spans="1:19" x14ac:dyDescent="0.25">
      <c r="A110" s="65"/>
      <c r="B110" s="50"/>
      <c r="C110" s="50"/>
      <c r="D110" s="50"/>
      <c r="E110" s="50" t="str">
        <f>IF(D110="","",VLOOKUP(D110,'Product Master'!$B:$C,2,FALSE))</f>
        <v/>
      </c>
      <c r="F110" s="50" t="str">
        <f>IF(D110="","",IFERROR(VLOOKUP(D110,'Product Master'!$B:$G,3,FALSE),""))</f>
        <v/>
      </c>
      <c r="G110" s="51"/>
      <c r="H110" s="52" t="str">
        <f>IF(D110="","",VLOOKUP(D110,'Product Master'!$B:$F,5,FALSE))</f>
        <v/>
      </c>
      <c r="I110" s="52">
        <f>IFERROR(VLOOKUP(D110,'Product Master'!B:E,4,FALSE),0)</f>
        <v>0</v>
      </c>
      <c r="J110" s="53">
        <f>IFERROR(Table3[[#This Row],[QTY SOLD]]*Table3[[#This Row],[Selling Price]],0)</f>
        <v>0</v>
      </c>
      <c r="K110" s="50"/>
      <c r="L110" s="50">
        <f>Table3[[#This Row],[Total Sales]]-Table3[[#This Row],[Discount]]</f>
        <v>0</v>
      </c>
      <c r="M110" s="58">
        <f>Table3[[#This Row],[Net Sales]]-Table3[[#This Row],[Cost Price]]*Table3[[#This Row],[QTY SOLD]]</f>
        <v>0</v>
      </c>
      <c r="N110" s="25"/>
      <c r="O110" s="25"/>
      <c r="P110" s="25"/>
      <c r="Q110" s="25"/>
      <c r="R110" s="25"/>
      <c r="S110" s="25"/>
    </row>
    <row r="111" spans="1:19" x14ac:dyDescent="0.25">
      <c r="A111" s="65"/>
      <c r="B111" s="50"/>
      <c r="C111" s="50"/>
      <c r="D111" s="50"/>
      <c r="E111" s="50" t="str">
        <f>IF(D111="","",VLOOKUP(D111,'Product Master'!$B:$C,2,FALSE))</f>
        <v/>
      </c>
      <c r="F111" s="50" t="str">
        <f>IF(D111="","",IFERROR(VLOOKUP(D111,'Product Master'!$B:$G,3,FALSE),""))</f>
        <v/>
      </c>
      <c r="G111" s="51"/>
      <c r="H111" s="52" t="str">
        <f>IF(D111="","",VLOOKUP(D111,'Product Master'!$B:$F,5,FALSE))</f>
        <v/>
      </c>
      <c r="I111" s="52">
        <f>IFERROR(VLOOKUP(D111,'Product Master'!B:E,4,FALSE),0)</f>
        <v>0</v>
      </c>
      <c r="J111" s="53">
        <f>IFERROR(Table3[[#This Row],[QTY SOLD]]*Table3[[#This Row],[Selling Price]],0)</f>
        <v>0</v>
      </c>
      <c r="K111" s="50"/>
      <c r="L111" s="50">
        <f>Table3[[#This Row],[Total Sales]]-Table3[[#This Row],[Discount]]</f>
        <v>0</v>
      </c>
      <c r="M111" s="58">
        <f>Table3[[#This Row],[Net Sales]]-Table3[[#This Row],[Cost Price]]*Table3[[#This Row],[QTY SOLD]]</f>
        <v>0</v>
      </c>
      <c r="N111" s="25"/>
      <c r="O111" s="25"/>
      <c r="P111" s="25"/>
      <c r="Q111" s="25"/>
      <c r="R111" s="25"/>
      <c r="S111" s="25"/>
    </row>
    <row r="112" spans="1:19" x14ac:dyDescent="0.25">
      <c r="A112" s="65"/>
      <c r="B112" s="50"/>
      <c r="C112" s="50"/>
      <c r="D112" s="50"/>
      <c r="E112" s="50" t="str">
        <f>IF(D112="","",VLOOKUP(D112,'Product Master'!$B:$C,2,FALSE))</f>
        <v/>
      </c>
      <c r="F112" s="50" t="str">
        <f>IF(D112="","",IFERROR(VLOOKUP(D112,'Product Master'!$B:$G,3,FALSE),""))</f>
        <v/>
      </c>
      <c r="G112" s="51"/>
      <c r="H112" s="52" t="str">
        <f>IF(D112="","",VLOOKUP(D112,'Product Master'!$B:$F,5,FALSE))</f>
        <v/>
      </c>
      <c r="I112" s="52">
        <f>IFERROR(VLOOKUP(D112,'Product Master'!B:E,4,FALSE),0)</f>
        <v>0</v>
      </c>
      <c r="J112" s="53">
        <f>IFERROR(Table3[[#This Row],[QTY SOLD]]*Table3[[#This Row],[Selling Price]],0)</f>
        <v>0</v>
      </c>
      <c r="K112" s="50"/>
      <c r="L112" s="50">
        <f>Table3[[#This Row],[Total Sales]]-Table3[[#This Row],[Discount]]</f>
        <v>0</v>
      </c>
      <c r="M112" s="58">
        <f>Table3[[#This Row],[Net Sales]]-Table3[[#This Row],[Cost Price]]*Table3[[#This Row],[QTY SOLD]]</f>
        <v>0</v>
      </c>
      <c r="N112" s="25"/>
      <c r="O112" s="25"/>
      <c r="P112" s="25"/>
      <c r="Q112" s="25"/>
      <c r="R112" s="25"/>
      <c r="S112" s="25"/>
    </row>
    <row r="113" spans="1:19" x14ac:dyDescent="0.25">
      <c r="A113" s="65"/>
      <c r="B113" s="50"/>
      <c r="C113" s="50"/>
      <c r="D113" s="50"/>
      <c r="E113" s="50" t="str">
        <f>IF(D113="","",VLOOKUP(D113,'Product Master'!$B:$C,2,FALSE))</f>
        <v/>
      </c>
      <c r="F113" s="50" t="str">
        <f>IF(D113="","",IFERROR(VLOOKUP(D113,'Product Master'!$B:$G,3,FALSE),""))</f>
        <v/>
      </c>
      <c r="G113" s="51"/>
      <c r="H113" s="52" t="str">
        <f>IF(D113="","",VLOOKUP(D113,'Product Master'!$B:$F,5,FALSE))</f>
        <v/>
      </c>
      <c r="I113" s="52">
        <f>IFERROR(VLOOKUP(D113,'Product Master'!B:E,4,FALSE),0)</f>
        <v>0</v>
      </c>
      <c r="J113" s="53">
        <f>IFERROR(Table3[[#This Row],[QTY SOLD]]*Table3[[#This Row],[Selling Price]],0)</f>
        <v>0</v>
      </c>
      <c r="K113" s="50"/>
      <c r="L113" s="50">
        <f>Table3[[#This Row],[Total Sales]]-Table3[[#This Row],[Discount]]</f>
        <v>0</v>
      </c>
      <c r="M113" s="58">
        <f>Table3[[#This Row],[Net Sales]]-Table3[[#This Row],[Cost Price]]*Table3[[#This Row],[QTY SOLD]]</f>
        <v>0</v>
      </c>
      <c r="N113" s="25"/>
      <c r="O113" s="25"/>
      <c r="P113" s="25"/>
      <c r="Q113" s="25"/>
      <c r="R113" s="25"/>
      <c r="S113" s="25"/>
    </row>
    <row r="114" spans="1:19" x14ac:dyDescent="0.25">
      <c r="A114" s="65"/>
      <c r="B114" s="50"/>
      <c r="C114" s="50"/>
      <c r="D114" s="50"/>
      <c r="E114" s="50" t="str">
        <f>IF(D114="","",VLOOKUP(D114,'Product Master'!$B:$C,2,FALSE))</f>
        <v/>
      </c>
      <c r="F114" s="50" t="str">
        <f>IF(D114="","",IFERROR(VLOOKUP(D114,'Product Master'!$B:$G,3,FALSE),""))</f>
        <v/>
      </c>
      <c r="G114" s="51"/>
      <c r="H114" s="52" t="str">
        <f>IF(D114="","",VLOOKUP(D114,'Product Master'!$B:$F,5,FALSE))</f>
        <v/>
      </c>
      <c r="I114" s="52">
        <f>IFERROR(VLOOKUP(D114,'Product Master'!B:E,4,FALSE),0)</f>
        <v>0</v>
      </c>
      <c r="J114" s="53">
        <f>IFERROR(Table3[[#This Row],[QTY SOLD]]*Table3[[#This Row],[Selling Price]],0)</f>
        <v>0</v>
      </c>
      <c r="K114" s="50"/>
      <c r="L114" s="50">
        <f>Table3[[#This Row],[Total Sales]]-Table3[[#This Row],[Discount]]</f>
        <v>0</v>
      </c>
      <c r="M114" s="58">
        <f>Table3[[#This Row],[Net Sales]]-Table3[[#This Row],[Cost Price]]*Table3[[#This Row],[QTY SOLD]]</f>
        <v>0</v>
      </c>
      <c r="N114" s="25"/>
      <c r="O114" s="25"/>
      <c r="P114" s="25"/>
      <c r="Q114" s="25"/>
      <c r="R114" s="25"/>
      <c r="S114" s="25"/>
    </row>
    <row r="115" spans="1:19" x14ac:dyDescent="0.25">
      <c r="A115" s="65"/>
      <c r="B115" s="50"/>
      <c r="C115" s="50"/>
      <c r="D115" s="50"/>
      <c r="E115" s="50" t="str">
        <f>IF(D115="","",VLOOKUP(D115,'Product Master'!$B:$C,2,FALSE))</f>
        <v/>
      </c>
      <c r="F115" s="50" t="str">
        <f>IF(D115="","",IFERROR(VLOOKUP(D115,'Product Master'!$B:$G,3,FALSE),""))</f>
        <v/>
      </c>
      <c r="G115" s="51"/>
      <c r="H115" s="52" t="str">
        <f>IF(D115="","",VLOOKUP(D115,'Product Master'!$B:$F,5,FALSE))</f>
        <v/>
      </c>
      <c r="I115" s="52">
        <f>IFERROR(VLOOKUP(D115,'Product Master'!B:E,4,FALSE),0)</f>
        <v>0</v>
      </c>
      <c r="J115" s="53">
        <f>IFERROR(Table3[[#This Row],[QTY SOLD]]*Table3[[#This Row],[Selling Price]],0)</f>
        <v>0</v>
      </c>
      <c r="K115" s="50"/>
      <c r="L115" s="50">
        <f>Table3[[#This Row],[Total Sales]]-Table3[[#This Row],[Discount]]</f>
        <v>0</v>
      </c>
      <c r="M115" s="58">
        <f>Table3[[#This Row],[Net Sales]]-Table3[[#This Row],[Cost Price]]*Table3[[#This Row],[QTY SOLD]]</f>
        <v>0</v>
      </c>
      <c r="N115" s="25"/>
      <c r="O115" s="25"/>
      <c r="P115" s="25"/>
      <c r="Q115" s="25"/>
      <c r="R115" s="25"/>
      <c r="S115" s="25"/>
    </row>
    <row r="116" spans="1:19" x14ac:dyDescent="0.25">
      <c r="A116" s="65"/>
      <c r="B116" s="50"/>
      <c r="C116" s="50"/>
      <c r="D116" s="50"/>
      <c r="E116" s="50" t="str">
        <f>IF(D116="","",VLOOKUP(D116,'Product Master'!$B:$C,2,FALSE))</f>
        <v/>
      </c>
      <c r="F116" s="50" t="str">
        <f>IF(D116="","",IFERROR(VLOOKUP(D116,'Product Master'!$B:$G,3,FALSE),""))</f>
        <v/>
      </c>
      <c r="G116" s="51"/>
      <c r="H116" s="52" t="str">
        <f>IF(D116="","",VLOOKUP(D116,'Product Master'!$B:$F,5,FALSE))</f>
        <v/>
      </c>
      <c r="I116" s="52">
        <f>IFERROR(VLOOKUP(D116,'Product Master'!B:E,4,FALSE),0)</f>
        <v>0</v>
      </c>
      <c r="J116" s="53">
        <f>IFERROR(Table3[[#This Row],[QTY SOLD]]*Table3[[#This Row],[Selling Price]],0)</f>
        <v>0</v>
      </c>
      <c r="K116" s="50"/>
      <c r="L116" s="50">
        <f>Table3[[#This Row],[Total Sales]]-Table3[[#This Row],[Discount]]</f>
        <v>0</v>
      </c>
      <c r="M116" s="58">
        <f>Table3[[#This Row],[Net Sales]]-Table3[[#This Row],[Cost Price]]*Table3[[#This Row],[QTY SOLD]]</f>
        <v>0</v>
      </c>
      <c r="N116" s="25"/>
      <c r="O116" s="25"/>
      <c r="P116" s="25"/>
      <c r="Q116" s="25"/>
      <c r="R116" s="25"/>
      <c r="S116" s="25"/>
    </row>
    <row r="117" spans="1:19" x14ac:dyDescent="0.25">
      <c r="A117" s="65"/>
      <c r="B117" s="50"/>
      <c r="C117" s="50"/>
      <c r="D117" s="50"/>
      <c r="E117" s="50" t="str">
        <f>IF(D117="","",VLOOKUP(D117,'Product Master'!$B:$C,2,FALSE))</f>
        <v/>
      </c>
      <c r="F117" s="50" t="str">
        <f>IF(D117="","",IFERROR(VLOOKUP(D117,'Product Master'!$B:$G,3,FALSE),""))</f>
        <v/>
      </c>
      <c r="G117" s="51"/>
      <c r="H117" s="52" t="str">
        <f>IF(D117="","",VLOOKUP(D117,'Product Master'!$B:$F,5,FALSE))</f>
        <v/>
      </c>
      <c r="I117" s="52">
        <f>IFERROR(VLOOKUP(D117,'Product Master'!B:E,4,FALSE),0)</f>
        <v>0</v>
      </c>
      <c r="J117" s="53">
        <f>IFERROR(Table3[[#This Row],[QTY SOLD]]*Table3[[#This Row],[Selling Price]],0)</f>
        <v>0</v>
      </c>
      <c r="K117" s="50"/>
      <c r="L117" s="50">
        <f>Table3[[#This Row],[Total Sales]]-Table3[[#This Row],[Discount]]</f>
        <v>0</v>
      </c>
      <c r="M117" s="58">
        <f>Table3[[#This Row],[Net Sales]]-Table3[[#This Row],[Cost Price]]*Table3[[#This Row],[QTY SOLD]]</f>
        <v>0</v>
      </c>
      <c r="N117" s="25"/>
      <c r="O117" s="25"/>
      <c r="P117" s="25"/>
      <c r="Q117" s="25"/>
      <c r="R117" s="25"/>
      <c r="S117" s="25"/>
    </row>
    <row r="118" spans="1:19" x14ac:dyDescent="0.25">
      <c r="A118" s="65"/>
      <c r="B118" s="50"/>
      <c r="C118" s="50"/>
      <c r="D118" s="50"/>
      <c r="E118" s="50" t="str">
        <f>IF(D118="","",VLOOKUP(D118,'Product Master'!$B:$C,2,FALSE))</f>
        <v/>
      </c>
      <c r="F118" s="50" t="str">
        <f>IF(D118="","",IFERROR(VLOOKUP(D118,'Product Master'!$B:$G,3,FALSE),""))</f>
        <v/>
      </c>
      <c r="G118" s="51"/>
      <c r="H118" s="52" t="str">
        <f>IF(D118="","",VLOOKUP(D118,'Product Master'!$B:$F,5,FALSE))</f>
        <v/>
      </c>
      <c r="I118" s="52">
        <f>IFERROR(VLOOKUP(D118,'Product Master'!B:E,4,FALSE),0)</f>
        <v>0</v>
      </c>
      <c r="J118" s="53">
        <f>IFERROR(Table3[[#This Row],[QTY SOLD]]*Table3[[#This Row],[Selling Price]],0)</f>
        <v>0</v>
      </c>
      <c r="K118" s="50"/>
      <c r="L118" s="50">
        <f>Table3[[#This Row],[Total Sales]]-Table3[[#This Row],[Discount]]</f>
        <v>0</v>
      </c>
      <c r="M118" s="58">
        <f>Table3[[#This Row],[Net Sales]]-Table3[[#This Row],[Cost Price]]*Table3[[#This Row],[QTY SOLD]]</f>
        <v>0</v>
      </c>
      <c r="N118" s="25"/>
      <c r="O118" s="25"/>
      <c r="P118" s="25"/>
      <c r="Q118" s="25"/>
      <c r="R118" s="25"/>
      <c r="S118" s="25"/>
    </row>
    <row r="119" spans="1:19" x14ac:dyDescent="0.25">
      <c r="A119" s="65"/>
      <c r="B119" s="50"/>
      <c r="C119" s="50"/>
      <c r="D119" s="50"/>
      <c r="E119" s="50" t="str">
        <f>IF(D119="","",VLOOKUP(D119,'Product Master'!$B:$C,2,FALSE))</f>
        <v/>
      </c>
      <c r="F119" s="50" t="str">
        <f>IF(D119="","",IFERROR(VLOOKUP(D119,'Product Master'!$B:$G,3,FALSE),""))</f>
        <v/>
      </c>
      <c r="G119" s="51"/>
      <c r="H119" s="52" t="str">
        <f>IF(D119="","",VLOOKUP(D119,'Product Master'!$B:$F,5,FALSE))</f>
        <v/>
      </c>
      <c r="I119" s="52">
        <f>IFERROR(VLOOKUP(D119,'Product Master'!B:E,4,FALSE),0)</f>
        <v>0</v>
      </c>
      <c r="J119" s="53">
        <f>IFERROR(Table3[[#This Row],[QTY SOLD]]*Table3[[#This Row],[Selling Price]],0)</f>
        <v>0</v>
      </c>
      <c r="K119" s="50"/>
      <c r="L119" s="50">
        <f>Table3[[#This Row],[Total Sales]]-Table3[[#This Row],[Discount]]</f>
        <v>0</v>
      </c>
      <c r="M119" s="58">
        <f>Table3[[#This Row],[Net Sales]]-Table3[[#This Row],[Cost Price]]*Table3[[#This Row],[QTY SOLD]]</f>
        <v>0</v>
      </c>
      <c r="N119" s="25"/>
      <c r="O119" s="25"/>
      <c r="P119" s="25"/>
      <c r="Q119" s="25"/>
      <c r="R119" s="25"/>
      <c r="S119" s="25"/>
    </row>
    <row r="120" spans="1:19" x14ac:dyDescent="0.25">
      <c r="A120" s="65"/>
      <c r="B120" s="50"/>
      <c r="C120" s="50"/>
      <c r="D120" s="50"/>
      <c r="E120" s="50" t="str">
        <f>IF(D120="","",VLOOKUP(D120,'Product Master'!$B:$C,2,FALSE))</f>
        <v/>
      </c>
      <c r="F120" s="50" t="str">
        <f>IF(D120="","",IFERROR(VLOOKUP(D120,'Product Master'!$B:$G,3,FALSE),""))</f>
        <v/>
      </c>
      <c r="G120" s="51"/>
      <c r="H120" s="52" t="str">
        <f>IF(D120="","",VLOOKUP(D120,'Product Master'!$B:$F,5,FALSE))</f>
        <v/>
      </c>
      <c r="I120" s="52">
        <f>IFERROR(VLOOKUP(D120,'Product Master'!B:E,4,FALSE),0)</f>
        <v>0</v>
      </c>
      <c r="J120" s="53">
        <f>IFERROR(Table3[[#This Row],[QTY SOLD]]*Table3[[#This Row],[Selling Price]],0)</f>
        <v>0</v>
      </c>
      <c r="K120" s="50"/>
      <c r="L120" s="50">
        <f>Table3[[#This Row],[Total Sales]]-Table3[[#This Row],[Discount]]</f>
        <v>0</v>
      </c>
      <c r="M120" s="58">
        <f>Table3[[#This Row],[Net Sales]]-Table3[[#This Row],[Cost Price]]*Table3[[#This Row],[QTY SOLD]]</f>
        <v>0</v>
      </c>
      <c r="N120" s="25"/>
      <c r="O120" s="25"/>
      <c r="P120" s="25"/>
      <c r="Q120" s="25"/>
      <c r="R120" s="25"/>
      <c r="S120" s="25"/>
    </row>
    <row r="121" spans="1:19" x14ac:dyDescent="0.25">
      <c r="A121" s="65"/>
      <c r="B121" s="50"/>
      <c r="C121" s="50"/>
      <c r="D121" s="50"/>
      <c r="E121" s="50" t="str">
        <f>IF(D121="","",VLOOKUP(D121,'Product Master'!$B:$C,2,FALSE))</f>
        <v/>
      </c>
      <c r="F121" s="50" t="str">
        <f>IF(D121="","",IFERROR(VLOOKUP(D121,'Product Master'!$B:$G,3,FALSE),""))</f>
        <v/>
      </c>
      <c r="G121" s="51"/>
      <c r="H121" s="52" t="str">
        <f>IF(D121="","",VLOOKUP(D121,'Product Master'!$B:$F,5,FALSE))</f>
        <v/>
      </c>
      <c r="I121" s="52">
        <f>IFERROR(VLOOKUP(D121,'Product Master'!B:E,4,FALSE),0)</f>
        <v>0</v>
      </c>
      <c r="J121" s="53">
        <f>IFERROR(Table3[[#This Row],[QTY SOLD]]*Table3[[#This Row],[Selling Price]],0)</f>
        <v>0</v>
      </c>
      <c r="K121" s="50"/>
      <c r="L121" s="50">
        <f>Table3[[#This Row],[Total Sales]]-Table3[[#This Row],[Discount]]</f>
        <v>0</v>
      </c>
      <c r="M121" s="58">
        <f>Table3[[#This Row],[Net Sales]]-Table3[[#This Row],[Cost Price]]*Table3[[#This Row],[QTY SOLD]]</f>
        <v>0</v>
      </c>
      <c r="N121" s="25"/>
      <c r="O121" s="25"/>
      <c r="P121" s="25"/>
      <c r="Q121" s="25"/>
      <c r="R121" s="25"/>
      <c r="S121" s="25"/>
    </row>
    <row r="122" spans="1:19" x14ac:dyDescent="0.25">
      <c r="A122" s="65"/>
      <c r="B122" s="50"/>
      <c r="C122" s="50"/>
      <c r="D122" s="50"/>
      <c r="E122" s="50" t="str">
        <f>IF(D122="","",VLOOKUP(D122,'Product Master'!$B:$C,2,FALSE))</f>
        <v/>
      </c>
      <c r="F122" s="50" t="str">
        <f>IF(D122="","",IFERROR(VLOOKUP(D122,'Product Master'!$B:$G,3,FALSE),""))</f>
        <v/>
      </c>
      <c r="G122" s="51"/>
      <c r="H122" s="52" t="str">
        <f>IF(D122="","",VLOOKUP(D122,'Product Master'!$B:$F,5,FALSE))</f>
        <v/>
      </c>
      <c r="I122" s="52">
        <f>IFERROR(VLOOKUP(D122,'Product Master'!B:E,4,FALSE),0)</f>
        <v>0</v>
      </c>
      <c r="J122" s="53">
        <f>IFERROR(Table3[[#This Row],[QTY SOLD]]*Table3[[#This Row],[Selling Price]],0)</f>
        <v>0</v>
      </c>
      <c r="K122" s="50"/>
      <c r="L122" s="50">
        <f>Table3[[#This Row],[Total Sales]]-Table3[[#This Row],[Discount]]</f>
        <v>0</v>
      </c>
      <c r="M122" s="58">
        <f>Table3[[#This Row],[Net Sales]]-Table3[[#This Row],[Cost Price]]*Table3[[#This Row],[QTY SOLD]]</f>
        <v>0</v>
      </c>
      <c r="N122" s="25"/>
      <c r="O122" s="25"/>
      <c r="P122" s="25"/>
      <c r="Q122" s="25"/>
      <c r="R122" s="25"/>
      <c r="S122" s="25"/>
    </row>
    <row r="123" spans="1:19" x14ac:dyDescent="0.25">
      <c r="A123" s="65"/>
      <c r="B123" s="50"/>
      <c r="C123" s="50"/>
      <c r="D123" s="50"/>
      <c r="E123" s="50" t="str">
        <f>IF(D123="","",VLOOKUP(D123,'Product Master'!$B:$C,2,FALSE))</f>
        <v/>
      </c>
      <c r="F123" s="50" t="str">
        <f>IF(D123="","",IFERROR(VLOOKUP(D123,'Product Master'!$B:$G,3,FALSE),""))</f>
        <v/>
      </c>
      <c r="G123" s="51"/>
      <c r="H123" s="52" t="str">
        <f>IF(D123="","",VLOOKUP(D123,'Product Master'!$B:$F,5,FALSE))</f>
        <v/>
      </c>
      <c r="I123" s="52">
        <f>IFERROR(VLOOKUP(D123,'Product Master'!B:E,4,FALSE),0)</f>
        <v>0</v>
      </c>
      <c r="J123" s="53">
        <f>IFERROR(Table3[[#This Row],[QTY SOLD]]*Table3[[#This Row],[Selling Price]],0)</f>
        <v>0</v>
      </c>
      <c r="K123" s="50"/>
      <c r="L123" s="50">
        <f>Table3[[#This Row],[Total Sales]]-Table3[[#This Row],[Discount]]</f>
        <v>0</v>
      </c>
      <c r="M123" s="58">
        <f>Table3[[#This Row],[Net Sales]]-Table3[[#This Row],[Cost Price]]*Table3[[#This Row],[QTY SOLD]]</f>
        <v>0</v>
      </c>
      <c r="N123" s="25"/>
      <c r="O123" s="25"/>
      <c r="P123" s="25"/>
      <c r="Q123" s="25"/>
      <c r="R123" s="25"/>
      <c r="S123" s="25"/>
    </row>
    <row r="124" spans="1:19" x14ac:dyDescent="0.25">
      <c r="A124" s="65"/>
      <c r="B124" s="50"/>
      <c r="C124" s="50"/>
      <c r="D124" s="50"/>
      <c r="E124" s="50" t="str">
        <f>IF(D124="","",VLOOKUP(D124,'Product Master'!$B:$C,2,FALSE))</f>
        <v/>
      </c>
      <c r="F124" s="50" t="str">
        <f>IF(D124="","",IFERROR(VLOOKUP(D124,'Product Master'!$B:$G,3,FALSE),""))</f>
        <v/>
      </c>
      <c r="G124" s="51"/>
      <c r="H124" s="52" t="str">
        <f>IF(D124="","",VLOOKUP(D124,'Product Master'!$B:$F,5,FALSE))</f>
        <v/>
      </c>
      <c r="I124" s="52">
        <f>IFERROR(VLOOKUP(D124,'Product Master'!B:E,4,FALSE),0)</f>
        <v>0</v>
      </c>
      <c r="J124" s="53">
        <f>IFERROR(Table3[[#This Row],[QTY SOLD]]*Table3[[#This Row],[Selling Price]],0)</f>
        <v>0</v>
      </c>
      <c r="K124" s="50"/>
      <c r="L124" s="50">
        <f>Table3[[#This Row],[Total Sales]]-Table3[[#This Row],[Discount]]</f>
        <v>0</v>
      </c>
      <c r="M124" s="58">
        <f>Table3[[#This Row],[Net Sales]]-Table3[[#This Row],[Cost Price]]*Table3[[#This Row],[QTY SOLD]]</f>
        <v>0</v>
      </c>
      <c r="N124" s="25"/>
      <c r="O124" s="25"/>
      <c r="P124" s="25"/>
      <c r="Q124" s="25"/>
      <c r="R124" s="25"/>
      <c r="S124" s="25"/>
    </row>
    <row r="125" spans="1:19" x14ac:dyDescent="0.25">
      <c r="A125" s="65"/>
      <c r="B125" s="50"/>
      <c r="C125" s="50"/>
      <c r="D125" s="50"/>
      <c r="E125" s="50" t="str">
        <f>IF(D125="","",VLOOKUP(D125,'Product Master'!$B:$C,2,FALSE))</f>
        <v/>
      </c>
      <c r="F125" s="50" t="str">
        <f>IF(D125="","",IFERROR(VLOOKUP(D125,'Product Master'!$B:$G,3,FALSE),""))</f>
        <v/>
      </c>
      <c r="G125" s="51"/>
      <c r="H125" s="52" t="str">
        <f>IF(D125="","",VLOOKUP(D125,'Product Master'!$B:$F,5,FALSE))</f>
        <v/>
      </c>
      <c r="I125" s="52">
        <f>IFERROR(VLOOKUP(D125,'Product Master'!B:E,4,FALSE),0)</f>
        <v>0</v>
      </c>
      <c r="J125" s="53">
        <f>IFERROR(Table3[[#This Row],[QTY SOLD]]*Table3[[#This Row],[Selling Price]],0)</f>
        <v>0</v>
      </c>
      <c r="K125" s="50"/>
      <c r="L125" s="50">
        <f>Table3[[#This Row],[Total Sales]]-Table3[[#This Row],[Discount]]</f>
        <v>0</v>
      </c>
      <c r="M125" s="58">
        <f>Table3[[#This Row],[Net Sales]]-Table3[[#This Row],[Cost Price]]*Table3[[#This Row],[QTY SOLD]]</f>
        <v>0</v>
      </c>
      <c r="N125" s="25"/>
      <c r="O125" s="25"/>
      <c r="P125" s="25"/>
      <c r="Q125" s="25"/>
      <c r="R125" s="25"/>
      <c r="S125" s="25"/>
    </row>
    <row r="126" spans="1:19" x14ac:dyDescent="0.25">
      <c r="A126" s="65"/>
      <c r="B126" s="50"/>
      <c r="C126" s="50"/>
      <c r="D126" s="50"/>
      <c r="E126" s="50" t="str">
        <f>IF(D126="","",VLOOKUP(D126,'Product Master'!$B:$C,2,FALSE))</f>
        <v/>
      </c>
      <c r="F126" s="50" t="str">
        <f>IF(D126="","",IFERROR(VLOOKUP(D126,'Product Master'!$B:$G,3,FALSE),""))</f>
        <v/>
      </c>
      <c r="G126" s="51"/>
      <c r="H126" s="52" t="str">
        <f>IF(D126="","",VLOOKUP(D126,'Product Master'!$B:$F,5,FALSE))</f>
        <v/>
      </c>
      <c r="I126" s="52">
        <f>IFERROR(VLOOKUP(D126,'Product Master'!B:E,4,FALSE),0)</f>
        <v>0</v>
      </c>
      <c r="J126" s="53">
        <f>IFERROR(Table3[[#This Row],[QTY SOLD]]*Table3[[#This Row],[Selling Price]],0)</f>
        <v>0</v>
      </c>
      <c r="K126" s="50"/>
      <c r="L126" s="50">
        <f>Table3[[#This Row],[Total Sales]]-Table3[[#This Row],[Discount]]</f>
        <v>0</v>
      </c>
      <c r="M126" s="58">
        <f>Table3[[#This Row],[Net Sales]]-Table3[[#This Row],[Cost Price]]*Table3[[#This Row],[QTY SOLD]]</f>
        <v>0</v>
      </c>
      <c r="N126" s="25"/>
      <c r="O126" s="25"/>
      <c r="P126" s="25"/>
      <c r="Q126" s="25"/>
      <c r="R126" s="25"/>
      <c r="S126" s="25"/>
    </row>
    <row r="127" spans="1:19" x14ac:dyDescent="0.25">
      <c r="A127" s="65"/>
      <c r="B127" s="50"/>
      <c r="C127" s="50"/>
      <c r="D127" s="50"/>
      <c r="E127" s="50" t="str">
        <f>IF(D127="","",VLOOKUP(D127,'Product Master'!$B:$C,2,FALSE))</f>
        <v/>
      </c>
      <c r="F127" s="50" t="str">
        <f>IF(D127="","",IFERROR(VLOOKUP(D127,'Product Master'!$B:$G,3,FALSE),""))</f>
        <v/>
      </c>
      <c r="G127" s="51"/>
      <c r="H127" s="52" t="str">
        <f>IF(D127="","",VLOOKUP(D127,'Product Master'!$B:$F,5,FALSE))</f>
        <v/>
      </c>
      <c r="I127" s="52">
        <f>IFERROR(VLOOKUP(D127,'Product Master'!B:E,4,FALSE),0)</f>
        <v>0</v>
      </c>
      <c r="J127" s="53">
        <f>IFERROR(Table3[[#This Row],[QTY SOLD]]*Table3[[#This Row],[Selling Price]],0)</f>
        <v>0</v>
      </c>
      <c r="K127" s="50"/>
      <c r="L127" s="50">
        <f>Table3[[#This Row],[Total Sales]]-Table3[[#This Row],[Discount]]</f>
        <v>0</v>
      </c>
      <c r="M127" s="58">
        <f>Table3[[#This Row],[Net Sales]]-Table3[[#This Row],[Cost Price]]*Table3[[#This Row],[QTY SOLD]]</f>
        <v>0</v>
      </c>
      <c r="N127" s="25"/>
      <c r="O127" s="25"/>
      <c r="P127" s="25"/>
      <c r="Q127" s="25"/>
      <c r="R127" s="25"/>
      <c r="S127" s="25"/>
    </row>
    <row r="128" spans="1:19" x14ac:dyDescent="0.25">
      <c r="A128" s="65"/>
      <c r="B128" s="50"/>
      <c r="C128" s="50"/>
      <c r="D128" s="50"/>
      <c r="E128" s="50" t="str">
        <f>IF(D128="","",VLOOKUP(D128,'Product Master'!$B:$C,2,FALSE))</f>
        <v/>
      </c>
      <c r="F128" s="50" t="str">
        <f>IF(D128="","",IFERROR(VLOOKUP(D128,'Product Master'!$B:$G,3,FALSE),""))</f>
        <v/>
      </c>
      <c r="G128" s="51"/>
      <c r="H128" s="52" t="str">
        <f>IF(D128="","",VLOOKUP(D128,'Product Master'!$B:$F,5,FALSE))</f>
        <v/>
      </c>
      <c r="I128" s="52">
        <f>IFERROR(VLOOKUP(D128,'Product Master'!B:E,4,FALSE),0)</f>
        <v>0</v>
      </c>
      <c r="J128" s="53">
        <f>IFERROR(Table3[[#This Row],[QTY SOLD]]*Table3[[#This Row],[Selling Price]],0)</f>
        <v>0</v>
      </c>
      <c r="K128" s="50"/>
      <c r="L128" s="50">
        <f>Table3[[#This Row],[Total Sales]]-Table3[[#This Row],[Discount]]</f>
        <v>0</v>
      </c>
      <c r="M128" s="58">
        <f>Table3[[#This Row],[Net Sales]]-Table3[[#This Row],[Cost Price]]*Table3[[#This Row],[QTY SOLD]]</f>
        <v>0</v>
      </c>
      <c r="N128" s="25"/>
      <c r="O128" s="25"/>
      <c r="P128" s="25"/>
      <c r="Q128" s="25"/>
      <c r="R128" s="25"/>
      <c r="S128" s="25"/>
    </row>
    <row r="129" spans="1:19" x14ac:dyDescent="0.25">
      <c r="A129" s="65"/>
      <c r="B129" s="50"/>
      <c r="C129" s="50"/>
      <c r="D129" s="50"/>
      <c r="E129" s="50" t="str">
        <f>IF(D129="","",VLOOKUP(D129,'Product Master'!$B:$C,2,FALSE))</f>
        <v/>
      </c>
      <c r="F129" s="50" t="str">
        <f>IF(D129="","",IFERROR(VLOOKUP(D129,'Product Master'!$B:$G,3,FALSE),""))</f>
        <v/>
      </c>
      <c r="G129" s="51"/>
      <c r="H129" s="52" t="str">
        <f>IF(D129="","",VLOOKUP(D129,'Product Master'!$B:$F,5,FALSE))</f>
        <v/>
      </c>
      <c r="I129" s="52">
        <f>IFERROR(VLOOKUP(D129,'Product Master'!B:E,4,FALSE),0)</f>
        <v>0</v>
      </c>
      <c r="J129" s="53">
        <f>IFERROR(Table3[[#This Row],[QTY SOLD]]*Table3[[#This Row],[Selling Price]],0)</f>
        <v>0</v>
      </c>
      <c r="K129" s="50"/>
      <c r="L129" s="50">
        <f>Table3[[#This Row],[Total Sales]]-Table3[[#This Row],[Discount]]</f>
        <v>0</v>
      </c>
      <c r="M129" s="58">
        <f>Table3[[#This Row],[Net Sales]]-Table3[[#This Row],[Cost Price]]*Table3[[#This Row],[QTY SOLD]]</f>
        <v>0</v>
      </c>
      <c r="N129" s="25"/>
      <c r="O129" s="25"/>
      <c r="P129" s="25"/>
      <c r="Q129" s="25"/>
      <c r="R129" s="25"/>
      <c r="S129" s="25"/>
    </row>
    <row r="130" spans="1:19" x14ac:dyDescent="0.25">
      <c r="A130" s="65"/>
      <c r="B130" s="50"/>
      <c r="C130" s="50"/>
      <c r="D130" s="50"/>
      <c r="E130" s="50" t="str">
        <f>IF(D130="","",VLOOKUP(D130,'Product Master'!$B:$C,2,FALSE))</f>
        <v/>
      </c>
      <c r="F130" s="50" t="str">
        <f>IF(D130="","",IFERROR(VLOOKUP(D130,'Product Master'!$B:$G,3,FALSE),""))</f>
        <v/>
      </c>
      <c r="G130" s="51"/>
      <c r="H130" s="52" t="str">
        <f>IF(D130="","",VLOOKUP(D130,'Product Master'!$B:$F,5,FALSE))</f>
        <v/>
      </c>
      <c r="I130" s="52">
        <f>IFERROR(VLOOKUP(D130,'Product Master'!B:E,4,FALSE),0)</f>
        <v>0</v>
      </c>
      <c r="J130" s="53">
        <f>IFERROR(Table3[[#This Row],[QTY SOLD]]*Table3[[#This Row],[Selling Price]],0)</f>
        <v>0</v>
      </c>
      <c r="K130" s="50"/>
      <c r="L130" s="50">
        <f>Table3[[#This Row],[Total Sales]]-Table3[[#This Row],[Discount]]</f>
        <v>0</v>
      </c>
      <c r="M130" s="58">
        <f>Table3[[#This Row],[Net Sales]]-Table3[[#This Row],[Cost Price]]*Table3[[#This Row],[QTY SOLD]]</f>
        <v>0</v>
      </c>
      <c r="N130" s="25"/>
      <c r="O130" s="25"/>
      <c r="P130" s="25"/>
      <c r="Q130" s="25"/>
      <c r="R130" s="25"/>
      <c r="S130" s="25"/>
    </row>
    <row r="131" spans="1:19" x14ac:dyDescent="0.25">
      <c r="A131" s="65"/>
      <c r="B131" s="50"/>
      <c r="C131" s="50"/>
      <c r="D131" s="50"/>
      <c r="E131" s="50" t="str">
        <f>IF(D131="","",VLOOKUP(D131,'Product Master'!$B:$C,2,FALSE))</f>
        <v/>
      </c>
      <c r="F131" s="50" t="str">
        <f>IF(D131="","",IFERROR(VLOOKUP(D131,'Product Master'!$B:$G,3,FALSE),""))</f>
        <v/>
      </c>
      <c r="G131" s="51"/>
      <c r="H131" s="52" t="str">
        <f>IF(D131="","",VLOOKUP(D131,'Product Master'!$B:$F,5,FALSE))</f>
        <v/>
      </c>
      <c r="I131" s="52">
        <f>IFERROR(VLOOKUP(D131,'Product Master'!B:E,4,FALSE),0)</f>
        <v>0</v>
      </c>
      <c r="J131" s="53">
        <f>IFERROR(Table3[[#This Row],[QTY SOLD]]*Table3[[#This Row],[Selling Price]],0)</f>
        <v>0</v>
      </c>
      <c r="K131" s="50"/>
      <c r="L131" s="50">
        <f>Table3[[#This Row],[Total Sales]]-Table3[[#This Row],[Discount]]</f>
        <v>0</v>
      </c>
      <c r="M131" s="58">
        <f>Table3[[#This Row],[Net Sales]]-Table3[[#This Row],[Cost Price]]*Table3[[#This Row],[QTY SOLD]]</f>
        <v>0</v>
      </c>
      <c r="N131" s="25"/>
      <c r="O131" s="25"/>
      <c r="P131" s="25"/>
      <c r="Q131" s="25"/>
      <c r="R131" s="25"/>
      <c r="S131" s="25"/>
    </row>
    <row r="132" spans="1:19" x14ac:dyDescent="0.25">
      <c r="A132" s="65"/>
      <c r="B132" s="50"/>
      <c r="C132" s="50"/>
      <c r="D132" s="50"/>
      <c r="E132" s="50" t="str">
        <f>IF(D132="","",VLOOKUP(D132,'Product Master'!$B:$C,2,FALSE))</f>
        <v/>
      </c>
      <c r="F132" s="50" t="str">
        <f>IF(D132="","",IFERROR(VLOOKUP(D132,'Product Master'!$B:$G,3,FALSE),""))</f>
        <v/>
      </c>
      <c r="G132" s="51"/>
      <c r="H132" s="52" t="str">
        <f>IF(D132="","",VLOOKUP(D132,'Product Master'!$B:$F,5,FALSE))</f>
        <v/>
      </c>
      <c r="I132" s="52">
        <f>IFERROR(VLOOKUP(D132,'Product Master'!B:E,4,FALSE),0)</f>
        <v>0</v>
      </c>
      <c r="J132" s="53">
        <f>IFERROR(Table3[[#This Row],[QTY SOLD]]*Table3[[#This Row],[Selling Price]],0)</f>
        <v>0</v>
      </c>
      <c r="K132" s="50"/>
      <c r="L132" s="50">
        <f>Table3[[#This Row],[Total Sales]]-Table3[[#This Row],[Discount]]</f>
        <v>0</v>
      </c>
      <c r="M132" s="58">
        <f>Table3[[#This Row],[Net Sales]]-Table3[[#This Row],[Cost Price]]*Table3[[#This Row],[QTY SOLD]]</f>
        <v>0</v>
      </c>
      <c r="N132" s="25"/>
      <c r="O132" s="25"/>
      <c r="P132" s="25"/>
      <c r="Q132" s="25"/>
      <c r="R132" s="25"/>
      <c r="S132" s="25"/>
    </row>
    <row r="133" spans="1:19" x14ac:dyDescent="0.25">
      <c r="A133" s="65"/>
      <c r="B133" s="50"/>
      <c r="C133" s="50"/>
      <c r="D133" s="50"/>
      <c r="E133" s="50" t="str">
        <f>IF(D133="","",VLOOKUP(D133,'Product Master'!$B:$C,2,FALSE))</f>
        <v/>
      </c>
      <c r="F133" s="50" t="str">
        <f>IF(D133="","",IFERROR(VLOOKUP(D133,'Product Master'!$B:$G,3,FALSE),""))</f>
        <v/>
      </c>
      <c r="G133" s="51"/>
      <c r="H133" s="52" t="str">
        <f>IF(D133="","",VLOOKUP(D133,'Product Master'!$B:$F,5,FALSE))</f>
        <v/>
      </c>
      <c r="I133" s="52">
        <f>IFERROR(VLOOKUP(D133,'Product Master'!B:E,4,FALSE),0)</f>
        <v>0</v>
      </c>
      <c r="J133" s="53">
        <f>IFERROR(Table3[[#This Row],[QTY SOLD]]*Table3[[#This Row],[Selling Price]],0)</f>
        <v>0</v>
      </c>
      <c r="K133" s="50"/>
      <c r="L133" s="50">
        <f>Table3[[#This Row],[Total Sales]]-Table3[[#This Row],[Discount]]</f>
        <v>0</v>
      </c>
      <c r="M133" s="58">
        <f>Table3[[#This Row],[Net Sales]]-Table3[[#This Row],[Cost Price]]*Table3[[#This Row],[QTY SOLD]]</f>
        <v>0</v>
      </c>
      <c r="N133" s="25"/>
      <c r="O133" s="25"/>
      <c r="P133" s="25"/>
      <c r="Q133" s="25"/>
      <c r="R133" s="25"/>
      <c r="S133" s="25"/>
    </row>
    <row r="134" spans="1:19" x14ac:dyDescent="0.25">
      <c r="A134" s="65"/>
      <c r="B134" s="50"/>
      <c r="C134" s="50"/>
      <c r="D134" s="50"/>
      <c r="E134" s="50" t="str">
        <f>IF(D134="","",VLOOKUP(D134,'Product Master'!$B:$C,2,FALSE))</f>
        <v/>
      </c>
      <c r="F134" s="50" t="str">
        <f>IF(D134="","",IFERROR(VLOOKUP(D134,'Product Master'!$B:$G,3,FALSE),""))</f>
        <v/>
      </c>
      <c r="G134" s="51"/>
      <c r="H134" s="52" t="str">
        <f>IF(D134="","",VLOOKUP(D134,'Product Master'!$B:$F,5,FALSE))</f>
        <v/>
      </c>
      <c r="I134" s="52">
        <f>IFERROR(VLOOKUP(D134,'Product Master'!B:E,4,FALSE),0)</f>
        <v>0</v>
      </c>
      <c r="J134" s="53">
        <f>IFERROR(Table3[[#This Row],[QTY SOLD]]*Table3[[#This Row],[Selling Price]],0)</f>
        <v>0</v>
      </c>
      <c r="K134" s="50"/>
      <c r="L134" s="50">
        <f>Table3[[#This Row],[Total Sales]]-Table3[[#This Row],[Discount]]</f>
        <v>0</v>
      </c>
      <c r="M134" s="58">
        <f>Table3[[#This Row],[Net Sales]]-Table3[[#This Row],[Cost Price]]*Table3[[#This Row],[QTY SOLD]]</f>
        <v>0</v>
      </c>
      <c r="N134" s="25"/>
      <c r="O134" s="25"/>
      <c r="P134" s="25"/>
      <c r="Q134" s="25"/>
      <c r="R134" s="25"/>
      <c r="S134" s="25"/>
    </row>
    <row r="135" spans="1:19" x14ac:dyDescent="0.25">
      <c r="A135" s="65"/>
      <c r="B135" s="50"/>
      <c r="C135" s="50"/>
      <c r="D135" s="50"/>
      <c r="E135" s="50" t="str">
        <f>IF(D135="","",VLOOKUP(D135,'Product Master'!$B:$C,2,FALSE))</f>
        <v/>
      </c>
      <c r="F135" s="50" t="str">
        <f>IF(D135="","",IFERROR(VLOOKUP(D135,'Product Master'!$B:$G,3,FALSE),""))</f>
        <v/>
      </c>
      <c r="G135" s="51"/>
      <c r="H135" s="52" t="str">
        <f>IF(D135="","",VLOOKUP(D135,'Product Master'!$B:$F,5,FALSE))</f>
        <v/>
      </c>
      <c r="I135" s="52">
        <f>IFERROR(VLOOKUP(D135,'Product Master'!B:E,4,FALSE),0)</f>
        <v>0</v>
      </c>
      <c r="J135" s="53">
        <f>IFERROR(Table3[[#This Row],[QTY SOLD]]*Table3[[#This Row],[Selling Price]],0)</f>
        <v>0</v>
      </c>
      <c r="K135" s="50"/>
      <c r="L135" s="50">
        <f>Table3[[#This Row],[Total Sales]]-Table3[[#This Row],[Discount]]</f>
        <v>0</v>
      </c>
      <c r="M135" s="58">
        <f>Table3[[#This Row],[Net Sales]]-Table3[[#This Row],[Cost Price]]*Table3[[#This Row],[QTY SOLD]]</f>
        <v>0</v>
      </c>
      <c r="N135" s="25"/>
      <c r="O135" s="25"/>
      <c r="P135" s="25"/>
      <c r="Q135" s="25"/>
      <c r="R135" s="25"/>
      <c r="S135" s="25"/>
    </row>
    <row r="136" spans="1:19" x14ac:dyDescent="0.25">
      <c r="A136" s="65"/>
      <c r="B136" s="50"/>
      <c r="C136" s="50"/>
      <c r="D136" s="50"/>
      <c r="E136" s="50" t="str">
        <f>IF(D136="","",VLOOKUP(D136,'Product Master'!$B:$C,2,FALSE))</f>
        <v/>
      </c>
      <c r="F136" s="50" t="str">
        <f>IF(D136="","",IFERROR(VLOOKUP(D136,'Product Master'!$B:$G,3,FALSE),""))</f>
        <v/>
      </c>
      <c r="G136" s="51"/>
      <c r="H136" s="52" t="str">
        <f>IF(D136="","",VLOOKUP(D136,'Product Master'!$B:$F,5,FALSE))</f>
        <v/>
      </c>
      <c r="I136" s="52">
        <f>IFERROR(VLOOKUP(D136,'Product Master'!B:E,4,FALSE),0)</f>
        <v>0</v>
      </c>
      <c r="J136" s="53">
        <f>IFERROR(Table3[[#This Row],[QTY SOLD]]*Table3[[#This Row],[Selling Price]],0)</f>
        <v>0</v>
      </c>
      <c r="K136" s="50"/>
      <c r="L136" s="50">
        <f>Table3[[#This Row],[Total Sales]]-Table3[[#This Row],[Discount]]</f>
        <v>0</v>
      </c>
      <c r="M136" s="58">
        <f>Table3[[#This Row],[Net Sales]]-Table3[[#This Row],[Cost Price]]*Table3[[#This Row],[QTY SOLD]]</f>
        <v>0</v>
      </c>
      <c r="N136" s="25"/>
      <c r="O136" s="25"/>
      <c r="P136" s="25"/>
      <c r="Q136" s="25"/>
      <c r="R136" s="25"/>
      <c r="S136" s="25"/>
    </row>
    <row r="137" spans="1:19" x14ac:dyDescent="0.25">
      <c r="A137" s="65"/>
      <c r="B137" s="50"/>
      <c r="C137" s="50"/>
      <c r="D137" s="50"/>
      <c r="E137" s="50" t="str">
        <f>IF(D137="","",VLOOKUP(D137,'Product Master'!$B:$C,2,FALSE))</f>
        <v/>
      </c>
      <c r="F137" s="50" t="str">
        <f>IF(D137="","",IFERROR(VLOOKUP(D137,'Product Master'!$B:$G,3,FALSE),""))</f>
        <v/>
      </c>
      <c r="G137" s="51"/>
      <c r="H137" s="52" t="str">
        <f>IF(D137="","",VLOOKUP(D137,'Product Master'!$B:$F,5,FALSE))</f>
        <v/>
      </c>
      <c r="I137" s="52">
        <f>IFERROR(VLOOKUP(D137,'Product Master'!B:E,4,FALSE),0)</f>
        <v>0</v>
      </c>
      <c r="J137" s="53">
        <f>IFERROR(Table3[[#This Row],[QTY SOLD]]*Table3[[#This Row],[Selling Price]],0)</f>
        <v>0</v>
      </c>
      <c r="K137" s="50"/>
      <c r="L137" s="50">
        <f>Table3[[#This Row],[Total Sales]]-Table3[[#This Row],[Discount]]</f>
        <v>0</v>
      </c>
      <c r="M137" s="58">
        <f>Table3[[#This Row],[Net Sales]]-Table3[[#This Row],[Cost Price]]*Table3[[#This Row],[QTY SOLD]]</f>
        <v>0</v>
      </c>
      <c r="N137" s="25"/>
      <c r="O137" s="25"/>
      <c r="P137" s="25"/>
      <c r="Q137" s="25"/>
      <c r="R137" s="25"/>
      <c r="S137" s="25"/>
    </row>
    <row r="138" spans="1:19" x14ac:dyDescent="0.25">
      <c r="A138" s="65"/>
      <c r="B138" s="50"/>
      <c r="C138" s="50"/>
      <c r="D138" s="50"/>
      <c r="E138" s="50" t="str">
        <f>IF(D138="","",VLOOKUP(D138,'Product Master'!$B:$C,2,FALSE))</f>
        <v/>
      </c>
      <c r="F138" s="50" t="str">
        <f>IF(D138="","",IFERROR(VLOOKUP(D138,'Product Master'!$B:$G,3,FALSE),""))</f>
        <v/>
      </c>
      <c r="G138" s="51"/>
      <c r="H138" s="52" t="str">
        <f>IF(D138="","",VLOOKUP(D138,'Product Master'!$B:$F,5,FALSE))</f>
        <v/>
      </c>
      <c r="I138" s="52">
        <f>IFERROR(VLOOKUP(D138,'Product Master'!B:E,4,FALSE),0)</f>
        <v>0</v>
      </c>
      <c r="J138" s="53">
        <f>IFERROR(Table3[[#This Row],[QTY SOLD]]*Table3[[#This Row],[Selling Price]],0)</f>
        <v>0</v>
      </c>
      <c r="K138" s="50"/>
      <c r="L138" s="50">
        <f>Table3[[#This Row],[Total Sales]]-Table3[[#This Row],[Discount]]</f>
        <v>0</v>
      </c>
      <c r="M138" s="58">
        <f>Table3[[#This Row],[Net Sales]]-Table3[[#This Row],[Cost Price]]*Table3[[#This Row],[QTY SOLD]]</f>
        <v>0</v>
      </c>
      <c r="N138" s="25"/>
      <c r="O138" s="25"/>
      <c r="P138" s="25"/>
      <c r="Q138" s="25"/>
      <c r="R138" s="25"/>
      <c r="S138" s="25"/>
    </row>
    <row r="139" spans="1:19" x14ac:dyDescent="0.25">
      <c r="A139" s="65"/>
      <c r="B139" s="50"/>
      <c r="C139" s="50"/>
      <c r="D139" s="50"/>
      <c r="E139" s="50" t="str">
        <f>IF(D139="","",VLOOKUP(D139,'Product Master'!$B:$C,2,FALSE))</f>
        <v/>
      </c>
      <c r="F139" s="50" t="str">
        <f>IF(D139="","",IFERROR(VLOOKUP(D139,'Product Master'!$B:$G,3,FALSE),""))</f>
        <v/>
      </c>
      <c r="G139" s="51"/>
      <c r="H139" s="52" t="str">
        <f>IF(D139="","",VLOOKUP(D139,'Product Master'!$B:$F,5,FALSE))</f>
        <v/>
      </c>
      <c r="I139" s="52">
        <f>IFERROR(VLOOKUP(D139,'Product Master'!B:E,4,FALSE),0)</f>
        <v>0</v>
      </c>
      <c r="J139" s="53">
        <f>IFERROR(Table3[[#This Row],[QTY SOLD]]*Table3[[#This Row],[Selling Price]],0)</f>
        <v>0</v>
      </c>
      <c r="K139" s="50"/>
      <c r="L139" s="50">
        <f>Table3[[#This Row],[Total Sales]]-Table3[[#This Row],[Discount]]</f>
        <v>0</v>
      </c>
      <c r="M139" s="58">
        <f>Table3[[#This Row],[Net Sales]]-Table3[[#This Row],[Cost Price]]*Table3[[#This Row],[QTY SOLD]]</f>
        <v>0</v>
      </c>
      <c r="N139" s="25"/>
      <c r="O139" s="25"/>
      <c r="P139" s="25"/>
      <c r="Q139" s="25"/>
      <c r="R139" s="25"/>
      <c r="S139" s="25"/>
    </row>
    <row r="140" spans="1:19" x14ac:dyDescent="0.25">
      <c r="A140" s="65"/>
      <c r="B140" s="50"/>
      <c r="C140" s="50"/>
      <c r="D140" s="50"/>
      <c r="E140" s="50" t="str">
        <f>IF(D140="","",VLOOKUP(D140,'Product Master'!$B:$C,2,FALSE))</f>
        <v/>
      </c>
      <c r="F140" s="50" t="str">
        <f>IF(D140="","",IFERROR(VLOOKUP(D140,'Product Master'!$B:$G,3,FALSE),""))</f>
        <v/>
      </c>
      <c r="G140" s="51"/>
      <c r="H140" s="52" t="str">
        <f>IF(D140="","",VLOOKUP(D140,'Product Master'!$B:$F,5,FALSE))</f>
        <v/>
      </c>
      <c r="I140" s="52">
        <f>IFERROR(VLOOKUP(D140,'Product Master'!B:E,4,FALSE),0)</f>
        <v>0</v>
      </c>
      <c r="J140" s="53">
        <f>IFERROR(Table3[[#This Row],[QTY SOLD]]*Table3[[#This Row],[Selling Price]],0)</f>
        <v>0</v>
      </c>
      <c r="K140" s="50"/>
      <c r="L140" s="50">
        <f>Table3[[#This Row],[Total Sales]]-Table3[[#This Row],[Discount]]</f>
        <v>0</v>
      </c>
      <c r="M140" s="58">
        <f>Table3[[#This Row],[Net Sales]]-Table3[[#This Row],[Cost Price]]*Table3[[#This Row],[QTY SOLD]]</f>
        <v>0</v>
      </c>
      <c r="N140" s="25"/>
      <c r="O140" s="25"/>
      <c r="P140" s="25"/>
      <c r="Q140" s="25"/>
      <c r="R140" s="25"/>
      <c r="S140" s="25"/>
    </row>
    <row r="141" spans="1:19" x14ac:dyDescent="0.25">
      <c r="A141" s="65"/>
      <c r="B141" s="50"/>
      <c r="C141" s="50"/>
      <c r="D141" s="50"/>
      <c r="E141" s="50" t="str">
        <f>IF(D141="","",VLOOKUP(D141,'Product Master'!$B:$C,2,FALSE))</f>
        <v/>
      </c>
      <c r="F141" s="50" t="str">
        <f>IF(D141="","",IFERROR(VLOOKUP(D141,'Product Master'!$B:$G,3,FALSE),""))</f>
        <v/>
      </c>
      <c r="G141" s="51"/>
      <c r="H141" s="52" t="str">
        <f>IF(D141="","",VLOOKUP(D141,'Product Master'!$B:$F,5,FALSE))</f>
        <v/>
      </c>
      <c r="I141" s="52">
        <f>IFERROR(VLOOKUP(D141,'Product Master'!B:E,4,FALSE),0)</f>
        <v>0</v>
      </c>
      <c r="J141" s="53">
        <f>IFERROR(Table3[[#This Row],[QTY SOLD]]*Table3[[#This Row],[Selling Price]],0)</f>
        <v>0</v>
      </c>
      <c r="K141" s="50"/>
      <c r="L141" s="50">
        <f>Table3[[#This Row],[Total Sales]]-Table3[[#This Row],[Discount]]</f>
        <v>0</v>
      </c>
      <c r="M141" s="58">
        <f>Table3[[#This Row],[Net Sales]]-Table3[[#This Row],[Cost Price]]*Table3[[#This Row],[QTY SOLD]]</f>
        <v>0</v>
      </c>
      <c r="N141" s="25"/>
      <c r="O141" s="25"/>
      <c r="P141" s="25"/>
      <c r="Q141" s="25"/>
      <c r="R141" s="25"/>
      <c r="S141" s="25"/>
    </row>
    <row r="142" spans="1:19" x14ac:dyDescent="0.25">
      <c r="A142" s="65"/>
      <c r="B142" s="50"/>
      <c r="C142" s="50"/>
      <c r="D142" s="50"/>
      <c r="E142" s="50" t="str">
        <f>IF(D142="","",VLOOKUP(D142,'Product Master'!$B:$C,2,FALSE))</f>
        <v/>
      </c>
      <c r="F142" s="50" t="str">
        <f>IF(D142="","",IFERROR(VLOOKUP(D142,'Product Master'!$B:$G,3,FALSE),""))</f>
        <v/>
      </c>
      <c r="G142" s="51"/>
      <c r="H142" s="52" t="str">
        <f>IF(D142="","",VLOOKUP(D142,'Product Master'!$B:$F,5,FALSE))</f>
        <v/>
      </c>
      <c r="I142" s="52">
        <f>IFERROR(VLOOKUP(D142,'Product Master'!B:E,4,FALSE),0)</f>
        <v>0</v>
      </c>
      <c r="J142" s="53">
        <f>IFERROR(Table3[[#This Row],[QTY SOLD]]*Table3[[#This Row],[Selling Price]],0)</f>
        <v>0</v>
      </c>
      <c r="K142" s="50"/>
      <c r="L142" s="50">
        <f>Table3[[#This Row],[Total Sales]]-Table3[[#This Row],[Discount]]</f>
        <v>0</v>
      </c>
      <c r="M142" s="58">
        <f>Table3[[#This Row],[Net Sales]]-Table3[[#This Row],[Cost Price]]*Table3[[#This Row],[QTY SOLD]]</f>
        <v>0</v>
      </c>
      <c r="N142" s="25"/>
      <c r="O142" s="25"/>
      <c r="P142" s="25"/>
      <c r="Q142" s="25"/>
      <c r="R142" s="25"/>
      <c r="S142" s="25"/>
    </row>
    <row r="143" spans="1:19" x14ac:dyDescent="0.25">
      <c r="A143" s="65"/>
      <c r="B143" s="50"/>
      <c r="C143" s="50"/>
      <c r="D143" s="50"/>
      <c r="E143" s="50" t="str">
        <f>IF(D143="","",VLOOKUP(D143,'Product Master'!$B:$C,2,FALSE))</f>
        <v/>
      </c>
      <c r="F143" s="50" t="str">
        <f>IF(D143="","",IFERROR(VLOOKUP(D143,'Product Master'!$B:$G,3,FALSE),""))</f>
        <v/>
      </c>
      <c r="G143" s="51"/>
      <c r="H143" s="52" t="str">
        <f>IF(D143="","",VLOOKUP(D143,'Product Master'!$B:$F,5,FALSE))</f>
        <v/>
      </c>
      <c r="I143" s="52">
        <f>IFERROR(VLOOKUP(D143,'Product Master'!B:E,4,FALSE),0)</f>
        <v>0</v>
      </c>
      <c r="J143" s="53">
        <f>IFERROR(Table3[[#This Row],[QTY SOLD]]*Table3[[#This Row],[Selling Price]],0)</f>
        <v>0</v>
      </c>
      <c r="K143" s="50"/>
      <c r="L143" s="50">
        <f>Table3[[#This Row],[Total Sales]]-Table3[[#This Row],[Discount]]</f>
        <v>0</v>
      </c>
      <c r="M143" s="58">
        <f>Table3[[#This Row],[Net Sales]]-Table3[[#This Row],[Cost Price]]*Table3[[#This Row],[QTY SOLD]]</f>
        <v>0</v>
      </c>
      <c r="N143" s="25"/>
      <c r="O143" s="25"/>
      <c r="P143" s="25"/>
      <c r="Q143" s="25"/>
      <c r="R143" s="25"/>
      <c r="S143" s="25"/>
    </row>
    <row r="144" spans="1:19" x14ac:dyDescent="0.25">
      <c r="A144" s="65"/>
      <c r="B144" s="50"/>
      <c r="C144" s="50"/>
      <c r="D144" s="50"/>
      <c r="E144" s="50" t="str">
        <f>IF(D144="","",VLOOKUP(D144,'Product Master'!$B:$C,2,FALSE))</f>
        <v/>
      </c>
      <c r="F144" s="50" t="str">
        <f>IF(D144="","",IFERROR(VLOOKUP(D144,'Product Master'!$B:$G,3,FALSE),""))</f>
        <v/>
      </c>
      <c r="G144" s="51"/>
      <c r="H144" s="52" t="str">
        <f>IF(D144="","",VLOOKUP(D144,'Product Master'!$B:$F,5,FALSE))</f>
        <v/>
      </c>
      <c r="I144" s="52">
        <f>IFERROR(VLOOKUP(D144,'Product Master'!B:E,4,FALSE),0)</f>
        <v>0</v>
      </c>
      <c r="J144" s="53">
        <f>IFERROR(Table3[[#This Row],[QTY SOLD]]*Table3[[#This Row],[Selling Price]],0)</f>
        <v>0</v>
      </c>
      <c r="K144" s="50"/>
      <c r="L144" s="50">
        <f>Table3[[#This Row],[Total Sales]]-Table3[[#This Row],[Discount]]</f>
        <v>0</v>
      </c>
      <c r="M144" s="58">
        <f>Table3[[#This Row],[Net Sales]]-Table3[[#This Row],[Cost Price]]*Table3[[#This Row],[QTY SOLD]]</f>
        <v>0</v>
      </c>
      <c r="N144" s="25"/>
      <c r="O144" s="25"/>
      <c r="P144" s="25"/>
      <c r="Q144" s="25"/>
      <c r="R144" s="25"/>
      <c r="S144" s="25"/>
    </row>
    <row r="145" spans="1:19" x14ac:dyDescent="0.25">
      <c r="A145" s="65"/>
      <c r="B145" s="50"/>
      <c r="C145" s="50"/>
      <c r="D145" s="50"/>
      <c r="E145" s="50" t="str">
        <f>IF(D145="","",VLOOKUP(D145,'Product Master'!$B:$C,2,FALSE))</f>
        <v/>
      </c>
      <c r="F145" s="50" t="str">
        <f>IF(D145="","",IFERROR(VLOOKUP(D145,'Product Master'!$B:$G,3,FALSE),""))</f>
        <v/>
      </c>
      <c r="G145" s="51"/>
      <c r="H145" s="52" t="str">
        <f>IF(D145="","",VLOOKUP(D145,'Product Master'!$B:$F,5,FALSE))</f>
        <v/>
      </c>
      <c r="I145" s="52">
        <f>IFERROR(VLOOKUP(D145,'Product Master'!B:E,4,FALSE),0)</f>
        <v>0</v>
      </c>
      <c r="J145" s="53">
        <f>IFERROR(Table3[[#This Row],[QTY SOLD]]*Table3[[#This Row],[Selling Price]],0)</f>
        <v>0</v>
      </c>
      <c r="K145" s="50"/>
      <c r="L145" s="50">
        <f>Table3[[#This Row],[Total Sales]]-Table3[[#This Row],[Discount]]</f>
        <v>0</v>
      </c>
      <c r="M145" s="58">
        <f>Table3[[#This Row],[Net Sales]]-Table3[[#This Row],[Cost Price]]*Table3[[#This Row],[QTY SOLD]]</f>
        <v>0</v>
      </c>
      <c r="N145" s="25"/>
      <c r="O145" s="25"/>
      <c r="P145" s="25"/>
      <c r="Q145" s="25"/>
      <c r="R145" s="25"/>
      <c r="S145" s="25"/>
    </row>
    <row r="146" spans="1:19" x14ac:dyDescent="0.25">
      <c r="A146" s="65"/>
      <c r="B146" s="50"/>
      <c r="C146" s="50"/>
      <c r="D146" s="50"/>
      <c r="E146" s="50" t="str">
        <f>IF(D146="","",VLOOKUP(D146,'Product Master'!$B:$C,2,FALSE))</f>
        <v/>
      </c>
      <c r="F146" s="50" t="str">
        <f>IF(D146="","",IFERROR(VLOOKUP(D146,'Product Master'!$B:$G,3,FALSE),""))</f>
        <v/>
      </c>
      <c r="G146" s="51"/>
      <c r="H146" s="52" t="str">
        <f>IF(D146="","",VLOOKUP(D146,'Product Master'!$B:$F,5,FALSE))</f>
        <v/>
      </c>
      <c r="I146" s="52">
        <f>IFERROR(VLOOKUP(D146,'Product Master'!B:E,4,FALSE),0)</f>
        <v>0</v>
      </c>
      <c r="J146" s="53">
        <f>IFERROR(Table3[[#This Row],[QTY SOLD]]*Table3[[#This Row],[Selling Price]],0)</f>
        <v>0</v>
      </c>
      <c r="K146" s="50"/>
      <c r="L146" s="50">
        <f>Table3[[#This Row],[Total Sales]]-Table3[[#This Row],[Discount]]</f>
        <v>0</v>
      </c>
      <c r="M146" s="58">
        <f>Table3[[#This Row],[Net Sales]]-Table3[[#This Row],[Cost Price]]*Table3[[#This Row],[QTY SOLD]]</f>
        <v>0</v>
      </c>
      <c r="N146" s="25"/>
      <c r="O146" s="25"/>
      <c r="P146" s="25"/>
      <c r="Q146" s="25"/>
      <c r="R146" s="25"/>
      <c r="S146" s="25"/>
    </row>
    <row r="147" spans="1:19" x14ac:dyDescent="0.25">
      <c r="A147" s="65"/>
      <c r="B147" s="50"/>
      <c r="C147" s="50"/>
      <c r="D147" s="50"/>
      <c r="E147" s="50" t="str">
        <f>IF(D147="","",VLOOKUP(D147,'Product Master'!$B:$C,2,FALSE))</f>
        <v/>
      </c>
      <c r="F147" s="50" t="str">
        <f>IF(D147="","",IFERROR(VLOOKUP(D147,'Product Master'!$B:$G,3,FALSE),""))</f>
        <v/>
      </c>
      <c r="G147" s="51"/>
      <c r="H147" s="52" t="str">
        <f>IF(D147="","",VLOOKUP(D147,'Product Master'!$B:$F,5,FALSE))</f>
        <v/>
      </c>
      <c r="I147" s="52">
        <f>IFERROR(VLOOKUP(D147,'Product Master'!B:E,4,FALSE),0)</f>
        <v>0</v>
      </c>
      <c r="J147" s="53">
        <f>IFERROR(Table3[[#This Row],[QTY SOLD]]*Table3[[#This Row],[Selling Price]],0)</f>
        <v>0</v>
      </c>
      <c r="K147" s="50"/>
      <c r="L147" s="50">
        <f>Table3[[#This Row],[Total Sales]]-Table3[[#This Row],[Discount]]</f>
        <v>0</v>
      </c>
      <c r="M147" s="58">
        <f>Table3[[#This Row],[Net Sales]]-Table3[[#This Row],[Cost Price]]*Table3[[#This Row],[QTY SOLD]]</f>
        <v>0</v>
      </c>
      <c r="N147" s="25"/>
      <c r="O147" s="25"/>
      <c r="P147" s="25"/>
      <c r="Q147" s="25"/>
      <c r="R147" s="25"/>
      <c r="S147" s="25"/>
    </row>
    <row r="148" spans="1:19" x14ac:dyDescent="0.25">
      <c r="A148" s="65"/>
      <c r="B148" s="50"/>
      <c r="C148" s="50"/>
      <c r="D148" s="50"/>
      <c r="E148" s="50" t="str">
        <f>IF(D148="","",VLOOKUP(D148,'Product Master'!$B:$C,2,FALSE))</f>
        <v/>
      </c>
      <c r="F148" s="50" t="str">
        <f>IF(D148="","",IFERROR(VLOOKUP(D148,'Product Master'!$B:$G,3,FALSE),""))</f>
        <v/>
      </c>
      <c r="G148" s="51"/>
      <c r="H148" s="52" t="str">
        <f>IF(D148="","",VLOOKUP(D148,'Product Master'!$B:$F,5,FALSE))</f>
        <v/>
      </c>
      <c r="I148" s="52">
        <f>IFERROR(VLOOKUP(D148,'Product Master'!B:E,4,FALSE),0)</f>
        <v>0</v>
      </c>
      <c r="J148" s="53">
        <f>IFERROR(Table3[[#This Row],[QTY SOLD]]*Table3[[#This Row],[Selling Price]],0)</f>
        <v>0</v>
      </c>
      <c r="K148" s="50"/>
      <c r="L148" s="50">
        <f>Table3[[#This Row],[Total Sales]]-Table3[[#This Row],[Discount]]</f>
        <v>0</v>
      </c>
      <c r="M148" s="58">
        <f>Table3[[#This Row],[Net Sales]]-Table3[[#This Row],[Cost Price]]*Table3[[#This Row],[QTY SOLD]]</f>
        <v>0</v>
      </c>
      <c r="N148" s="25"/>
      <c r="O148" s="25"/>
      <c r="P148" s="25"/>
      <c r="Q148" s="25"/>
      <c r="R148" s="25"/>
      <c r="S148" s="25"/>
    </row>
    <row r="149" spans="1:19" x14ac:dyDescent="0.25">
      <c r="A149" s="65"/>
      <c r="B149" s="50"/>
      <c r="C149" s="50"/>
      <c r="D149" s="50"/>
      <c r="E149" s="50" t="str">
        <f>IF(D149="","",VLOOKUP(D149,'Product Master'!$B:$C,2,FALSE))</f>
        <v/>
      </c>
      <c r="F149" s="50" t="str">
        <f>IF(D149="","",IFERROR(VLOOKUP(D149,'Product Master'!$B:$G,3,FALSE),""))</f>
        <v/>
      </c>
      <c r="G149" s="51"/>
      <c r="H149" s="52" t="str">
        <f>IF(D149="","",VLOOKUP(D149,'Product Master'!$B:$F,5,FALSE))</f>
        <v/>
      </c>
      <c r="I149" s="52">
        <f>IFERROR(VLOOKUP(D149,'Product Master'!B:E,4,FALSE),0)</f>
        <v>0</v>
      </c>
      <c r="J149" s="53">
        <f>IFERROR(Table3[[#This Row],[QTY SOLD]]*Table3[[#This Row],[Selling Price]],0)</f>
        <v>0</v>
      </c>
      <c r="K149" s="50"/>
      <c r="L149" s="50">
        <f>Table3[[#This Row],[Total Sales]]-Table3[[#This Row],[Discount]]</f>
        <v>0</v>
      </c>
      <c r="M149" s="58">
        <f>Table3[[#This Row],[Net Sales]]-Table3[[#This Row],[Cost Price]]*Table3[[#This Row],[QTY SOLD]]</f>
        <v>0</v>
      </c>
      <c r="N149" s="25"/>
      <c r="O149" s="25"/>
      <c r="P149" s="25"/>
      <c r="Q149" s="25"/>
      <c r="R149" s="25"/>
      <c r="S149" s="25"/>
    </row>
    <row r="150" spans="1:19" x14ac:dyDescent="0.25">
      <c r="A150" s="65"/>
      <c r="B150" s="50"/>
      <c r="C150" s="50"/>
      <c r="D150" s="50"/>
      <c r="E150" s="50" t="str">
        <f>IF(D150="","",VLOOKUP(D150,'Product Master'!$B:$C,2,FALSE))</f>
        <v/>
      </c>
      <c r="F150" s="50" t="str">
        <f>IF(D150="","",IFERROR(VLOOKUP(D150,'Product Master'!$B:$G,3,FALSE),""))</f>
        <v/>
      </c>
      <c r="G150" s="51"/>
      <c r="H150" s="52" t="str">
        <f>IF(D150="","",VLOOKUP(D150,'Product Master'!$B:$F,5,FALSE))</f>
        <v/>
      </c>
      <c r="I150" s="52">
        <f>IFERROR(VLOOKUP(D150,'Product Master'!B:E,4,FALSE),0)</f>
        <v>0</v>
      </c>
      <c r="J150" s="53">
        <f>IFERROR(Table3[[#This Row],[QTY SOLD]]*Table3[[#This Row],[Selling Price]],0)</f>
        <v>0</v>
      </c>
      <c r="K150" s="50"/>
      <c r="L150" s="50">
        <f>Table3[[#This Row],[Total Sales]]-Table3[[#This Row],[Discount]]</f>
        <v>0</v>
      </c>
      <c r="M150" s="58">
        <f>Table3[[#This Row],[Net Sales]]-Table3[[#This Row],[Cost Price]]*Table3[[#This Row],[QTY SOLD]]</f>
        <v>0</v>
      </c>
      <c r="N150" s="25"/>
      <c r="O150" s="25"/>
      <c r="P150" s="25"/>
      <c r="Q150" s="25"/>
      <c r="R150" s="25"/>
      <c r="S150" s="25"/>
    </row>
    <row r="151" spans="1:19" x14ac:dyDescent="0.25">
      <c r="A151" s="65"/>
      <c r="B151" s="50"/>
      <c r="C151" s="50"/>
      <c r="D151" s="50"/>
      <c r="E151" s="50" t="str">
        <f>IF(D151="","",VLOOKUP(D151,'Product Master'!$B:$C,2,FALSE))</f>
        <v/>
      </c>
      <c r="F151" s="50" t="str">
        <f>IF(D151="","",IFERROR(VLOOKUP(D151,'Product Master'!$B:$G,3,FALSE),""))</f>
        <v/>
      </c>
      <c r="G151" s="51"/>
      <c r="H151" s="52" t="str">
        <f>IF(D151="","",VLOOKUP(D151,'Product Master'!$B:$F,5,FALSE))</f>
        <v/>
      </c>
      <c r="I151" s="52">
        <f>IFERROR(VLOOKUP(D151,'Product Master'!B:E,4,FALSE),0)</f>
        <v>0</v>
      </c>
      <c r="J151" s="53">
        <f>IFERROR(Table3[[#This Row],[QTY SOLD]]*Table3[[#This Row],[Selling Price]],0)</f>
        <v>0</v>
      </c>
      <c r="K151" s="50"/>
      <c r="L151" s="50">
        <f>Table3[[#This Row],[Total Sales]]-Table3[[#This Row],[Discount]]</f>
        <v>0</v>
      </c>
      <c r="M151" s="58">
        <f>Table3[[#This Row],[Net Sales]]-Table3[[#This Row],[Cost Price]]*Table3[[#This Row],[QTY SOLD]]</f>
        <v>0</v>
      </c>
      <c r="N151" s="25"/>
      <c r="O151" s="25"/>
      <c r="P151" s="25"/>
      <c r="Q151" s="25"/>
      <c r="R151" s="25"/>
      <c r="S151" s="25"/>
    </row>
    <row r="152" spans="1:19" x14ac:dyDescent="0.25">
      <c r="A152" s="65"/>
      <c r="B152" s="50"/>
      <c r="C152" s="50"/>
      <c r="D152" s="50"/>
      <c r="E152" s="50" t="str">
        <f>IF(D152="","",VLOOKUP(D152,'Product Master'!$B:$C,2,FALSE))</f>
        <v/>
      </c>
      <c r="F152" s="50" t="str">
        <f>IF(D152="","",IFERROR(VLOOKUP(D152,'Product Master'!$B:$G,3,FALSE),""))</f>
        <v/>
      </c>
      <c r="G152" s="51"/>
      <c r="H152" s="52" t="str">
        <f>IF(D152="","",VLOOKUP(D152,'Product Master'!$B:$F,5,FALSE))</f>
        <v/>
      </c>
      <c r="I152" s="52">
        <f>IFERROR(VLOOKUP(D152,'Product Master'!B:E,4,FALSE),0)</f>
        <v>0</v>
      </c>
      <c r="J152" s="53">
        <f>IFERROR(Table3[[#This Row],[QTY SOLD]]*Table3[[#This Row],[Selling Price]],0)</f>
        <v>0</v>
      </c>
      <c r="K152" s="50"/>
      <c r="L152" s="50">
        <f>Table3[[#This Row],[Total Sales]]-Table3[[#This Row],[Discount]]</f>
        <v>0</v>
      </c>
      <c r="M152" s="58">
        <f>Table3[[#This Row],[Net Sales]]-Table3[[#This Row],[Cost Price]]*Table3[[#This Row],[QTY SOLD]]</f>
        <v>0</v>
      </c>
      <c r="N152" s="25"/>
      <c r="O152" s="25"/>
      <c r="P152" s="25"/>
      <c r="Q152" s="25"/>
      <c r="R152" s="25"/>
      <c r="S152" s="25"/>
    </row>
    <row r="153" spans="1:19" x14ac:dyDescent="0.25">
      <c r="A153" s="65"/>
      <c r="B153" s="50"/>
      <c r="C153" s="50"/>
      <c r="D153" s="50"/>
      <c r="E153" s="50" t="str">
        <f>IF(D153="","",VLOOKUP(D153,'Product Master'!$B:$C,2,FALSE))</f>
        <v/>
      </c>
      <c r="F153" s="50" t="str">
        <f>IF(D153="","",IFERROR(VLOOKUP(D153,'Product Master'!$B:$G,3,FALSE),""))</f>
        <v/>
      </c>
      <c r="G153" s="51"/>
      <c r="H153" s="52" t="str">
        <f>IF(D153="","",VLOOKUP(D153,'Product Master'!$B:$F,5,FALSE))</f>
        <v/>
      </c>
      <c r="I153" s="52">
        <f>IFERROR(VLOOKUP(D153,'Product Master'!B:E,4,FALSE),0)</f>
        <v>0</v>
      </c>
      <c r="J153" s="53">
        <f>IFERROR(Table3[[#This Row],[QTY SOLD]]*Table3[[#This Row],[Selling Price]],0)</f>
        <v>0</v>
      </c>
      <c r="K153" s="50"/>
      <c r="L153" s="50">
        <f>Table3[[#This Row],[Total Sales]]-Table3[[#This Row],[Discount]]</f>
        <v>0</v>
      </c>
      <c r="M153" s="58">
        <f>Table3[[#This Row],[Net Sales]]-Table3[[#This Row],[Cost Price]]*Table3[[#This Row],[QTY SOLD]]</f>
        <v>0</v>
      </c>
      <c r="N153" s="25"/>
      <c r="O153" s="25"/>
      <c r="P153" s="25"/>
      <c r="Q153" s="25"/>
      <c r="R153" s="25"/>
      <c r="S153" s="25"/>
    </row>
    <row r="154" spans="1:19" x14ac:dyDescent="0.25">
      <c r="A154" s="65"/>
      <c r="B154" s="50"/>
      <c r="C154" s="50"/>
      <c r="D154" s="50"/>
      <c r="E154" s="50" t="str">
        <f>IF(D154="","",VLOOKUP(D154,'Product Master'!$B:$C,2,FALSE))</f>
        <v/>
      </c>
      <c r="F154" s="50" t="str">
        <f>IF(D154="","",IFERROR(VLOOKUP(D154,'Product Master'!$B:$G,3,FALSE),""))</f>
        <v/>
      </c>
      <c r="G154" s="51"/>
      <c r="H154" s="52" t="str">
        <f>IF(D154="","",VLOOKUP(D154,'Product Master'!$B:$F,5,FALSE))</f>
        <v/>
      </c>
      <c r="I154" s="52">
        <f>IFERROR(VLOOKUP(D154,'Product Master'!B:E,4,FALSE),0)</f>
        <v>0</v>
      </c>
      <c r="J154" s="53">
        <f>IFERROR(Table3[[#This Row],[QTY SOLD]]*Table3[[#This Row],[Selling Price]],0)</f>
        <v>0</v>
      </c>
      <c r="K154" s="50"/>
      <c r="L154" s="50">
        <f>Table3[[#This Row],[Total Sales]]-Table3[[#This Row],[Discount]]</f>
        <v>0</v>
      </c>
      <c r="M154" s="58">
        <f>Table3[[#This Row],[Net Sales]]-Table3[[#This Row],[Cost Price]]*Table3[[#This Row],[QTY SOLD]]</f>
        <v>0</v>
      </c>
      <c r="N154" s="25"/>
      <c r="O154" s="25"/>
      <c r="P154" s="25"/>
      <c r="Q154" s="25"/>
      <c r="R154" s="25"/>
      <c r="S154" s="25"/>
    </row>
    <row r="155" spans="1:19" x14ac:dyDescent="0.25">
      <c r="A155" s="65"/>
      <c r="B155" s="50"/>
      <c r="C155" s="50"/>
      <c r="D155" s="50"/>
      <c r="E155" s="50" t="str">
        <f>IF(D155="","",VLOOKUP(D155,'Product Master'!$B:$C,2,FALSE))</f>
        <v/>
      </c>
      <c r="F155" s="50" t="str">
        <f>IF(D155="","",IFERROR(VLOOKUP(D155,'Product Master'!$B:$G,3,FALSE),""))</f>
        <v/>
      </c>
      <c r="G155" s="51"/>
      <c r="H155" s="52" t="str">
        <f>IF(D155="","",VLOOKUP(D155,'Product Master'!$B:$F,5,FALSE))</f>
        <v/>
      </c>
      <c r="I155" s="52">
        <f>IFERROR(VLOOKUP(D155,'Product Master'!B:E,4,FALSE),0)</f>
        <v>0</v>
      </c>
      <c r="J155" s="53">
        <f>IFERROR(Table3[[#This Row],[QTY SOLD]]*Table3[[#This Row],[Selling Price]],0)</f>
        <v>0</v>
      </c>
      <c r="K155" s="50"/>
      <c r="L155" s="50">
        <f>Table3[[#This Row],[Total Sales]]-Table3[[#This Row],[Discount]]</f>
        <v>0</v>
      </c>
      <c r="M155" s="58">
        <f>Table3[[#This Row],[Net Sales]]-Table3[[#This Row],[Cost Price]]*Table3[[#This Row],[QTY SOLD]]</f>
        <v>0</v>
      </c>
      <c r="N155" s="25"/>
      <c r="O155" s="25"/>
      <c r="P155" s="25"/>
      <c r="Q155" s="25"/>
      <c r="R155" s="25"/>
      <c r="S155" s="25"/>
    </row>
    <row r="156" spans="1:19" x14ac:dyDescent="0.25">
      <c r="A156" s="65"/>
      <c r="B156" s="50"/>
      <c r="C156" s="50"/>
      <c r="D156" s="50"/>
      <c r="E156" s="50" t="str">
        <f>IF(D156="","",VLOOKUP(D156,'Product Master'!$B:$C,2,FALSE))</f>
        <v/>
      </c>
      <c r="F156" s="50" t="str">
        <f>IF(D156="","",IFERROR(VLOOKUP(D156,'Product Master'!$B:$G,3,FALSE),""))</f>
        <v/>
      </c>
      <c r="G156" s="51"/>
      <c r="H156" s="52" t="str">
        <f>IF(D156="","",VLOOKUP(D156,'Product Master'!$B:$F,5,FALSE))</f>
        <v/>
      </c>
      <c r="I156" s="52">
        <f>IFERROR(VLOOKUP(D156,'Product Master'!B:E,4,FALSE),0)</f>
        <v>0</v>
      </c>
      <c r="J156" s="53">
        <f>IFERROR(Table3[[#This Row],[QTY SOLD]]*Table3[[#This Row],[Selling Price]],0)</f>
        <v>0</v>
      </c>
      <c r="K156" s="50"/>
      <c r="L156" s="50">
        <f>Table3[[#This Row],[Total Sales]]-Table3[[#This Row],[Discount]]</f>
        <v>0</v>
      </c>
      <c r="M156" s="58">
        <f>Table3[[#This Row],[Net Sales]]-Table3[[#This Row],[Cost Price]]*Table3[[#This Row],[QTY SOLD]]</f>
        <v>0</v>
      </c>
      <c r="N156" s="25"/>
      <c r="O156" s="25"/>
      <c r="P156" s="25"/>
      <c r="Q156" s="25"/>
      <c r="R156" s="25"/>
      <c r="S156" s="25"/>
    </row>
    <row r="157" spans="1:19" x14ac:dyDescent="0.25">
      <c r="A157" s="65"/>
      <c r="B157" s="50"/>
      <c r="C157" s="50"/>
      <c r="D157" s="50"/>
      <c r="E157" s="50" t="str">
        <f>IF(D157="","",VLOOKUP(D157,'Product Master'!$B:$C,2,FALSE))</f>
        <v/>
      </c>
      <c r="F157" s="50" t="str">
        <f>IF(D157="","",IFERROR(VLOOKUP(D157,'Product Master'!$B:$G,3,FALSE),""))</f>
        <v/>
      </c>
      <c r="G157" s="51"/>
      <c r="H157" s="52" t="str">
        <f>IF(D157="","",VLOOKUP(D157,'Product Master'!$B:$F,5,FALSE))</f>
        <v/>
      </c>
      <c r="I157" s="52">
        <f>IFERROR(VLOOKUP(D157,'Product Master'!B:E,4,FALSE),0)</f>
        <v>0</v>
      </c>
      <c r="J157" s="53">
        <f>IFERROR(Table3[[#This Row],[QTY SOLD]]*Table3[[#This Row],[Selling Price]],0)</f>
        <v>0</v>
      </c>
      <c r="K157" s="50"/>
      <c r="L157" s="50">
        <f>Table3[[#This Row],[Total Sales]]-Table3[[#This Row],[Discount]]</f>
        <v>0</v>
      </c>
      <c r="M157" s="58">
        <f>Table3[[#This Row],[Net Sales]]-Table3[[#This Row],[Cost Price]]*Table3[[#This Row],[QTY SOLD]]</f>
        <v>0</v>
      </c>
      <c r="N157" s="25"/>
      <c r="O157" s="25"/>
      <c r="P157" s="25"/>
      <c r="Q157" s="25"/>
      <c r="R157" s="25"/>
      <c r="S157" s="25"/>
    </row>
    <row r="158" spans="1:19" x14ac:dyDescent="0.25">
      <c r="A158" s="65"/>
      <c r="B158" s="50"/>
      <c r="C158" s="50"/>
      <c r="D158" s="50"/>
      <c r="E158" s="50" t="str">
        <f>IF(D158="","",VLOOKUP(D158,'Product Master'!$B:$C,2,FALSE))</f>
        <v/>
      </c>
      <c r="F158" s="50" t="str">
        <f>IF(D158="","",IFERROR(VLOOKUP(D158,'Product Master'!$B:$G,3,FALSE),""))</f>
        <v/>
      </c>
      <c r="G158" s="51"/>
      <c r="H158" s="52" t="str">
        <f>IF(D158="","",VLOOKUP(D158,'Product Master'!$B:$F,5,FALSE))</f>
        <v/>
      </c>
      <c r="I158" s="52">
        <f>IFERROR(VLOOKUP(D158,'Product Master'!B:E,4,FALSE),0)</f>
        <v>0</v>
      </c>
      <c r="J158" s="53">
        <f>IFERROR(Table3[[#This Row],[QTY SOLD]]*Table3[[#This Row],[Selling Price]],0)</f>
        <v>0</v>
      </c>
      <c r="K158" s="50"/>
      <c r="L158" s="50">
        <f>Table3[[#This Row],[Total Sales]]-Table3[[#This Row],[Discount]]</f>
        <v>0</v>
      </c>
      <c r="M158" s="58">
        <f>Table3[[#This Row],[Net Sales]]-Table3[[#This Row],[Cost Price]]*Table3[[#This Row],[QTY SOLD]]</f>
        <v>0</v>
      </c>
      <c r="N158" s="25"/>
      <c r="O158" s="25"/>
      <c r="P158" s="25"/>
      <c r="Q158" s="25"/>
      <c r="R158" s="25"/>
      <c r="S158" s="25"/>
    </row>
    <row r="159" spans="1:19" x14ac:dyDescent="0.25">
      <c r="A159" s="65"/>
      <c r="B159" s="50"/>
      <c r="C159" s="50"/>
      <c r="D159" s="50"/>
      <c r="E159" s="50" t="str">
        <f>IF(D159="","",VLOOKUP(D159,'Product Master'!$B:$C,2,FALSE))</f>
        <v/>
      </c>
      <c r="F159" s="50" t="str">
        <f>IF(D159="","",IFERROR(VLOOKUP(D159,'Product Master'!$B:$G,3,FALSE),""))</f>
        <v/>
      </c>
      <c r="G159" s="51"/>
      <c r="H159" s="52" t="str">
        <f>IF(D159="","",VLOOKUP(D159,'Product Master'!$B:$F,5,FALSE))</f>
        <v/>
      </c>
      <c r="I159" s="52">
        <f>IFERROR(VLOOKUP(D159,'Product Master'!B:E,4,FALSE),0)</f>
        <v>0</v>
      </c>
      <c r="J159" s="53">
        <f>IFERROR(Table3[[#This Row],[QTY SOLD]]*Table3[[#This Row],[Selling Price]],0)</f>
        <v>0</v>
      </c>
      <c r="K159" s="50"/>
      <c r="L159" s="50">
        <f>Table3[[#This Row],[Total Sales]]-Table3[[#This Row],[Discount]]</f>
        <v>0</v>
      </c>
      <c r="M159" s="58">
        <f>Table3[[#This Row],[Net Sales]]-Table3[[#This Row],[Cost Price]]*Table3[[#This Row],[QTY SOLD]]</f>
        <v>0</v>
      </c>
      <c r="N159" s="25"/>
      <c r="O159" s="25"/>
      <c r="P159" s="25"/>
      <c r="Q159" s="25"/>
      <c r="R159" s="25"/>
      <c r="S159" s="25"/>
    </row>
    <row r="160" spans="1:19" x14ac:dyDescent="0.25">
      <c r="A160" s="65"/>
      <c r="B160" s="50"/>
      <c r="C160" s="50"/>
      <c r="D160" s="50"/>
      <c r="E160" s="50" t="str">
        <f>IF(D160="","",VLOOKUP(D160,'Product Master'!$B:$C,2,FALSE))</f>
        <v/>
      </c>
      <c r="F160" s="50" t="str">
        <f>IF(D160="","",IFERROR(VLOOKUP(D160,'Product Master'!$B:$G,3,FALSE),""))</f>
        <v/>
      </c>
      <c r="G160" s="51"/>
      <c r="H160" s="52" t="str">
        <f>IF(D160="","",VLOOKUP(D160,'Product Master'!$B:$F,5,FALSE))</f>
        <v/>
      </c>
      <c r="I160" s="52">
        <f>IFERROR(VLOOKUP(D160,'Product Master'!B:E,4,FALSE),0)</f>
        <v>0</v>
      </c>
      <c r="J160" s="53">
        <f>IFERROR(Table3[[#This Row],[QTY SOLD]]*Table3[[#This Row],[Selling Price]],0)</f>
        <v>0</v>
      </c>
      <c r="K160" s="50"/>
      <c r="L160" s="50">
        <f>Table3[[#This Row],[Total Sales]]-Table3[[#This Row],[Discount]]</f>
        <v>0</v>
      </c>
      <c r="M160" s="58">
        <f>Table3[[#This Row],[Net Sales]]-Table3[[#This Row],[Cost Price]]*Table3[[#This Row],[QTY SOLD]]</f>
        <v>0</v>
      </c>
      <c r="N160" s="25"/>
      <c r="O160" s="25"/>
      <c r="P160" s="25"/>
      <c r="Q160" s="25"/>
      <c r="R160" s="25"/>
      <c r="S160" s="25"/>
    </row>
    <row r="161" spans="1:19" x14ac:dyDescent="0.25">
      <c r="A161" s="65"/>
      <c r="B161" s="50"/>
      <c r="C161" s="50"/>
      <c r="D161" s="50"/>
      <c r="E161" s="50" t="str">
        <f>IF(D161="","",VLOOKUP(D161,'Product Master'!$B:$C,2,FALSE))</f>
        <v/>
      </c>
      <c r="F161" s="50" t="str">
        <f>IF(D161="","",IFERROR(VLOOKUP(D161,'Product Master'!$B:$G,3,FALSE),""))</f>
        <v/>
      </c>
      <c r="G161" s="51"/>
      <c r="H161" s="52" t="str">
        <f>IF(D161="","",VLOOKUP(D161,'Product Master'!$B:$F,5,FALSE))</f>
        <v/>
      </c>
      <c r="I161" s="52">
        <f>IFERROR(VLOOKUP(D161,'Product Master'!B:E,4,FALSE),0)</f>
        <v>0</v>
      </c>
      <c r="J161" s="53">
        <f>IFERROR(Table3[[#This Row],[QTY SOLD]]*Table3[[#This Row],[Selling Price]],0)</f>
        <v>0</v>
      </c>
      <c r="K161" s="50"/>
      <c r="L161" s="50">
        <f>Table3[[#This Row],[Total Sales]]-Table3[[#This Row],[Discount]]</f>
        <v>0</v>
      </c>
      <c r="M161" s="58">
        <f>Table3[[#This Row],[Net Sales]]-Table3[[#This Row],[Cost Price]]*Table3[[#This Row],[QTY SOLD]]</f>
        <v>0</v>
      </c>
      <c r="N161" s="25"/>
      <c r="O161" s="25"/>
      <c r="P161" s="25"/>
      <c r="Q161" s="25"/>
      <c r="R161" s="25"/>
      <c r="S161" s="25"/>
    </row>
    <row r="162" spans="1:19" x14ac:dyDescent="0.25">
      <c r="A162" s="65"/>
      <c r="B162" s="50"/>
      <c r="C162" s="50"/>
      <c r="D162" s="50"/>
      <c r="E162" s="50" t="str">
        <f>IF(D162="","",VLOOKUP(D162,'Product Master'!$B:$C,2,FALSE))</f>
        <v/>
      </c>
      <c r="F162" s="50" t="str">
        <f>IF(D162="","",IFERROR(VLOOKUP(D162,'Product Master'!$B:$G,3,FALSE),""))</f>
        <v/>
      </c>
      <c r="G162" s="51"/>
      <c r="H162" s="52" t="str">
        <f>IF(D162="","",VLOOKUP(D162,'Product Master'!$B:$F,5,FALSE))</f>
        <v/>
      </c>
      <c r="I162" s="52">
        <f>IFERROR(VLOOKUP(D162,'Product Master'!B:E,4,FALSE),0)</f>
        <v>0</v>
      </c>
      <c r="J162" s="53">
        <f>IFERROR(Table3[[#This Row],[QTY SOLD]]*Table3[[#This Row],[Selling Price]],0)</f>
        <v>0</v>
      </c>
      <c r="K162" s="50"/>
      <c r="L162" s="50">
        <f>Table3[[#This Row],[Total Sales]]-Table3[[#This Row],[Discount]]</f>
        <v>0</v>
      </c>
      <c r="M162" s="58">
        <f>Table3[[#This Row],[Net Sales]]-Table3[[#This Row],[Cost Price]]*Table3[[#This Row],[QTY SOLD]]</f>
        <v>0</v>
      </c>
      <c r="N162" s="25"/>
      <c r="O162" s="25"/>
      <c r="P162" s="25"/>
      <c r="Q162" s="25"/>
      <c r="R162" s="25"/>
      <c r="S162" s="25"/>
    </row>
    <row r="163" spans="1:19" x14ac:dyDescent="0.25">
      <c r="A163" s="65"/>
      <c r="B163" s="50"/>
      <c r="C163" s="50"/>
      <c r="D163" s="50"/>
      <c r="E163" s="50" t="str">
        <f>IF(D163="","",VLOOKUP(D163,'Product Master'!$B:$C,2,FALSE))</f>
        <v/>
      </c>
      <c r="F163" s="50" t="str">
        <f>IF(D163="","",IFERROR(VLOOKUP(D163,'Product Master'!$B:$G,3,FALSE),""))</f>
        <v/>
      </c>
      <c r="G163" s="51"/>
      <c r="H163" s="52" t="str">
        <f>IF(D163="","",VLOOKUP(D163,'Product Master'!$B:$F,5,FALSE))</f>
        <v/>
      </c>
      <c r="I163" s="52">
        <f>IFERROR(VLOOKUP(D163,'Product Master'!B:E,4,FALSE),0)</f>
        <v>0</v>
      </c>
      <c r="J163" s="53">
        <f>IFERROR(Table3[[#This Row],[QTY SOLD]]*Table3[[#This Row],[Selling Price]],0)</f>
        <v>0</v>
      </c>
      <c r="K163" s="50"/>
      <c r="L163" s="50">
        <f>Table3[[#This Row],[Total Sales]]-Table3[[#This Row],[Discount]]</f>
        <v>0</v>
      </c>
      <c r="M163" s="58">
        <f>Table3[[#This Row],[Net Sales]]-Table3[[#This Row],[Cost Price]]*Table3[[#This Row],[QTY SOLD]]</f>
        <v>0</v>
      </c>
      <c r="N163" s="25"/>
      <c r="O163" s="25"/>
      <c r="P163" s="25"/>
      <c r="Q163" s="25"/>
      <c r="R163" s="25"/>
      <c r="S163" s="25"/>
    </row>
    <row r="164" spans="1:19" x14ac:dyDescent="0.25">
      <c r="A164" s="65"/>
      <c r="B164" s="50"/>
      <c r="C164" s="50"/>
      <c r="D164" s="50"/>
      <c r="E164" s="50" t="str">
        <f>IF(D164="","",VLOOKUP(D164,'Product Master'!$B:$C,2,FALSE))</f>
        <v/>
      </c>
      <c r="F164" s="50" t="str">
        <f>IF(D164="","",IFERROR(VLOOKUP(D164,'Product Master'!$B:$G,3,FALSE),""))</f>
        <v/>
      </c>
      <c r="G164" s="51"/>
      <c r="H164" s="52" t="str">
        <f>IF(D164="","",VLOOKUP(D164,'Product Master'!$B:$F,5,FALSE))</f>
        <v/>
      </c>
      <c r="I164" s="52">
        <f>IFERROR(VLOOKUP(D164,'Product Master'!B:E,4,FALSE),0)</f>
        <v>0</v>
      </c>
      <c r="J164" s="53">
        <f>IFERROR(Table3[[#This Row],[QTY SOLD]]*Table3[[#This Row],[Selling Price]],0)</f>
        <v>0</v>
      </c>
      <c r="K164" s="50"/>
      <c r="L164" s="50">
        <f>Table3[[#This Row],[Total Sales]]-Table3[[#This Row],[Discount]]</f>
        <v>0</v>
      </c>
      <c r="M164" s="58">
        <f>Table3[[#This Row],[Net Sales]]-Table3[[#This Row],[Cost Price]]*Table3[[#This Row],[QTY SOLD]]</f>
        <v>0</v>
      </c>
      <c r="N164" s="25"/>
      <c r="O164" s="25"/>
      <c r="P164" s="25"/>
      <c r="Q164" s="25"/>
      <c r="R164" s="25"/>
      <c r="S164" s="25"/>
    </row>
    <row r="165" spans="1:19" x14ac:dyDescent="0.25">
      <c r="A165" s="65"/>
      <c r="B165" s="50"/>
      <c r="C165" s="50"/>
      <c r="D165" s="50"/>
      <c r="E165" s="50" t="str">
        <f>IF(D165="","",VLOOKUP(D165,'Product Master'!$B:$C,2,FALSE))</f>
        <v/>
      </c>
      <c r="F165" s="50" t="str">
        <f>IF(D165="","",IFERROR(VLOOKUP(D165,'Product Master'!$B:$G,3,FALSE),""))</f>
        <v/>
      </c>
      <c r="G165" s="51"/>
      <c r="H165" s="52" t="str">
        <f>IF(D165="","",VLOOKUP(D165,'Product Master'!$B:$F,5,FALSE))</f>
        <v/>
      </c>
      <c r="I165" s="52">
        <f>IFERROR(VLOOKUP(D165,'Product Master'!B:E,4,FALSE),0)</f>
        <v>0</v>
      </c>
      <c r="J165" s="53">
        <f>IFERROR(Table3[[#This Row],[QTY SOLD]]*Table3[[#This Row],[Selling Price]],0)</f>
        <v>0</v>
      </c>
      <c r="K165" s="50"/>
      <c r="L165" s="50">
        <f>Table3[[#This Row],[Total Sales]]-Table3[[#This Row],[Discount]]</f>
        <v>0</v>
      </c>
      <c r="M165" s="58">
        <f>Table3[[#This Row],[Net Sales]]-Table3[[#This Row],[Cost Price]]*Table3[[#This Row],[QTY SOLD]]</f>
        <v>0</v>
      </c>
      <c r="N165" s="25"/>
      <c r="O165" s="25"/>
      <c r="P165" s="25"/>
      <c r="Q165" s="25"/>
      <c r="R165" s="25"/>
      <c r="S165" s="25"/>
    </row>
    <row r="166" spans="1:19" x14ac:dyDescent="0.25">
      <c r="A166" s="65"/>
      <c r="B166" s="50"/>
      <c r="C166" s="50"/>
      <c r="D166" s="50"/>
      <c r="E166" s="50" t="str">
        <f>IF(D166="","",VLOOKUP(D166,'Product Master'!$B:$C,2,FALSE))</f>
        <v/>
      </c>
      <c r="F166" s="50" t="str">
        <f>IF(D166="","",IFERROR(VLOOKUP(D166,'Product Master'!$B:$G,3,FALSE),""))</f>
        <v/>
      </c>
      <c r="G166" s="51"/>
      <c r="H166" s="52" t="str">
        <f>IF(D166="","",VLOOKUP(D166,'Product Master'!$B:$F,5,FALSE))</f>
        <v/>
      </c>
      <c r="I166" s="52">
        <f>IFERROR(VLOOKUP(D166,'Product Master'!B:E,4,FALSE),0)</f>
        <v>0</v>
      </c>
      <c r="J166" s="53">
        <f>IFERROR(Table3[[#This Row],[QTY SOLD]]*Table3[[#This Row],[Selling Price]],0)</f>
        <v>0</v>
      </c>
      <c r="K166" s="50"/>
      <c r="L166" s="50">
        <f>Table3[[#This Row],[Total Sales]]-Table3[[#This Row],[Discount]]</f>
        <v>0</v>
      </c>
      <c r="M166" s="58">
        <f>Table3[[#This Row],[Net Sales]]-Table3[[#This Row],[Cost Price]]*Table3[[#This Row],[QTY SOLD]]</f>
        <v>0</v>
      </c>
      <c r="N166" s="25"/>
      <c r="O166" s="25"/>
      <c r="P166" s="25"/>
      <c r="Q166" s="25"/>
      <c r="R166" s="25"/>
      <c r="S166" s="25"/>
    </row>
    <row r="167" spans="1:19" x14ac:dyDescent="0.25">
      <c r="A167" s="65"/>
      <c r="B167" s="50"/>
      <c r="C167" s="50"/>
      <c r="D167" s="50"/>
      <c r="E167" s="50" t="str">
        <f>IF(D167="","",VLOOKUP(D167,'Product Master'!$B:$C,2,FALSE))</f>
        <v/>
      </c>
      <c r="F167" s="50" t="str">
        <f>IF(D167="","",IFERROR(VLOOKUP(D167,'Product Master'!$B:$G,3,FALSE),""))</f>
        <v/>
      </c>
      <c r="G167" s="51"/>
      <c r="H167" s="52" t="str">
        <f>IF(D167="","",VLOOKUP(D167,'Product Master'!$B:$F,5,FALSE))</f>
        <v/>
      </c>
      <c r="I167" s="52">
        <f>IFERROR(VLOOKUP(D167,'Product Master'!B:E,4,FALSE),0)</f>
        <v>0</v>
      </c>
      <c r="J167" s="53">
        <f>IFERROR(Table3[[#This Row],[QTY SOLD]]*Table3[[#This Row],[Selling Price]],0)</f>
        <v>0</v>
      </c>
      <c r="K167" s="50"/>
      <c r="L167" s="50">
        <f>Table3[[#This Row],[Total Sales]]-Table3[[#This Row],[Discount]]</f>
        <v>0</v>
      </c>
      <c r="M167" s="58">
        <f>Table3[[#This Row],[Net Sales]]-Table3[[#This Row],[Cost Price]]*Table3[[#This Row],[QTY SOLD]]</f>
        <v>0</v>
      </c>
      <c r="N167" s="25"/>
      <c r="O167" s="25"/>
      <c r="P167" s="25"/>
      <c r="Q167" s="25"/>
      <c r="R167" s="25"/>
      <c r="S167" s="25"/>
    </row>
    <row r="168" spans="1:19" x14ac:dyDescent="0.25">
      <c r="A168" s="65"/>
      <c r="B168" s="50"/>
      <c r="C168" s="50"/>
      <c r="D168" s="50"/>
      <c r="E168" s="50" t="str">
        <f>IF(D168="","",VLOOKUP(D168,'Product Master'!$B:$C,2,FALSE))</f>
        <v/>
      </c>
      <c r="F168" s="50" t="str">
        <f>IF(D168="","",IFERROR(VLOOKUP(D168,'Product Master'!$B:$G,3,FALSE),""))</f>
        <v/>
      </c>
      <c r="G168" s="51"/>
      <c r="H168" s="52" t="str">
        <f>IF(D168="","",VLOOKUP(D168,'Product Master'!$B:$F,5,FALSE))</f>
        <v/>
      </c>
      <c r="I168" s="52">
        <f>IFERROR(VLOOKUP(D168,'Product Master'!B:E,4,FALSE),0)</f>
        <v>0</v>
      </c>
      <c r="J168" s="53">
        <f>IFERROR(Table3[[#This Row],[QTY SOLD]]*Table3[[#This Row],[Selling Price]],0)</f>
        <v>0</v>
      </c>
      <c r="K168" s="50"/>
      <c r="L168" s="50">
        <f>Table3[[#This Row],[Total Sales]]-Table3[[#This Row],[Discount]]</f>
        <v>0</v>
      </c>
      <c r="M168" s="58">
        <f>Table3[[#This Row],[Net Sales]]-Table3[[#This Row],[Cost Price]]*Table3[[#This Row],[QTY SOLD]]</f>
        <v>0</v>
      </c>
      <c r="N168" s="25"/>
      <c r="O168" s="25"/>
      <c r="P168" s="25"/>
      <c r="Q168" s="25"/>
      <c r="R168" s="25"/>
      <c r="S168" s="25"/>
    </row>
    <row r="169" spans="1:19" x14ac:dyDescent="0.25">
      <c r="A169" s="65"/>
      <c r="B169" s="50"/>
      <c r="C169" s="50"/>
      <c r="D169" s="50"/>
      <c r="E169" s="50" t="str">
        <f>IF(D169="","",VLOOKUP(D169,'Product Master'!$B:$C,2,FALSE))</f>
        <v/>
      </c>
      <c r="F169" s="50" t="str">
        <f>IF(D169="","",IFERROR(VLOOKUP(D169,'Product Master'!$B:$G,3,FALSE),""))</f>
        <v/>
      </c>
      <c r="G169" s="51"/>
      <c r="H169" s="52" t="str">
        <f>IF(D169="","",VLOOKUP(D169,'Product Master'!$B:$F,5,FALSE))</f>
        <v/>
      </c>
      <c r="I169" s="52">
        <f>IFERROR(VLOOKUP(D169,'Product Master'!B:E,4,FALSE),0)</f>
        <v>0</v>
      </c>
      <c r="J169" s="53">
        <f>IFERROR(Table3[[#This Row],[QTY SOLD]]*Table3[[#This Row],[Selling Price]],0)</f>
        <v>0</v>
      </c>
      <c r="K169" s="50"/>
      <c r="L169" s="50">
        <f>Table3[[#This Row],[Total Sales]]-Table3[[#This Row],[Discount]]</f>
        <v>0</v>
      </c>
      <c r="M169" s="58">
        <f>Table3[[#This Row],[Net Sales]]-Table3[[#This Row],[Cost Price]]*Table3[[#This Row],[QTY SOLD]]</f>
        <v>0</v>
      </c>
      <c r="N169" s="25"/>
      <c r="O169" s="25"/>
      <c r="P169" s="25"/>
      <c r="Q169" s="25"/>
      <c r="R169" s="25"/>
      <c r="S169" s="25"/>
    </row>
    <row r="170" spans="1:19" x14ac:dyDescent="0.25">
      <c r="A170" s="65"/>
      <c r="B170" s="50"/>
      <c r="C170" s="50"/>
      <c r="D170" s="50"/>
      <c r="E170" s="50" t="str">
        <f>IF(D170="","",VLOOKUP(D170,'Product Master'!$B:$C,2,FALSE))</f>
        <v/>
      </c>
      <c r="F170" s="50" t="str">
        <f>IF(D170="","",IFERROR(VLOOKUP(D170,'Product Master'!$B:$G,3,FALSE),""))</f>
        <v/>
      </c>
      <c r="G170" s="51"/>
      <c r="H170" s="52" t="str">
        <f>IF(D170="","",VLOOKUP(D170,'Product Master'!$B:$F,5,FALSE))</f>
        <v/>
      </c>
      <c r="I170" s="52">
        <f>IFERROR(VLOOKUP(D170,'Product Master'!B:E,4,FALSE),0)</f>
        <v>0</v>
      </c>
      <c r="J170" s="53">
        <f>IFERROR(Table3[[#This Row],[QTY SOLD]]*Table3[[#This Row],[Selling Price]],0)</f>
        <v>0</v>
      </c>
      <c r="K170" s="50"/>
      <c r="L170" s="50">
        <f>Table3[[#This Row],[Total Sales]]-Table3[[#This Row],[Discount]]</f>
        <v>0</v>
      </c>
      <c r="M170" s="58">
        <f>Table3[[#This Row],[Net Sales]]-Table3[[#This Row],[Cost Price]]*Table3[[#This Row],[QTY SOLD]]</f>
        <v>0</v>
      </c>
      <c r="N170" s="25"/>
      <c r="O170" s="25"/>
      <c r="P170" s="25"/>
      <c r="Q170" s="25"/>
      <c r="R170" s="25"/>
      <c r="S170" s="25"/>
    </row>
    <row r="171" spans="1:19" x14ac:dyDescent="0.25">
      <c r="A171" s="65"/>
      <c r="B171" s="50"/>
      <c r="C171" s="50"/>
      <c r="D171" s="50"/>
      <c r="E171" s="50" t="str">
        <f>IF(D171="","",VLOOKUP(D171,'Product Master'!$B:$C,2,FALSE))</f>
        <v/>
      </c>
      <c r="F171" s="50" t="str">
        <f>IF(D171="","",IFERROR(VLOOKUP(D171,'Product Master'!$B:$G,3,FALSE),""))</f>
        <v/>
      </c>
      <c r="G171" s="51"/>
      <c r="H171" s="52" t="str">
        <f>IF(D171="","",VLOOKUP(D171,'Product Master'!$B:$F,5,FALSE))</f>
        <v/>
      </c>
      <c r="I171" s="52">
        <f>IFERROR(VLOOKUP(D171,'Product Master'!B:E,4,FALSE),0)</f>
        <v>0</v>
      </c>
      <c r="J171" s="53">
        <f>IFERROR(Table3[[#This Row],[QTY SOLD]]*Table3[[#This Row],[Selling Price]],0)</f>
        <v>0</v>
      </c>
      <c r="K171" s="50"/>
      <c r="L171" s="50">
        <f>Table3[[#This Row],[Total Sales]]-Table3[[#This Row],[Discount]]</f>
        <v>0</v>
      </c>
      <c r="M171" s="58">
        <f>Table3[[#This Row],[Net Sales]]-Table3[[#This Row],[Cost Price]]*Table3[[#This Row],[QTY SOLD]]</f>
        <v>0</v>
      </c>
      <c r="N171" s="25"/>
      <c r="O171" s="25"/>
      <c r="P171" s="25"/>
      <c r="Q171" s="25"/>
      <c r="R171" s="25"/>
      <c r="S171" s="25"/>
    </row>
    <row r="172" spans="1:19" x14ac:dyDescent="0.25">
      <c r="A172" s="65"/>
      <c r="B172" s="50"/>
      <c r="C172" s="50"/>
      <c r="D172" s="50"/>
      <c r="E172" s="50" t="str">
        <f>IF(D172="","",VLOOKUP(D172,'Product Master'!$B:$C,2,FALSE))</f>
        <v/>
      </c>
      <c r="F172" s="50" t="str">
        <f>IF(D172="","",IFERROR(VLOOKUP(D172,'Product Master'!$B:$G,3,FALSE),""))</f>
        <v/>
      </c>
      <c r="G172" s="51"/>
      <c r="H172" s="52" t="str">
        <f>IF(D172="","",VLOOKUP(D172,'Product Master'!$B:$F,5,FALSE))</f>
        <v/>
      </c>
      <c r="I172" s="52">
        <f>IFERROR(VLOOKUP(D172,'Product Master'!B:E,4,FALSE),0)</f>
        <v>0</v>
      </c>
      <c r="J172" s="53">
        <f>IFERROR(Table3[[#This Row],[QTY SOLD]]*Table3[[#This Row],[Selling Price]],0)</f>
        <v>0</v>
      </c>
      <c r="K172" s="50"/>
      <c r="L172" s="50">
        <f>Table3[[#This Row],[Total Sales]]-Table3[[#This Row],[Discount]]</f>
        <v>0</v>
      </c>
      <c r="M172" s="58">
        <f>Table3[[#This Row],[Net Sales]]-Table3[[#This Row],[Cost Price]]*Table3[[#This Row],[QTY SOLD]]</f>
        <v>0</v>
      </c>
      <c r="N172" s="25"/>
      <c r="O172" s="25"/>
      <c r="P172" s="25"/>
      <c r="Q172" s="25"/>
      <c r="R172" s="25"/>
      <c r="S172" s="25"/>
    </row>
    <row r="173" spans="1:19" x14ac:dyDescent="0.25">
      <c r="A173" s="65"/>
      <c r="B173" s="50"/>
      <c r="C173" s="50"/>
      <c r="D173" s="50"/>
      <c r="E173" s="50" t="str">
        <f>IF(D173="","",VLOOKUP(D173,'Product Master'!$B:$C,2,FALSE))</f>
        <v/>
      </c>
      <c r="F173" s="50" t="str">
        <f>IF(D173="","",IFERROR(VLOOKUP(D173,'Product Master'!$B:$G,3,FALSE),""))</f>
        <v/>
      </c>
      <c r="G173" s="51"/>
      <c r="H173" s="52" t="str">
        <f>IF(D173="","",VLOOKUP(D173,'Product Master'!$B:$F,5,FALSE))</f>
        <v/>
      </c>
      <c r="I173" s="52">
        <f>IFERROR(VLOOKUP(D173,'Product Master'!B:E,4,FALSE),0)</f>
        <v>0</v>
      </c>
      <c r="J173" s="53">
        <f>IFERROR(Table3[[#This Row],[QTY SOLD]]*Table3[[#This Row],[Selling Price]],0)</f>
        <v>0</v>
      </c>
      <c r="K173" s="50"/>
      <c r="L173" s="50">
        <f>Table3[[#This Row],[Total Sales]]-Table3[[#This Row],[Discount]]</f>
        <v>0</v>
      </c>
      <c r="M173" s="58">
        <f>Table3[[#This Row],[Net Sales]]-Table3[[#This Row],[Cost Price]]*Table3[[#This Row],[QTY SOLD]]</f>
        <v>0</v>
      </c>
      <c r="N173" s="25"/>
      <c r="O173" s="25"/>
      <c r="P173" s="25"/>
      <c r="Q173" s="25"/>
      <c r="R173" s="25"/>
      <c r="S173" s="25"/>
    </row>
    <row r="174" spans="1:19" x14ac:dyDescent="0.25">
      <c r="A174" s="65"/>
      <c r="B174" s="50"/>
      <c r="C174" s="50"/>
      <c r="D174" s="50"/>
      <c r="E174" s="50" t="str">
        <f>IF(D174="","",VLOOKUP(D174,'Product Master'!$B:$C,2,FALSE))</f>
        <v/>
      </c>
      <c r="F174" s="50" t="str">
        <f>IF(D174="","",IFERROR(VLOOKUP(D174,'Product Master'!$B:$G,3,FALSE),""))</f>
        <v/>
      </c>
      <c r="G174" s="51"/>
      <c r="H174" s="52" t="str">
        <f>IF(D174="","",VLOOKUP(D174,'Product Master'!$B:$F,5,FALSE))</f>
        <v/>
      </c>
      <c r="I174" s="52">
        <f>IFERROR(VLOOKUP(D174,'Product Master'!B:E,4,FALSE),0)</f>
        <v>0</v>
      </c>
      <c r="J174" s="53">
        <f>IFERROR(Table3[[#This Row],[QTY SOLD]]*Table3[[#This Row],[Selling Price]],0)</f>
        <v>0</v>
      </c>
      <c r="K174" s="50"/>
      <c r="L174" s="50">
        <f>Table3[[#This Row],[Total Sales]]-Table3[[#This Row],[Discount]]</f>
        <v>0</v>
      </c>
      <c r="M174" s="58">
        <f>Table3[[#This Row],[Net Sales]]-Table3[[#This Row],[Cost Price]]*Table3[[#This Row],[QTY SOLD]]</f>
        <v>0</v>
      </c>
      <c r="N174" s="25"/>
      <c r="O174" s="25"/>
      <c r="P174" s="25"/>
      <c r="Q174" s="25"/>
      <c r="R174" s="25"/>
      <c r="S174" s="25"/>
    </row>
    <row r="175" spans="1:19" x14ac:dyDescent="0.25">
      <c r="A175" s="65"/>
      <c r="B175" s="50"/>
      <c r="C175" s="50"/>
      <c r="D175" s="50"/>
      <c r="E175" s="50" t="str">
        <f>IF(D175="","",VLOOKUP(D175,'Product Master'!$B:$C,2,FALSE))</f>
        <v/>
      </c>
      <c r="F175" s="50" t="str">
        <f>IF(D175="","",IFERROR(VLOOKUP(D175,'Product Master'!$B:$G,3,FALSE),""))</f>
        <v/>
      </c>
      <c r="G175" s="51"/>
      <c r="H175" s="52" t="str">
        <f>IF(D175="","",VLOOKUP(D175,'Product Master'!$B:$F,5,FALSE))</f>
        <v/>
      </c>
      <c r="I175" s="52">
        <f>IFERROR(VLOOKUP(D175,'Product Master'!B:E,4,FALSE),0)</f>
        <v>0</v>
      </c>
      <c r="J175" s="53">
        <f>IFERROR(Table3[[#This Row],[QTY SOLD]]*Table3[[#This Row],[Selling Price]],0)</f>
        <v>0</v>
      </c>
      <c r="K175" s="50"/>
      <c r="L175" s="50">
        <f>Table3[[#This Row],[Total Sales]]-Table3[[#This Row],[Discount]]</f>
        <v>0</v>
      </c>
      <c r="M175" s="58">
        <f>Table3[[#This Row],[Net Sales]]-Table3[[#This Row],[Cost Price]]*Table3[[#This Row],[QTY SOLD]]</f>
        <v>0</v>
      </c>
      <c r="N175" s="25"/>
      <c r="O175" s="25"/>
      <c r="P175" s="25"/>
      <c r="Q175" s="25"/>
      <c r="R175" s="25"/>
      <c r="S175" s="25"/>
    </row>
    <row r="176" spans="1:19" x14ac:dyDescent="0.25">
      <c r="A176" s="65"/>
      <c r="B176" s="50"/>
      <c r="C176" s="50"/>
      <c r="D176" s="50"/>
      <c r="E176" s="50" t="str">
        <f>IF(D176="","",VLOOKUP(D176,'Product Master'!$B:$C,2,FALSE))</f>
        <v/>
      </c>
      <c r="F176" s="50" t="str">
        <f>IF(D176="","",IFERROR(VLOOKUP(D176,'Product Master'!$B:$G,3,FALSE),""))</f>
        <v/>
      </c>
      <c r="G176" s="51"/>
      <c r="H176" s="52" t="str">
        <f>IF(D176="","",VLOOKUP(D176,'Product Master'!$B:$F,5,FALSE))</f>
        <v/>
      </c>
      <c r="I176" s="52">
        <f>IFERROR(VLOOKUP(D176,'Product Master'!B:E,4,FALSE),0)</f>
        <v>0</v>
      </c>
      <c r="J176" s="53">
        <f>IFERROR(Table3[[#This Row],[QTY SOLD]]*Table3[[#This Row],[Selling Price]],0)</f>
        <v>0</v>
      </c>
      <c r="K176" s="50"/>
      <c r="L176" s="50">
        <f>Table3[[#This Row],[Total Sales]]-Table3[[#This Row],[Discount]]</f>
        <v>0</v>
      </c>
      <c r="M176" s="58">
        <f>Table3[[#This Row],[Net Sales]]-Table3[[#This Row],[Cost Price]]*Table3[[#This Row],[QTY SOLD]]</f>
        <v>0</v>
      </c>
      <c r="N176" s="25"/>
      <c r="O176" s="25"/>
      <c r="P176" s="25"/>
      <c r="Q176" s="25"/>
      <c r="R176" s="25"/>
      <c r="S176" s="25"/>
    </row>
    <row r="177" spans="1:19" x14ac:dyDescent="0.25">
      <c r="A177" s="65"/>
      <c r="B177" s="50"/>
      <c r="C177" s="50"/>
      <c r="D177" s="50"/>
      <c r="E177" s="50" t="str">
        <f>IF(D177="","",VLOOKUP(D177,'Product Master'!$B:$C,2,FALSE))</f>
        <v/>
      </c>
      <c r="F177" s="50" t="str">
        <f>IF(D177="","",IFERROR(VLOOKUP(D177,'Product Master'!$B:$G,3,FALSE),""))</f>
        <v/>
      </c>
      <c r="G177" s="51"/>
      <c r="H177" s="52" t="str">
        <f>IF(D177="","",VLOOKUP(D177,'Product Master'!$B:$F,5,FALSE))</f>
        <v/>
      </c>
      <c r="I177" s="52">
        <f>IFERROR(VLOOKUP(D177,'Product Master'!B:E,4,FALSE),0)</f>
        <v>0</v>
      </c>
      <c r="J177" s="53">
        <f>IFERROR(Table3[[#This Row],[QTY SOLD]]*Table3[[#This Row],[Selling Price]],0)</f>
        <v>0</v>
      </c>
      <c r="K177" s="50"/>
      <c r="L177" s="50">
        <f>Table3[[#This Row],[Total Sales]]-Table3[[#This Row],[Discount]]</f>
        <v>0</v>
      </c>
      <c r="M177" s="58">
        <f>Table3[[#This Row],[Net Sales]]-Table3[[#This Row],[Cost Price]]*Table3[[#This Row],[QTY SOLD]]</f>
        <v>0</v>
      </c>
      <c r="N177" s="25"/>
      <c r="O177" s="25"/>
      <c r="P177" s="25"/>
      <c r="Q177" s="25"/>
      <c r="R177" s="25"/>
      <c r="S177" s="25"/>
    </row>
    <row r="178" spans="1:19" x14ac:dyDescent="0.25">
      <c r="A178" s="65"/>
      <c r="B178" s="50"/>
      <c r="C178" s="50"/>
      <c r="D178" s="50"/>
      <c r="E178" s="50" t="str">
        <f>IF(D178="","",VLOOKUP(D178,'Product Master'!$B:$C,2,FALSE))</f>
        <v/>
      </c>
      <c r="F178" s="50" t="str">
        <f>IF(D178="","",IFERROR(VLOOKUP(D178,'Product Master'!$B:$G,3,FALSE),""))</f>
        <v/>
      </c>
      <c r="G178" s="51"/>
      <c r="H178" s="52" t="str">
        <f>IF(D178="","",VLOOKUP(D178,'Product Master'!$B:$F,5,FALSE))</f>
        <v/>
      </c>
      <c r="I178" s="52">
        <f>IFERROR(VLOOKUP(D178,'Product Master'!B:E,4,FALSE),0)</f>
        <v>0</v>
      </c>
      <c r="J178" s="53">
        <f>IFERROR(Table3[[#This Row],[QTY SOLD]]*Table3[[#This Row],[Selling Price]],0)</f>
        <v>0</v>
      </c>
      <c r="K178" s="50"/>
      <c r="L178" s="50">
        <f>Table3[[#This Row],[Total Sales]]-Table3[[#This Row],[Discount]]</f>
        <v>0</v>
      </c>
      <c r="M178" s="58">
        <f>Table3[[#This Row],[Net Sales]]-Table3[[#This Row],[Cost Price]]*Table3[[#This Row],[QTY SOLD]]</f>
        <v>0</v>
      </c>
      <c r="N178" s="25"/>
      <c r="O178" s="25"/>
      <c r="P178" s="25"/>
      <c r="Q178" s="25"/>
      <c r="R178" s="25"/>
      <c r="S178" s="25"/>
    </row>
    <row r="179" spans="1:19" x14ac:dyDescent="0.25">
      <c r="A179" s="65"/>
      <c r="B179" s="50"/>
      <c r="C179" s="50"/>
      <c r="D179" s="50"/>
      <c r="E179" s="50" t="str">
        <f>IF(D179="","",VLOOKUP(D179,'Product Master'!$B:$C,2,FALSE))</f>
        <v/>
      </c>
      <c r="F179" s="50" t="str">
        <f>IF(D179="","",IFERROR(VLOOKUP(D179,'Product Master'!$B:$G,3,FALSE),""))</f>
        <v/>
      </c>
      <c r="G179" s="51"/>
      <c r="H179" s="52" t="str">
        <f>IF(D179="","",VLOOKUP(D179,'Product Master'!$B:$F,5,FALSE))</f>
        <v/>
      </c>
      <c r="I179" s="52">
        <f>IFERROR(VLOOKUP(D179,'Product Master'!B:E,4,FALSE),0)</f>
        <v>0</v>
      </c>
      <c r="J179" s="53">
        <f>IFERROR(Table3[[#This Row],[QTY SOLD]]*Table3[[#This Row],[Selling Price]],0)</f>
        <v>0</v>
      </c>
      <c r="K179" s="50"/>
      <c r="L179" s="50">
        <f>Table3[[#This Row],[Total Sales]]-Table3[[#This Row],[Discount]]</f>
        <v>0</v>
      </c>
      <c r="M179" s="58">
        <f>Table3[[#This Row],[Net Sales]]-Table3[[#This Row],[Cost Price]]*Table3[[#This Row],[QTY SOLD]]</f>
        <v>0</v>
      </c>
      <c r="N179" s="25"/>
      <c r="O179" s="25"/>
      <c r="P179" s="25"/>
      <c r="Q179" s="25"/>
      <c r="R179" s="25"/>
      <c r="S179" s="25"/>
    </row>
    <row r="180" spans="1:19" x14ac:dyDescent="0.25">
      <c r="A180" s="65"/>
      <c r="B180" s="50"/>
      <c r="C180" s="50"/>
      <c r="D180" s="50"/>
      <c r="E180" s="50" t="str">
        <f>IF(D180="","",VLOOKUP(D180,'Product Master'!$B:$C,2,FALSE))</f>
        <v/>
      </c>
      <c r="F180" s="50" t="str">
        <f>IF(D180="","",IFERROR(VLOOKUP(D180,'Product Master'!$B:$G,3,FALSE),""))</f>
        <v/>
      </c>
      <c r="G180" s="51"/>
      <c r="H180" s="52" t="str">
        <f>IF(D180="","",VLOOKUP(D180,'Product Master'!$B:$F,5,FALSE))</f>
        <v/>
      </c>
      <c r="I180" s="52">
        <f>IFERROR(VLOOKUP(D180,'Product Master'!B:E,4,FALSE),0)</f>
        <v>0</v>
      </c>
      <c r="J180" s="53">
        <f>IFERROR(Table3[[#This Row],[QTY SOLD]]*Table3[[#This Row],[Selling Price]],0)</f>
        <v>0</v>
      </c>
      <c r="K180" s="50"/>
      <c r="L180" s="50">
        <f>Table3[[#This Row],[Total Sales]]-Table3[[#This Row],[Discount]]</f>
        <v>0</v>
      </c>
      <c r="M180" s="58">
        <f>Table3[[#This Row],[Net Sales]]-Table3[[#This Row],[Cost Price]]*Table3[[#This Row],[QTY SOLD]]</f>
        <v>0</v>
      </c>
      <c r="N180" s="25"/>
      <c r="O180" s="25"/>
      <c r="P180" s="25"/>
      <c r="Q180" s="25"/>
      <c r="R180" s="25"/>
      <c r="S180" s="25"/>
    </row>
    <row r="181" spans="1:19" x14ac:dyDescent="0.25">
      <c r="A181" s="65"/>
      <c r="B181" s="50"/>
      <c r="C181" s="50"/>
      <c r="D181" s="50"/>
      <c r="E181" s="50" t="str">
        <f>IF(D181="","",VLOOKUP(D181,'Product Master'!$B:$C,2,FALSE))</f>
        <v/>
      </c>
      <c r="F181" s="50" t="str">
        <f>IF(D181="","",IFERROR(VLOOKUP(D181,'Product Master'!$B:$G,3,FALSE),""))</f>
        <v/>
      </c>
      <c r="G181" s="51"/>
      <c r="H181" s="52" t="str">
        <f>IF(D181="","",VLOOKUP(D181,'Product Master'!$B:$F,5,FALSE))</f>
        <v/>
      </c>
      <c r="I181" s="52">
        <f>IFERROR(VLOOKUP(D181,'Product Master'!B:E,4,FALSE),0)</f>
        <v>0</v>
      </c>
      <c r="J181" s="53">
        <f>IFERROR(Table3[[#This Row],[QTY SOLD]]*Table3[[#This Row],[Selling Price]],0)</f>
        <v>0</v>
      </c>
      <c r="K181" s="50"/>
      <c r="L181" s="50">
        <f>Table3[[#This Row],[Total Sales]]-Table3[[#This Row],[Discount]]</f>
        <v>0</v>
      </c>
      <c r="M181" s="58">
        <f>Table3[[#This Row],[Net Sales]]-Table3[[#This Row],[Cost Price]]*Table3[[#This Row],[QTY SOLD]]</f>
        <v>0</v>
      </c>
      <c r="N181" s="25"/>
      <c r="O181" s="25"/>
      <c r="P181" s="25"/>
      <c r="Q181" s="25"/>
      <c r="R181" s="25"/>
      <c r="S181" s="25"/>
    </row>
    <row r="182" spans="1:19" x14ac:dyDescent="0.25">
      <c r="A182" s="65"/>
      <c r="B182" s="50"/>
      <c r="C182" s="50"/>
      <c r="D182" s="50"/>
      <c r="E182" s="50" t="str">
        <f>IF(D182="","",VLOOKUP(D182,'Product Master'!$B:$C,2,FALSE))</f>
        <v/>
      </c>
      <c r="F182" s="50" t="str">
        <f>IF(D182="","",IFERROR(VLOOKUP(D182,'Product Master'!$B:$G,3,FALSE),""))</f>
        <v/>
      </c>
      <c r="G182" s="51"/>
      <c r="H182" s="52" t="str">
        <f>IF(D182="","",VLOOKUP(D182,'Product Master'!$B:$F,5,FALSE))</f>
        <v/>
      </c>
      <c r="I182" s="52">
        <f>IFERROR(VLOOKUP(D182,'Product Master'!B:E,4,FALSE),0)</f>
        <v>0</v>
      </c>
      <c r="J182" s="53">
        <f>IFERROR(Table3[[#This Row],[QTY SOLD]]*Table3[[#This Row],[Selling Price]],0)</f>
        <v>0</v>
      </c>
      <c r="K182" s="50"/>
      <c r="L182" s="50">
        <f>Table3[[#This Row],[Total Sales]]-Table3[[#This Row],[Discount]]</f>
        <v>0</v>
      </c>
      <c r="M182" s="58">
        <f>Table3[[#This Row],[Net Sales]]-Table3[[#This Row],[Cost Price]]*Table3[[#This Row],[QTY SOLD]]</f>
        <v>0</v>
      </c>
      <c r="N182" s="25"/>
      <c r="O182" s="25"/>
      <c r="P182" s="25"/>
      <c r="Q182" s="25"/>
      <c r="R182" s="25"/>
      <c r="S182" s="25"/>
    </row>
    <row r="183" spans="1:19" x14ac:dyDescent="0.25">
      <c r="A183" s="65"/>
      <c r="B183" s="50"/>
      <c r="C183" s="50"/>
      <c r="D183" s="50"/>
      <c r="E183" s="50" t="str">
        <f>IF(D183="","",VLOOKUP(D183,'Product Master'!$B:$C,2,FALSE))</f>
        <v/>
      </c>
      <c r="F183" s="50" t="str">
        <f>IF(D183="","",IFERROR(VLOOKUP(D183,'Product Master'!$B:$G,3,FALSE),""))</f>
        <v/>
      </c>
      <c r="G183" s="51"/>
      <c r="H183" s="52" t="str">
        <f>IF(D183="","",VLOOKUP(D183,'Product Master'!$B:$F,5,FALSE))</f>
        <v/>
      </c>
      <c r="I183" s="52">
        <f>IFERROR(VLOOKUP(D183,'Product Master'!B:E,4,FALSE),0)</f>
        <v>0</v>
      </c>
      <c r="J183" s="53">
        <f>IFERROR(Table3[[#This Row],[QTY SOLD]]*Table3[[#This Row],[Selling Price]],0)</f>
        <v>0</v>
      </c>
      <c r="K183" s="50"/>
      <c r="L183" s="50">
        <f>Table3[[#This Row],[Total Sales]]-Table3[[#This Row],[Discount]]</f>
        <v>0</v>
      </c>
      <c r="M183" s="58">
        <f>Table3[[#This Row],[Net Sales]]-Table3[[#This Row],[Cost Price]]*Table3[[#This Row],[QTY SOLD]]</f>
        <v>0</v>
      </c>
      <c r="N183" s="25"/>
      <c r="O183" s="25"/>
      <c r="P183" s="25"/>
      <c r="Q183" s="25"/>
      <c r="R183" s="25"/>
      <c r="S183" s="25"/>
    </row>
    <row r="184" spans="1:19" x14ac:dyDescent="0.25">
      <c r="A184" s="65"/>
      <c r="B184" s="50"/>
      <c r="C184" s="50"/>
      <c r="D184" s="50"/>
      <c r="E184" s="50" t="str">
        <f>IF(D184="","",VLOOKUP(D184,'Product Master'!$B:$C,2,FALSE))</f>
        <v/>
      </c>
      <c r="F184" s="50" t="str">
        <f>IF(D184="","",IFERROR(VLOOKUP(D184,'Product Master'!$B:$G,3,FALSE),""))</f>
        <v/>
      </c>
      <c r="G184" s="51"/>
      <c r="H184" s="52" t="str">
        <f>IF(D184="","",VLOOKUP(D184,'Product Master'!$B:$F,5,FALSE))</f>
        <v/>
      </c>
      <c r="I184" s="52">
        <f>IFERROR(VLOOKUP(D184,'Product Master'!B:E,4,FALSE),0)</f>
        <v>0</v>
      </c>
      <c r="J184" s="53">
        <f>IFERROR(Table3[[#This Row],[QTY SOLD]]*Table3[[#This Row],[Selling Price]],0)</f>
        <v>0</v>
      </c>
      <c r="K184" s="50"/>
      <c r="L184" s="50">
        <f>Table3[[#This Row],[Total Sales]]-Table3[[#This Row],[Discount]]</f>
        <v>0</v>
      </c>
      <c r="M184" s="58">
        <f>Table3[[#This Row],[Net Sales]]-Table3[[#This Row],[Cost Price]]*Table3[[#This Row],[QTY SOLD]]</f>
        <v>0</v>
      </c>
      <c r="N184" s="25"/>
      <c r="O184" s="25"/>
      <c r="P184" s="25"/>
      <c r="Q184" s="25"/>
      <c r="R184" s="25"/>
      <c r="S184" s="25"/>
    </row>
    <row r="185" spans="1:19" x14ac:dyDescent="0.25">
      <c r="A185" s="65"/>
      <c r="B185" s="50"/>
      <c r="C185" s="50"/>
      <c r="D185" s="50"/>
      <c r="E185" s="50" t="str">
        <f>IF(D185="","",VLOOKUP(D185,'Product Master'!$B:$C,2,FALSE))</f>
        <v/>
      </c>
      <c r="F185" s="50" t="str">
        <f>IF(D185="","",IFERROR(VLOOKUP(D185,'Product Master'!$B:$G,3,FALSE),""))</f>
        <v/>
      </c>
      <c r="G185" s="51"/>
      <c r="H185" s="52" t="str">
        <f>IF(D185="","",VLOOKUP(D185,'Product Master'!$B:$F,5,FALSE))</f>
        <v/>
      </c>
      <c r="I185" s="52">
        <f>IFERROR(VLOOKUP(D185,'Product Master'!B:E,4,FALSE),0)</f>
        <v>0</v>
      </c>
      <c r="J185" s="53">
        <f>IFERROR(Table3[[#This Row],[QTY SOLD]]*Table3[[#This Row],[Selling Price]],0)</f>
        <v>0</v>
      </c>
      <c r="K185" s="50"/>
      <c r="L185" s="50">
        <f>Table3[[#This Row],[Total Sales]]-Table3[[#This Row],[Discount]]</f>
        <v>0</v>
      </c>
      <c r="M185" s="58">
        <f>Table3[[#This Row],[Net Sales]]-Table3[[#This Row],[Cost Price]]*Table3[[#This Row],[QTY SOLD]]</f>
        <v>0</v>
      </c>
      <c r="N185" s="25"/>
      <c r="O185" s="25"/>
      <c r="P185" s="25"/>
      <c r="Q185" s="25"/>
      <c r="R185" s="25"/>
      <c r="S185" s="25"/>
    </row>
    <row r="186" spans="1:19" x14ac:dyDescent="0.25">
      <c r="A186" s="65"/>
      <c r="B186" s="50"/>
      <c r="C186" s="50"/>
      <c r="D186" s="50"/>
      <c r="E186" s="50" t="str">
        <f>IF(D186="","",VLOOKUP(D186,'Product Master'!$B:$C,2,FALSE))</f>
        <v/>
      </c>
      <c r="F186" s="50" t="str">
        <f>IF(D186="","",IFERROR(VLOOKUP(D186,'Product Master'!$B:$G,3,FALSE),""))</f>
        <v/>
      </c>
      <c r="G186" s="51"/>
      <c r="H186" s="52" t="str">
        <f>IF(D186="","",VLOOKUP(D186,'Product Master'!$B:$F,5,FALSE))</f>
        <v/>
      </c>
      <c r="I186" s="52">
        <f>IFERROR(VLOOKUP(D186,'Product Master'!B:E,4,FALSE),0)</f>
        <v>0</v>
      </c>
      <c r="J186" s="53">
        <f>IFERROR(Table3[[#This Row],[QTY SOLD]]*Table3[[#This Row],[Selling Price]],0)</f>
        <v>0</v>
      </c>
      <c r="K186" s="50"/>
      <c r="L186" s="50">
        <f>Table3[[#This Row],[Total Sales]]-Table3[[#This Row],[Discount]]</f>
        <v>0</v>
      </c>
      <c r="M186" s="58">
        <f>Table3[[#This Row],[Net Sales]]-Table3[[#This Row],[Cost Price]]*Table3[[#This Row],[QTY SOLD]]</f>
        <v>0</v>
      </c>
      <c r="N186" s="25"/>
      <c r="O186" s="25"/>
      <c r="P186" s="25"/>
      <c r="Q186" s="25"/>
      <c r="R186" s="25"/>
      <c r="S186" s="25"/>
    </row>
    <row r="187" spans="1:19" x14ac:dyDescent="0.25">
      <c r="A187" s="65"/>
      <c r="B187" s="50"/>
      <c r="C187" s="50"/>
      <c r="D187" s="50"/>
      <c r="E187" s="50" t="str">
        <f>IF(D187="","",VLOOKUP(D187,'Product Master'!$B:$C,2,FALSE))</f>
        <v/>
      </c>
      <c r="F187" s="50" t="str">
        <f>IF(D187="","",IFERROR(VLOOKUP(D187,'Product Master'!$B:$G,3,FALSE),""))</f>
        <v/>
      </c>
      <c r="G187" s="51"/>
      <c r="H187" s="52" t="str">
        <f>IF(D187="","",VLOOKUP(D187,'Product Master'!$B:$F,5,FALSE))</f>
        <v/>
      </c>
      <c r="I187" s="52">
        <f>IFERROR(VLOOKUP(D187,'Product Master'!B:E,4,FALSE),0)</f>
        <v>0</v>
      </c>
      <c r="J187" s="53">
        <f>IFERROR(Table3[[#This Row],[QTY SOLD]]*Table3[[#This Row],[Selling Price]],0)</f>
        <v>0</v>
      </c>
      <c r="K187" s="50"/>
      <c r="L187" s="50">
        <f>Table3[[#This Row],[Total Sales]]-Table3[[#This Row],[Discount]]</f>
        <v>0</v>
      </c>
      <c r="M187" s="58">
        <f>Table3[[#This Row],[Net Sales]]-Table3[[#This Row],[Cost Price]]*Table3[[#This Row],[QTY SOLD]]</f>
        <v>0</v>
      </c>
      <c r="N187" s="25"/>
      <c r="O187" s="25"/>
      <c r="P187" s="25"/>
      <c r="Q187" s="25"/>
      <c r="R187" s="25"/>
      <c r="S187" s="25"/>
    </row>
    <row r="188" spans="1:19" x14ac:dyDescent="0.25">
      <c r="A188" s="65"/>
      <c r="B188" s="50"/>
      <c r="C188" s="50"/>
      <c r="D188" s="50"/>
      <c r="E188" s="50" t="str">
        <f>IF(D188="","",VLOOKUP(D188,'Product Master'!$B:$C,2,FALSE))</f>
        <v/>
      </c>
      <c r="F188" s="50" t="str">
        <f>IF(D188="","",IFERROR(VLOOKUP(D188,'Product Master'!$B:$G,3,FALSE),""))</f>
        <v/>
      </c>
      <c r="G188" s="51"/>
      <c r="H188" s="52" t="str">
        <f>IF(D188="","",VLOOKUP(D188,'Product Master'!$B:$F,5,FALSE))</f>
        <v/>
      </c>
      <c r="I188" s="52">
        <f>IFERROR(VLOOKUP(D188,'Product Master'!B:E,4,FALSE),0)</f>
        <v>0</v>
      </c>
      <c r="J188" s="53">
        <f>IFERROR(Table3[[#This Row],[QTY SOLD]]*Table3[[#This Row],[Selling Price]],0)</f>
        <v>0</v>
      </c>
      <c r="K188" s="50"/>
      <c r="L188" s="50">
        <f>Table3[[#This Row],[Total Sales]]-Table3[[#This Row],[Discount]]</f>
        <v>0</v>
      </c>
      <c r="M188" s="58">
        <f>Table3[[#This Row],[Net Sales]]-Table3[[#This Row],[Cost Price]]*Table3[[#This Row],[QTY SOLD]]</f>
        <v>0</v>
      </c>
      <c r="N188" s="25"/>
      <c r="O188" s="25"/>
      <c r="P188" s="25"/>
      <c r="Q188" s="25"/>
      <c r="R188" s="25"/>
      <c r="S188" s="25"/>
    </row>
    <row r="189" spans="1:19" x14ac:dyDescent="0.25">
      <c r="A189" s="65"/>
      <c r="B189" s="50"/>
      <c r="C189" s="50"/>
      <c r="D189" s="50"/>
      <c r="E189" s="50" t="str">
        <f>IF(D189="","",VLOOKUP(D189,'Product Master'!$B:$C,2,FALSE))</f>
        <v/>
      </c>
      <c r="F189" s="50" t="str">
        <f>IF(D189="","",IFERROR(VLOOKUP(D189,'Product Master'!$B:$G,3,FALSE),""))</f>
        <v/>
      </c>
      <c r="G189" s="51"/>
      <c r="H189" s="52" t="str">
        <f>IF(D189="","",VLOOKUP(D189,'Product Master'!$B:$F,5,FALSE))</f>
        <v/>
      </c>
      <c r="I189" s="52">
        <f>IFERROR(VLOOKUP(D189,'Product Master'!B:E,4,FALSE),0)</f>
        <v>0</v>
      </c>
      <c r="J189" s="53">
        <f>IFERROR(Table3[[#This Row],[QTY SOLD]]*Table3[[#This Row],[Selling Price]],0)</f>
        <v>0</v>
      </c>
      <c r="K189" s="50"/>
      <c r="L189" s="50">
        <f>Table3[[#This Row],[Total Sales]]-Table3[[#This Row],[Discount]]</f>
        <v>0</v>
      </c>
      <c r="M189" s="58">
        <f>Table3[[#This Row],[Net Sales]]-Table3[[#This Row],[Cost Price]]*Table3[[#This Row],[QTY SOLD]]</f>
        <v>0</v>
      </c>
      <c r="N189" s="25"/>
      <c r="O189" s="25"/>
      <c r="P189" s="25"/>
      <c r="Q189" s="25"/>
      <c r="R189" s="25"/>
      <c r="S189" s="25"/>
    </row>
    <row r="190" spans="1:19" x14ac:dyDescent="0.25">
      <c r="A190" s="65"/>
      <c r="B190" s="50"/>
      <c r="C190" s="50"/>
      <c r="D190" s="50"/>
      <c r="E190" s="50" t="str">
        <f>IF(D190="","",VLOOKUP(D190,'Product Master'!$B:$C,2,FALSE))</f>
        <v/>
      </c>
      <c r="F190" s="50" t="str">
        <f>IF(D190="","",IFERROR(VLOOKUP(D190,'Product Master'!$B:$G,3,FALSE),""))</f>
        <v/>
      </c>
      <c r="G190" s="51"/>
      <c r="H190" s="52" t="str">
        <f>IF(D190="","",VLOOKUP(D190,'Product Master'!$B:$F,5,FALSE))</f>
        <v/>
      </c>
      <c r="I190" s="52">
        <f>IFERROR(VLOOKUP(D190,'Product Master'!B:E,4,FALSE),0)</f>
        <v>0</v>
      </c>
      <c r="J190" s="53">
        <f>IFERROR(Table3[[#This Row],[QTY SOLD]]*Table3[[#This Row],[Selling Price]],0)</f>
        <v>0</v>
      </c>
      <c r="K190" s="50"/>
      <c r="L190" s="50">
        <f>Table3[[#This Row],[Total Sales]]-Table3[[#This Row],[Discount]]</f>
        <v>0</v>
      </c>
      <c r="M190" s="58">
        <f>Table3[[#This Row],[Net Sales]]-Table3[[#This Row],[Cost Price]]*Table3[[#This Row],[QTY SOLD]]</f>
        <v>0</v>
      </c>
      <c r="N190" s="25"/>
      <c r="O190" s="25"/>
      <c r="P190" s="25"/>
      <c r="Q190" s="25"/>
      <c r="R190" s="25"/>
      <c r="S190" s="25"/>
    </row>
    <row r="191" spans="1:19" x14ac:dyDescent="0.25">
      <c r="A191" s="65"/>
      <c r="B191" s="50"/>
      <c r="C191" s="50"/>
      <c r="D191" s="50"/>
      <c r="E191" s="50" t="str">
        <f>IF(D191="","",VLOOKUP(D191,'Product Master'!$B:$C,2,FALSE))</f>
        <v/>
      </c>
      <c r="F191" s="50" t="str">
        <f>IF(D191="","",IFERROR(VLOOKUP(D191,'Product Master'!$B:$G,3,FALSE),""))</f>
        <v/>
      </c>
      <c r="G191" s="51"/>
      <c r="H191" s="52" t="str">
        <f>IF(D191="","",VLOOKUP(D191,'Product Master'!$B:$F,5,FALSE))</f>
        <v/>
      </c>
      <c r="I191" s="52">
        <f>IFERROR(VLOOKUP(D191,'Product Master'!B:E,4,FALSE),0)</f>
        <v>0</v>
      </c>
      <c r="J191" s="53">
        <f>IFERROR(Table3[[#This Row],[QTY SOLD]]*Table3[[#This Row],[Selling Price]],0)</f>
        <v>0</v>
      </c>
      <c r="K191" s="50"/>
      <c r="L191" s="50">
        <f>Table3[[#This Row],[Total Sales]]-Table3[[#This Row],[Discount]]</f>
        <v>0</v>
      </c>
      <c r="M191" s="58">
        <f>Table3[[#This Row],[Net Sales]]-Table3[[#This Row],[Cost Price]]*Table3[[#This Row],[QTY SOLD]]</f>
        <v>0</v>
      </c>
      <c r="N191" s="25"/>
      <c r="O191" s="25"/>
      <c r="P191" s="25"/>
      <c r="Q191" s="25"/>
      <c r="R191" s="25"/>
      <c r="S191" s="25"/>
    </row>
    <row r="192" spans="1:19" x14ac:dyDescent="0.25">
      <c r="A192" s="65"/>
      <c r="B192" s="50"/>
      <c r="C192" s="50"/>
      <c r="D192" s="50"/>
      <c r="E192" s="50" t="str">
        <f>IF(D192="","",VLOOKUP(D192,'Product Master'!$B:$C,2,FALSE))</f>
        <v/>
      </c>
      <c r="F192" s="50" t="str">
        <f>IF(D192="","",IFERROR(VLOOKUP(D192,'Product Master'!$B:$G,3,FALSE),""))</f>
        <v/>
      </c>
      <c r="G192" s="51"/>
      <c r="H192" s="52" t="str">
        <f>IF(D192="","",VLOOKUP(D192,'Product Master'!$B:$F,5,FALSE))</f>
        <v/>
      </c>
      <c r="I192" s="52">
        <f>IFERROR(VLOOKUP(D192,'Product Master'!B:E,4,FALSE),0)</f>
        <v>0</v>
      </c>
      <c r="J192" s="53">
        <f>IFERROR(Table3[[#This Row],[QTY SOLD]]*Table3[[#This Row],[Selling Price]],0)</f>
        <v>0</v>
      </c>
      <c r="K192" s="50"/>
      <c r="L192" s="50">
        <f>Table3[[#This Row],[Total Sales]]-Table3[[#This Row],[Discount]]</f>
        <v>0</v>
      </c>
      <c r="M192" s="58">
        <f>Table3[[#This Row],[Net Sales]]-Table3[[#This Row],[Cost Price]]*Table3[[#This Row],[QTY SOLD]]</f>
        <v>0</v>
      </c>
      <c r="N192" s="25"/>
      <c r="O192" s="25"/>
      <c r="P192" s="25"/>
      <c r="Q192" s="25"/>
      <c r="R192" s="25"/>
      <c r="S192" s="25"/>
    </row>
    <row r="193" spans="1:19" x14ac:dyDescent="0.25">
      <c r="A193" s="65"/>
      <c r="B193" s="50"/>
      <c r="C193" s="50"/>
      <c r="D193" s="50"/>
      <c r="E193" s="50" t="str">
        <f>IF(D193="","",VLOOKUP(D193,'Product Master'!$B:$C,2,FALSE))</f>
        <v/>
      </c>
      <c r="F193" s="50" t="str">
        <f>IF(D193="","",IFERROR(VLOOKUP(D193,'Product Master'!$B:$G,3,FALSE),""))</f>
        <v/>
      </c>
      <c r="G193" s="51"/>
      <c r="H193" s="52" t="str">
        <f>IF(D193="","",VLOOKUP(D193,'Product Master'!$B:$F,5,FALSE))</f>
        <v/>
      </c>
      <c r="I193" s="52">
        <f>IFERROR(VLOOKUP(D193,'Product Master'!B:E,4,FALSE),0)</f>
        <v>0</v>
      </c>
      <c r="J193" s="53">
        <f>IFERROR(Table3[[#This Row],[QTY SOLD]]*Table3[[#This Row],[Selling Price]],0)</f>
        <v>0</v>
      </c>
      <c r="K193" s="50"/>
      <c r="L193" s="50">
        <f>Table3[[#This Row],[Total Sales]]-Table3[[#This Row],[Discount]]</f>
        <v>0</v>
      </c>
      <c r="M193" s="58">
        <f>Table3[[#This Row],[Net Sales]]-Table3[[#This Row],[Cost Price]]*Table3[[#This Row],[QTY SOLD]]</f>
        <v>0</v>
      </c>
      <c r="N193" s="25"/>
      <c r="O193" s="25"/>
      <c r="P193" s="25"/>
      <c r="Q193" s="25"/>
      <c r="R193" s="25"/>
      <c r="S193" s="25"/>
    </row>
    <row r="194" spans="1:19" x14ac:dyDescent="0.25">
      <c r="A194" s="65"/>
      <c r="B194" s="50"/>
      <c r="C194" s="50"/>
      <c r="D194" s="50"/>
      <c r="E194" s="50" t="str">
        <f>IF(D194="","",VLOOKUP(D194,'Product Master'!$B:$C,2,FALSE))</f>
        <v/>
      </c>
      <c r="F194" s="50" t="str">
        <f>IF(D194="","",IFERROR(VLOOKUP(D194,'Product Master'!$B:$G,3,FALSE),""))</f>
        <v/>
      </c>
      <c r="G194" s="51"/>
      <c r="H194" s="52" t="str">
        <f>IF(D194="","",VLOOKUP(D194,'Product Master'!$B:$F,5,FALSE))</f>
        <v/>
      </c>
      <c r="I194" s="52">
        <f>IFERROR(VLOOKUP(D194,'Product Master'!B:E,4,FALSE),0)</f>
        <v>0</v>
      </c>
      <c r="J194" s="53">
        <f>IFERROR(Table3[[#This Row],[QTY SOLD]]*Table3[[#This Row],[Selling Price]],0)</f>
        <v>0</v>
      </c>
      <c r="K194" s="50"/>
      <c r="L194" s="50">
        <f>Table3[[#This Row],[Total Sales]]-Table3[[#This Row],[Discount]]</f>
        <v>0</v>
      </c>
      <c r="M194" s="58">
        <f>Table3[[#This Row],[Net Sales]]-Table3[[#This Row],[Cost Price]]*Table3[[#This Row],[QTY SOLD]]</f>
        <v>0</v>
      </c>
      <c r="N194" s="25"/>
      <c r="O194" s="25"/>
      <c r="P194" s="25"/>
      <c r="Q194" s="25"/>
      <c r="R194" s="25"/>
      <c r="S194" s="25"/>
    </row>
    <row r="195" spans="1:19" x14ac:dyDescent="0.25">
      <c r="A195" s="65"/>
      <c r="B195" s="50"/>
      <c r="C195" s="50"/>
      <c r="D195" s="50"/>
      <c r="E195" s="50" t="str">
        <f>IF(D195="","",VLOOKUP(D195,'Product Master'!$B:$C,2,FALSE))</f>
        <v/>
      </c>
      <c r="F195" s="50" t="str">
        <f>IF(D195="","",IFERROR(VLOOKUP(D195,'Product Master'!$B:$G,3,FALSE),""))</f>
        <v/>
      </c>
      <c r="G195" s="51"/>
      <c r="H195" s="52" t="str">
        <f>IF(D195="","",VLOOKUP(D195,'Product Master'!$B:$F,5,FALSE))</f>
        <v/>
      </c>
      <c r="I195" s="52">
        <f>IFERROR(VLOOKUP(D195,'Product Master'!B:E,4,FALSE),0)</f>
        <v>0</v>
      </c>
      <c r="J195" s="53">
        <f>IFERROR(Table3[[#This Row],[QTY SOLD]]*Table3[[#This Row],[Selling Price]],0)</f>
        <v>0</v>
      </c>
      <c r="K195" s="50"/>
      <c r="L195" s="50">
        <f>Table3[[#This Row],[Total Sales]]-Table3[[#This Row],[Discount]]</f>
        <v>0</v>
      </c>
      <c r="M195" s="58">
        <f>Table3[[#This Row],[Net Sales]]-Table3[[#This Row],[Cost Price]]*Table3[[#This Row],[QTY SOLD]]</f>
        <v>0</v>
      </c>
      <c r="N195" s="25"/>
      <c r="O195" s="25"/>
      <c r="P195" s="25"/>
      <c r="Q195" s="25"/>
      <c r="R195" s="25"/>
      <c r="S195" s="25"/>
    </row>
    <row r="196" spans="1:19" x14ac:dyDescent="0.25">
      <c r="A196" s="65"/>
      <c r="B196" s="50"/>
      <c r="C196" s="50"/>
      <c r="D196" s="50"/>
      <c r="E196" s="50" t="str">
        <f>IF(D196="","",VLOOKUP(D196,'Product Master'!$B:$C,2,FALSE))</f>
        <v/>
      </c>
      <c r="F196" s="50" t="str">
        <f>IF(D196="","",IFERROR(VLOOKUP(D196,'Product Master'!$B:$G,3,FALSE),""))</f>
        <v/>
      </c>
      <c r="G196" s="51"/>
      <c r="H196" s="52" t="str">
        <f>IF(D196="","",VLOOKUP(D196,'Product Master'!$B:$F,5,FALSE))</f>
        <v/>
      </c>
      <c r="I196" s="52">
        <f>IFERROR(VLOOKUP(D196,'Product Master'!B:E,4,FALSE),0)</f>
        <v>0</v>
      </c>
      <c r="J196" s="53">
        <f>IFERROR(Table3[[#This Row],[QTY SOLD]]*Table3[[#This Row],[Selling Price]],0)</f>
        <v>0</v>
      </c>
      <c r="K196" s="50"/>
      <c r="L196" s="50">
        <f>Table3[[#This Row],[Total Sales]]-Table3[[#This Row],[Discount]]</f>
        <v>0</v>
      </c>
      <c r="M196" s="58">
        <f>Table3[[#This Row],[Net Sales]]-Table3[[#This Row],[Cost Price]]*Table3[[#This Row],[QTY SOLD]]</f>
        <v>0</v>
      </c>
      <c r="N196" s="25"/>
      <c r="O196" s="25"/>
      <c r="P196" s="25"/>
      <c r="Q196" s="25"/>
      <c r="R196" s="25"/>
      <c r="S196" s="25"/>
    </row>
    <row r="197" spans="1:19" x14ac:dyDescent="0.25">
      <c r="A197" s="65"/>
      <c r="B197" s="50"/>
      <c r="C197" s="50"/>
      <c r="D197" s="50"/>
      <c r="E197" s="50" t="str">
        <f>IF(D197="","",VLOOKUP(D197,'Product Master'!$B:$C,2,FALSE))</f>
        <v/>
      </c>
      <c r="F197" s="50" t="str">
        <f>IF(D197="","",IFERROR(VLOOKUP(D197,'Product Master'!$B:$G,3,FALSE),""))</f>
        <v/>
      </c>
      <c r="G197" s="51"/>
      <c r="H197" s="52" t="str">
        <f>IF(D197="","",VLOOKUP(D197,'Product Master'!$B:$F,5,FALSE))</f>
        <v/>
      </c>
      <c r="I197" s="52">
        <f>IFERROR(VLOOKUP(D197,'Product Master'!B:E,4,FALSE),0)</f>
        <v>0</v>
      </c>
      <c r="J197" s="53">
        <f>IFERROR(Table3[[#This Row],[QTY SOLD]]*Table3[[#This Row],[Selling Price]],0)</f>
        <v>0</v>
      </c>
      <c r="K197" s="50"/>
      <c r="L197" s="50">
        <f>Table3[[#This Row],[Total Sales]]-Table3[[#This Row],[Discount]]</f>
        <v>0</v>
      </c>
      <c r="M197" s="58">
        <f>Table3[[#This Row],[Net Sales]]-Table3[[#This Row],[Cost Price]]*Table3[[#This Row],[QTY SOLD]]</f>
        <v>0</v>
      </c>
      <c r="N197" s="25"/>
      <c r="O197" s="25"/>
      <c r="P197" s="25"/>
      <c r="Q197" s="25"/>
      <c r="R197" s="25"/>
      <c r="S197" s="25"/>
    </row>
    <row r="198" spans="1:19" x14ac:dyDescent="0.25">
      <c r="A198" s="65"/>
      <c r="B198" s="50"/>
      <c r="C198" s="50"/>
      <c r="D198" s="50"/>
      <c r="E198" s="50" t="str">
        <f>IF(D198="","",VLOOKUP(D198,'Product Master'!$B:$C,2,FALSE))</f>
        <v/>
      </c>
      <c r="F198" s="50" t="str">
        <f>IF(D198="","",IFERROR(VLOOKUP(D198,'Product Master'!$B:$G,3,FALSE),""))</f>
        <v/>
      </c>
      <c r="G198" s="51"/>
      <c r="H198" s="52" t="str">
        <f>IF(D198="","",VLOOKUP(D198,'Product Master'!$B:$F,5,FALSE))</f>
        <v/>
      </c>
      <c r="I198" s="52">
        <f>IFERROR(VLOOKUP(D198,'Product Master'!B:E,4,FALSE),0)</f>
        <v>0</v>
      </c>
      <c r="J198" s="53">
        <f>IFERROR(Table3[[#This Row],[QTY SOLD]]*Table3[[#This Row],[Selling Price]],0)</f>
        <v>0</v>
      </c>
      <c r="K198" s="50"/>
      <c r="L198" s="50">
        <f>Table3[[#This Row],[Total Sales]]-Table3[[#This Row],[Discount]]</f>
        <v>0</v>
      </c>
      <c r="M198" s="58">
        <f>Table3[[#This Row],[Net Sales]]-Table3[[#This Row],[Cost Price]]*Table3[[#This Row],[QTY SOLD]]</f>
        <v>0</v>
      </c>
      <c r="N198" s="25"/>
      <c r="O198" s="25"/>
      <c r="P198" s="25"/>
      <c r="Q198" s="25"/>
      <c r="R198" s="25"/>
      <c r="S198" s="25"/>
    </row>
    <row r="199" spans="1:19" x14ac:dyDescent="0.25">
      <c r="A199" s="65"/>
      <c r="B199" s="50"/>
      <c r="C199" s="50"/>
      <c r="D199" s="50"/>
      <c r="E199" s="50" t="str">
        <f>IF(D199="","",VLOOKUP(D199,'Product Master'!$B:$C,2,FALSE))</f>
        <v/>
      </c>
      <c r="F199" s="50" t="str">
        <f>IF(D199="","",IFERROR(VLOOKUP(D199,'Product Master'!$B:$G,3,FALSE),""))</f>
        <v/>
      </c>
      <c r="G199" s="51"/>
      <c r="H199" s="52" t="str">
        <f>IF(D199="","",VLOOKUP(D199,'Product Master'!$B:$F,5,FALSE))</f>
        <v/>
      </c>
      <c r="I199" s="52">
        <f>IFERROR(VLOOKUP(D199,'Product Master'!B:E,4,FALSE),0)</f>
        <v>0</v>
      </c>
      <c r="J199" s="53">
        <f>IFERROR(Table3[[#This Row],[QTY SOLD]]*Table3[[#This Row],[Selling Price]],0)</f>
        <v>0</v>
      </c>
      <c r="K199" s="50"/>
      <c r="L199" s="50">
        <f>Table3[[#This Row],[Total Sales]]-Table3[[#This Row],[Discount]]</f>
        <v>0</v>
      </c>
      <c r="M199" s="58">
        <f>Table3[[#This Row],[Net Sales]]-Table3[[#This Row],[Cost Price]]*Table3[[#This Row],[QTY SOLD]]</f>
        <v>0</v>
      </c>
      <c r="N199" s="25"/>
      <c r="O199" s="25"/>
      <c r="P199" s="25"/>
      <c r="Q199" s="25"/>
      <c r="R199" s="25"/>
      <c r="S199" s="25"/>
    </row>
    <row r="200" spans="1:19" x14ac:dyDescent="0.25">
      <c r="A200" s="65"/>
      <c r="B200" s="50"/>
      <c r="C200" s="50"/>
      <c r="D200" s="50"/>
      <c r="E200" s="50" t="str">
        <f>IF(D200="","",VLOOKUP(D200,'Product Master'!$B:$C,2,FALSE))</f>
        <v/>
      </c>
      <c r="F200" s="50" t="str">
        <f>IF(D200="","",IFERROR(VLOOKUP(D200,'Product Master'!$B:$G,3,FALSE),""))</f>
        <v/>
      </c>
      <c r="G200" s="51"/>
      <c r="H200" s="52" t="str">
        <f>IF(D200="","",VLOOKUP(D200,'Product Master'!$B:$F,5,FALSE))</f>
        <v/>
      </c>
      <c r="I200" s="52">
        <f>IFERROR(VLOOKUP(D200,'Product Master'!B:E,4,FALSE),0)</f>
        <v>0</v>
      </c>
      <c r="J200" s="53">
        <f>IFERROR(Table3[[#This Row],[QTY SOLD]]*Table3[[#This Row],[Selling Price]],0)</f>
        <v>0</v>
      </c>
      <c r="K200" s="50"/>
      <c r="L200" s="50">
        <f>Table3[[#This Row],[Total Sales]]-Table3[[#This Row],[Discount]]</f>
        <v>0</v>
      </c>
      <c r="M200" s="58">
        <f>Table3[[#This Row],[Net Sales]]-Table3[[#This Row],[Cost Price]]*Table3[[#This Row],[QTY SOLD]]</f>
        <v>0</v>
      </c>
      <c r="N200" s="25"/>
      <c r="O200" s="25"/>
      <c r="P200" s="25"/>
      <c r="Q200" s="25"/>
      <c r="R200" s="25"/>
      <c r="S200" s="25"/>
    </row>
    <row r="201" spans="1:19" x14ac:dyDescent="0.25">
      <c r="A201" s="65"/>
      <c r="B201" s="50"/>
      <c r="C201" s="50"/>
      <c r="D201" s="50"/>
      <c r="E201" s="50" t="str">
        <f>IF(D201="","",VLOOKUP(D201,'Product Master'!$B:$C,2,FALSE))</f>
        <v/>
      </c>
      <c r="F201" s="50" t="str">
        <f>IF(D201="","",IFERROR(VLOOKUP(D201,'Product Master'!$B:$G,3,FALSE),""))</f>
        <v/>
      </c>
      <c r="G201" s="51"/>
      <c r="H201" s="52" t="str">
        <f>IF(D201="","",VLOOKUP(D201,'Product Master'!$B:$F,5,FALSE))</f>
        <v/>
      </c>
      <c r="I201" s="52">
        <f>IFERROR(VLOOKUP(D201,'Product Master'!B:E,4,FALSE),0)</f>
        <v>0</v>
      </c>
      <c r="J201" s="53">
        <f>IFERROR(Table3[[#This Row],[QTY SOLD]]*Table3[[#This Row],[Selling Price]],0)</f>
        <v>0</v>
      </c>
      <c r="K201" s="50"/>
      <c r="L201" s="50">
        <f>Table3[[#This Row],[Total Sales]]-Table3[[#This Row],[Discount]]</f>
        <v>0</v>
      </c>
      <c r="M201" s="58">
        <f>Table3[[#This Row],[Net Sales]]-Table3[[#This Row],[Cost Price]]*Table3[[#This Row],[QTY SOLD]]</f>
        <v>0</v>
      </c>
      <c r="N201" s="25"/>
      <c r="O201" s="25"/>
      <c r="P201" s="25"/>
      <c r="Q201" s="25"/>
      <c r="R201" s="25"/>
      <c r="S201" s="25"/>
    </row>
    <row r="202" spans="1:19" x14ac:dyDescent="0.25">
      <c r="A202" s="65"/>
      <c r="B202" s="50"/>
      <c r="C202" s="50"/>
      <c r="D202" s="50"/>
      <c r="E202" s="50" t="str">
        <f>IF(D202="","",VLOOKUP(D202,'Product Master'!$B:$C,2,FALSE))</f>
        <v/>
      </c>
      <c r="F202" s="50" t="str">
        <f>IF(D202="","",IFERROR(VLOOKUP(D202,'Product Master'!$B:$G,3,FALSE),""))</f>
        <v/>
      </c>
      <c r="G202" s="51"/>
      <c r="H202" s="52" t="str">
        <f>IF(D202="","",VLOOKUP(D202,'Product Master'!$B:$F,5,FALSE))</f>
        <v/>
      </c>
      <c r="I202" s="52">
        <f>IFERROR(VLOOKUP(D202,'Product Master'!B:E,4,FALSE),0)</f>
        <v>0</v>
      </c>
      <c r="J202" s="53">
        <f>IFERROR(Table3[[#This Row],[QTY SOLD]]*Table3[[#This Row],[Selling Price]],0)</f>
        <v>0</v>
      </c>
      <c r="K202" s="50"/>
      <c r="L202" s="50">
        <f>Table3[[#This Row],[Total Sales]]-Table3[[#This Row],[Discount]]</f>
        <v>0</v>
      </c>
      <c r="M202" s="58">
        <f>Table3[[#This Row],[Net Sales]]-Table3[[#This Row],[Cost Price]]*Table3[[#This Row],[QTY SOLD]]</f>
        <v>0</v>
      </c>
      <c r="N202" s="25"/>
      <c r="O202" s="25"/>
      <c r="P202" s="25"/>
      <c r="Q202" s="25"/>
      <c r="R202" s="25"/>
      <c r="S202" s="25"/>
    </row>
    <row r="203" spans="1:19" x14ac:dyDescent="0.25">
      <c r="A203" s="65"/>
      <c r="B203" s="50"/>
      <c r="C203" s="50"/>
      <c r="D203" s="50"/>
      <c r="E203" s="50" t="str">
        <f>IF(D203="","",VLOOKUP(D203,'Product Master'!$B:$C,2,FALSE))</f>
        <v/>
      </c>
      <c r="F203" s="50" t="str">
        <f>IF(D203="","",IFERROR(VLOOKUP(D203,'Product Master'!$B:$G,3,FALSE),""))</f>
        <v/>
      </c>
      <c r="G203" s="51"/>
      <c r="H203" s="52" t="str">
        <f>IF(D203="","",VLOOKUP(D203,'Product Master'!$B:$F,5,FALSE))</f>
        <v/>
      </c>
      <c r="I203" s="52">
        <f>IFERROR(VLOOKUP(D203,'Product Master'!B:E,4,FALSE),0)</f>
        <v>0</v>
      </c>
      <c r="J203" s="53">
        <f>IFERROR(Table3[[#This Row],[QTY SOLD]]*Table3[[#This Row],[Selling Price]],0)</f>
        <v>0</v>
      </c>
      <c r="K203" s="50"/>
      <c r="L203" s="50">
        <f>Table3[[#This Row],[Total Sales]]-Table3[[#This Row],[Discount]]</f>
        <v>0</v>
      </c>
      <c r="M203" s="58">
        <f>Table3[[#This Row],[Net Sales]]-Table3[[#This Row],[Cost Price]]*Table3[[#This Row],[QTY SOLD]]</f>
        <v>0</v>
      </c>
      <c r="N203" s="25"/>
      <c r="O203" s="25"/>
      <c r="P203" s="25"/>
      <c r="Q203" s="25"/>
      <c r="R203" s="25"/>
      <c r="S203" s="25"/>
    </row>
    <row r="204" spans="1:19" x14ac:dyDescent="0.25">
      <c r="A204" s="65"/>
      <c r="B204" s="50"/>
      <c r="C204" s="50"/>
      <c r="D204" s="50"/>
      <c r="E204" s="50" t="str">
        <f>IF(D204="","",VLOOKUP(D204,'Product Master'!$B:$C,2,FALSE))</f>
        <v/>
      </c>
      <c r="F204" s="50" t="str">
        <f>IF(D204="","",IFERROR(VLOOKUP(D204,'Product Master'!$B:$G,3,FALSE),""))</f>
        <v/>
      </c>
      <c r="G204" s="51"/>
      <c r="H204" s="52" t="str">
        <f>IF(D204="","",VLOOKUP(D204,'Product Master'!$B:$F,5,FALSE))</f>
        <v/>
      </c>
      <c r="I204" s="52">
        <f>IFERROR(VLOOKUP(D204,'Product Master'!B:E,4,FALSE),0)</f>
        <v>0</v>
      </c>
      <c r="J204" s="53">
        <f>IFERROR(Table3[[#This Row],[QTY SOLD]]*Table3[[#This Row],[Selling Price]],0)</f>
        <v>0</v>
      </c>
      <c r="K204" s="50"/>
      <c r="L204" s="50">
        <f>Table3[[#This Row],[Total Sales]]-Table3[[#This Row],[Discount]]</f>
        <v>0</v>
      </c>
      <c r="M204" s="58">
        <f>Table3[[#This Row],[Net Sales]]-Table3[[#This Row],[Cost Price]]*Table3[[#This Row],[QTY SOLD]]</f>
        <v>0</v>
      </c>
      <c r="N204" s="25"/>
      <c r="O204" s="25"/>
      <c r="P204" s="25"/>
      <c r="Q204" s="25"/>
      <c r="R204" s="25"/>
      <c r="S204" s="25"/>
    </row>
    <row r="205" spans="1:19" x14ac:dyDescent="0.25">
      <c r="A205" s="65"/>
      <c r="B205" s="50"/>
      <c r="C205" s="50"/>
      <c r="D205" s="50"/>
      <c r="E205" s="50" t="str">
        <f>IF(D205="","",VLOOKUP(D205,'Product Master'!$B:$C,2,FALSE))</f>
        <v/>
      </c>
      <c r="F205" s="50" t="str">
        <f>IF(D205="","",IFERROR(VLOOKUP(D205,'Product Master'!$B:$G,3,FALSE),""))</f>
        <v/>
      </c>
      <c r="G205" s="51"/>
      <c r="H205" s="52" t="str">
        <f>IF(D205="","",VLOOKUP(D205,'Product Master'!$B:$F,5,FALSE))</f>
        <v/>
      </c>
      <c r="I205" s="52">
        <f>IFERROR(VLOOKUP(D205,'Product Master'!B:E,4,FALSE),0)</f>
        <v>0</v>
      </c>
      <c r="J205" s="53">
        <f>IFERROR(Table3[[#This Row],[QTY SOLD]]*Table3[[#This Row],[Selling Price]],0)</f>
        <v>0</v>
      </c>
      <c r="K205" s="50"/>
      <c r="L205" s="50">
        <f>Table3[[#This Row],[Total Sales]]-Table3[[#This Row],[Discount]]</f>
        <v>0</v>
      </c>
      <c r="M205" s="58">
        <f>Table3[[#This Row],[Net Sales]]-Table3[[#This Row],[Cost Price]]*Table3[[#This Row],[QTY SOLD]]</f>
        <v>0</v>
      </c>
      <c r="N205" s="25"/>
      <c r="O205" s="25"/>
      <c r="P205" s="25"/>
      <c r="Q205" s="25"/>
      <c r="R205" s="25"/>
      <c r="S205" s="25"/>
    </row>
    <row r="206" spans="1:19" x14ac:dyDescent="0.25">
      <c r="A206" s="65"/>
      <c r="B206" s="50"/>
      <c r="C206" s="50"/>
      <c r="D206" s="50"/>
      <c r="E206" s="50" t="str">
        <f>IF(D206="","",VLOOKUP(D206,'Product Master'!$B:$C,2,FALSE))</f>
        <v/>
      </c>
      <c r="F206" s="50" t="str">
        <f>IF(D206="","",IFERROR(VLOOKUP(D206,'Product Master'!$B:$G,3,FALSE),""))</f>
        <v/>
      </c>
      <c r="G206" s="51"/>
      <c r="H206" s="52" t="str">
        <f>IF(D206="","",VLOOKUP(D206,'Product Master'!$B:$F,5,FALSE))</f>
        <v/>
      </c>
      <c r="I206" s="52">
        <f>IFERROR(VLOOKUP(D206,'Product Master'!B:E,4,FALSE),0)</f>
        <v>0</v>
      </c>
      <c r="J206" s="53">
        <f>IFERROR(Table3[[#This Row],[QTY SOLD]]*Table3[[#This Row],[Selling Price]],0)</f>
        <v>0</v>
      </c>
      <c r="K206" s="50"/>
      <c r="L206" s="50">
        <f>Table3[[#This Row],[Total Sales]]-Table3[[#This Row],[Discount]]</f>
        <v>0</v>
      </c>
      <c r="M206" s="58">
        <f>Table3[[#This Row],[Net Sales]]-Table3[[#This Row],[Cost Price]]*Table3[[#This Row],[QTY SOLD]]</f>
        <v>0</v>
      </c>
      <c r="N206" s="25"/>
      <c r="O206" s="25"/>
      <c r="P206" s="25"/>
      <c r="Q206" s="25"/>
      <c r="R206" s="25"/>
      <c r="S206" s="25"/>
    </row>
    <row r="207" spans="1:19" x14ac:dyDescent="0.25">
      <c r="A207" s="65"/>
      <c r="B207" s="50"/>
      <c r="C207" s="50"/>
      <c r="D207" s="50"/>
      <c r="E207" s="50" t="str">
        <f>IF(D207="","",VLOOKUP(D207,'Product Master'!$B:$C,2,FALSE))</f>
        <v/>
      </c>
      <c r="F207" s="50" t="str">
        <f>IF(D207="","",IFERROR(VLOOKUP(D207,'Product Master'!$B:$G,3,FALSE),""))</f>
        <v/>
      </c>
      <c r="G207" s="51"/>
      <c r="H207" s="52" t="str">
        <f>IF(D207="","",VLOOKUP(D207,'Product Master'!$B:$F,5,FALSE))</f>
        <v/>
      </c>
      <c r="I207" s="52">
        <f>IFERROR(VLOOKUP(D207,'Product Master'!B:E,4,FALSE),0)</f>
        <v>0</v>
      </c>
      <c r="J207" s="53">
        <f>IFERROR(Table3[[#This Row],[QTY SOLD]]*Table3[[#This Row],[Selling Price]],0)</f>
        <v>0</v>
      </c>
      <c r="K207" s="50"/>
      <c r="L207" s="50">
        <f>Table3[[#This Row],[Total Sales]]-Table3[[#This Row],[Discount]]</f>
        <v>0</v>
      </c>
      <c r="M207" s="58">
        <f>Table3[[#This Row],[Net Sales]]-Table3[[#This Row],[Cost Price]]*Table3[[#This Row],[QTY SOLD]]</f>
        <v>0</v>
      </c>
      <c r="N207" s="25"/>
      <c r="O207" s="25"/>
      <c r="P207" s="25"/>
      <c r="Q207" s="25"/>
      <c r="R207" s="25"/>
      <c r="S207" s="25"/>
    </row>
    <row r="208" spans="1:19" x14ac:dyDescent="0.25">
      <c r="A208" s="65"/>
      <c r="B208" s="50"/>
      <c r="C208" s="50"/>
      <c r="D208" s="50"/>
      <c r="E208" s="50" t="str">
        <f>IF(D208="","",VLOOKUP(D208,'Product Master'!$B:$C,2,FALSE))</f>
        <v/>
      </c>
      <c r="F208" s="50" t="str">
        <f>IF(D208="","",IFERROR(VLOOKUP(D208,'Product Master'!$B:$G,3,FALSE),""))</f>
        <v/>
      </c>
      <c r="G208" s="51"/>
      <c r="H208" s="52" t="str">
        <f>IF(D208="","",VLOOKUP(D208,'Product Master'!$B:$F,5,FALSE))</f>
        <v/>
      </c>
      <c r="I208" s="52">
        <f>IFERROR(VLOOKUP(D208,'Product Master'!B:E,4,FALSE),0)</f>
        <v>0</v>
      </c>
      <c r="J208" s="53">
        <f>IFERROR(Table3[[#This Row],[QTY SOLD]]*Table3[[#This Row],[Selling Price]],0)</f>
        <v>0</v>
      </c>
      <c r="K208" s="50"/>
      <c r="L208" s="50">
        <f>Table3[[#This Row],[Total Sales]]-Table3[[#This Row],[Discount]]</f>
        <v>0</v>
      </c>
      <c r="M208" s="58">
        <f>Table3[[#This Row],[Net Sales]]-Table3[[#This Row],[Cost Price]]*Table3[[#This Row],[QTY SOLD]]</f>
        <v>0</v>
      </c>
      <c r="N208" s="25"/>
      <c r="O208" s="25"/>
      <c r="P208" s="25"/>
      <c r="Q208" s="25"/>
      <c r="R208" s="25"/>
      <c r="S208" s="25"/>
    </row>
    <row r="209" spans="1:19" x14ac:dyDescent="0.25">
      <c r="A209" s="65"/>
      <c r="B209" s="50"/>
      <c r="C209" s="50"/>
      <c r="D209" s="50"/>
      <c r="E209" s="50" t="str">
        <f>IF(D209="","",VLOOKUP(D209,'Product Master'!$B:$C,2,FALSE))</f>
        <v/>
      </c>
      <c r="F209" s="50" t="str">
        <f>IF(D209="","",IFERROR(VLOOKUP(D209,'Product Master'!$B:$G,3,FALSE),""))</f>
        <v/>
      </c>
      <c r="G209" s="51"/>
      <c r="H209" s="52" t="str">
        <f>IF(D209="","",VLOOKUP(D209,'Product Master'!$B:$F,5,FALSE))</f>
        <v/>
      </c>
      <c r="I209" s="52">
        <f>IFERROR(VLOOKUP(D209,'Product Master'!B:E,4,FALSE),0)</f>
        <v>0</v>
      </c>
      <c r="J209" s="53">
        <f>IFERROR(Table3[[#This Row],[QTY SOLD]]*Table3[[#This Row],[Selling Price]],0)</f>
        <v>0</v>
      </c>
      <c r="K209" s="50"/>
      <c r="L209" s="50">
        <f>Table3[[#This Row],[Total Sales]]-Table3[[#This Row],[Discount]]</f>
        <v>0</v>
      </c>
      <c r="M209" s="58">
        <f>Table3[[#This Row],[Net Sales]]-Table3[[#This Row],[Cost Price]]*Table3[[#This Row],[QTY SOLD]]</f>
        <v>0</v>
      </c>
      <c r="N209" s="25"/>
      <c r="O209" s="25"/>
      <c r="P209" s="25"/>
      <c r="Q209" s="25"/>
      <c r="R209" s="25"/>
      <c r="S209" s="25"/>
    </row>
    <row r="210" spans="1:19" x14ac:dyDescent="0.25">
      <c r="A210" s="65"/>
      <c r="B210" s="50"/>
      <c r="C210" s="50"/>
      <c r="D210" s="50"/>
      <c r="E210" s="50" t="str">
        <f>IF(D210="","",VLOOKUP(D210,'Product Master'!$B:$C,2,FALSE))</f>
        <v/>
      </c>
      <c r="F210" s="50" t="str">
        <f>IF(D210="","",IFERROR(VLOOKUP(D210,'Product Master'!$B:$G,3,FALSE),""))</f>
        <v/>
      </c>
      <c r="G210" s="51"/>
      <c r="H210" s="52" t="str">
        <f>IF(D210="","",VLOOKUP(D210,'Product Master'!$B:$F,5,FALSE))</f>
        <v/>
      </c>
      <c r="I210" s="52">
        <f>IFERROR(VLOOKUP(D210,'Product Master'!B:E,4,FALSE),0)</f>
        <v>0</v>
      </c>
      <c r="J210" s="53">
        <f>IFERROR(Table3[[#This Row],[QTY SOLD]]*Table3[[#This Row],[Selling Price]],0)</f>
        <v>0</v>
      </c>
      <c r="K210" s="50"/>
      <c r="L210" s="50">
        <f>Table3[[#This Row],[Total Sales]]-Table3[[#This Row],[Discount]]</f>
        <v>0</v>
      </c>
      <c r="M210" s="58">
        <f>Table3[[#This Row],[Net Sales]]-Table3[[#This Row],[Cost Price]]*Table3[[#This Row],[QTY SOLD]]</f>
        <v>0</v>
      </c>
      <c r="N210" s="25"/>
      <c r="O210" s="25"/>
      <c r="P210" s="25"/>
      <c r="Q210" s="25"/>
      <c r="R210" s="25"/>
      <c r="S210" s="25"/>
    </row>
    <row r="211" spans="1:19" x14ac:dyDescent="0.25">
      <c r="A211" s="65"/>
      <c r="B211" s="50"/>
      <c r="C211" s="50"/>
      <c r="D211" s="50"/>
      <c r="E211" s="50" t="str">
        <f>IF(D211="","",VLOOKUP(D211,'Product Master'!$B:$C,2,FALSE))</f>
        <v/>
      </c>
      <c r="F211" s="50" t="str">
        <f>IF(D211="","",IFERROR(VLOOKUP(D211,'Product Master'!$B:$G,3,FALSE),""))</f>
        <v/>
      </c>
      <c r="G211" s="51"/>
      <c r="H211" s="52" t="str">
        <f>IF(D211="","",VLOOKUP(D211,'Product Master'!$B:$F,5,FALSE))</f>
        <v/>
      </c>
      <c r="I211" s="52">
        <f>IFERROR(VLOOKUP(D211,'Product Master'!B:E,4,FALSE),0)</f>
        <v>0</v>
      </c>
      <c r="J211" s="53">
        <f>IFERROR(Table3[[#This Row],[QTY SOLD]]*Table3[[#This Row],[Selling Price]],0)</f>
        <v>0</v>
      </c>
      <c r="K211" s="50"/>
      <c r="L211" s="50">
        <f>Table3[[#This Row],[Total Sales]]-Table3[[#This Row],[Discount]]</f>
        <v>0</v>
      </c>
      <c r="M211" s="58">
        <f>Table3[[#This Row],[Net Sales]]-Table3[[#This Row],[Cost Price]]*Table3[[#This Row],[QTY SOLD]]</f>
        <v>0</v>
      </c>
      <c r="N211" s="25"/>
      <c r="O211" s="25"/>
      <c r="P211" s="25"/>
      <c r="Q211" s="25"/>
      <c r="R211" s="25"/>
      <c r="S211" s="25"/>
    </row>
    <row r="212" spans="1:19" x14ac:dyDescent="0.25">
      <c r="A212" s="65"/>
      <c r="B212" s="50"/>
      <c r="C212" s="50"/>
      <c r="D212" s="50"/>
      <c r="E212" s="50" t="str">
        <f>IF(D212="","",VLOOKUP(D212,'Product Master'!$B:$C,2,FALSE))</f>
        <v/>
      </c>
      <c r="F212" s="50" t="str">
        <f>IF(D212="","",IFERROR(VLOOKUP(D212,'Product Master'!$B:$G,3,FALSE),""))</f>
        <v/>
      </c>
      <c r="G212" s="51"/>
      <c r="H212" s="52" t="str">
        <f>IF(D212="","",VLOOKUP(D212,'Product Master'!$B:$F,5,FALSE))</f>
        <v/>
      </c>
      <c r="I212" s="52">
        <f>IFERROR(VLOOKUP(D212,'Product Master'!B:E,4,FALSE),0)</f>
        <v>0</v>
      </c>
      <c r="J212" s="53">
        <f>IFERROR(Table3[[#This Row],[QTY SOLD]]*Table3[[#This Row],[Selling Price]],0)</f>
        <v>0</v>
      </c>
      <c r="K212" s="50"/>
      <c r="L212" s="50">
        <f>Table3[[#This Row],[Total Sales]]-Table3[[#This Row],[Discount]]</f>
        <v>0</v>
      </c>
      <c r="M212" s="58">
        <f>Table3[[#This Row],[Net Sales]]-Table3[[#This Row],[Cost Price]]*Table3[[#This Row],[QTY SOLD]]</f>
        <v>0</v>
      </c>
      <c r="N212" s="25"/>
      <c r="O212" s="25"/>
      <c r="P212" s="25"/>
      <c r="Q212" s="25"/>
      <c r="R212" s="25"/>
      <c r="S212" s="25"/>
    </row>
    <row r="213" spans="1:19" x14ac:dyDescent="0.25">
      <c r="A213" s="65"/>
      <c r="B213" s="50"/>
      <c r="C213" s="50"/>
      <c r="D213" s="50"/>
      <c r="E213" s="50" t="str">
        <f>IF(D213="","",VLOOKUP(D213,'Product Master'!$B:$C,2,FALSE))</f>
        <v/>
      </c>
      <c r="F213" s="50" t="str">
        <f>IF(D213="","",IFERROR(VLOOKUP(D213,'Product Master'!$B:$G,3,FALSE),""))</f>
        <v/>
      </c>
      <c r="G213" s="51"/>
      <c r="H213" s="52" t="str">
        <f>IF(D213="","",VLOOKUP(D213,'Product Master'!$B:$F,5,FALSE))</f>
        <v/>
      </c>
      <c r="I213" s="52">
        <f>IFERROR(VLOOKUP(D213,'Product Master'!B:E,4,FALSE),0)</f>
        <v>0</v>
      </c>
      <c r="J213" s="53">
        <f>IFERROR(Table3[[#This Row],[QTY SOLD]]*Table3[[#This Row],[Selling Price]],0)</f>
        <v>0</v>
      </c>
      <c r="K213" s="50"/>
      <c r="L213" s="50">
        <f>Table3[[#This Row],[Total Sales]]-Table3[[#This Row],[Discount]]</f>
        <v>0</v>
      </c>
      <c r="M213" s="58">
        <f>Table3[[#This Row],[Net Sales]]-Table3[[#This Row],[Cost Price]]*Table3[[#This Row],[QTY SOLD]]</f>
        <v>0</v>
      </c>
      <c r="N213" s="25"/>
      <c r="O213" s="25"/>
      <c r="P213" s="25"/>
      <c r="Q213" s="25"/>
      <c r="R213" s="25"/>
      <c r="S213" s="25"/>
    </row>
    <row r="214" spans="1:19" x14ac:dyDescent="0.25">
      <c r="A214" s="65"/>
      <c r="B214" s="50"/>
      <c r="C214" s="50"/>
      <c r="D214" s="50"/>
      <c r="E214" s="50" t="str">
        <f>IF(D214="","",VLOOKUP(D214,'Product Master'!$B:$C,2,FALSE))</f>
        <v/>
      </c>
      <c r="F214" s="50" t="str">
        <f>IF(D214="","",IFERROR(VLOOKUP(D214,'Product Master'!$B:$G,3,FALSE),""))</f>
        <v/>
      </c>
      <c r="G214" s="51"/>
      <c r="H214" s="52" t="str">
        <f>IF(D214="","",VLOOKUP(D214,'Product Master'!$B:$F,5,FALSE))</f>
        <v/>
      </c>
      <c r="I214" s="52">
        <f>IFERROR(VLOOKUP(D214,'Product Master'!B:E,4,FALSE),0)</f>
        <v>0</v>
      </c>
      <c r="J214" s="53">
        <f>IFERROR(Table3[[#This Row],[QTY SOLD]]*Table3[[#This Row],[Selling Price]],0)</f>
        <v>0</v>
      </c>
      <c r="K214" s="50"/>
      <c r="L214" s="50">
        <f>Table3[[#This Row],[Total Sales]]-Table3[[#This Row],[Discount]]</f>
        <v>0</v>
      </c>
      <c r="M214" s="58">
        <f>Table3[[#This Row],[Net Sales]]-Table3[[#This Row],[Cost Price]]*Table3[[#This Row],[QTY SOLD]]</f>
        <v>0</v>
      </c>
      <c r="N214" s="25"/>
      <c r="O214" s="25"/>
      <c r="P214" s="25"/>
      <c r="Q214" s="25"/>
      <c r="R214" s="25"/>
      <c r="S214" s="25"/>
    </row>
    <row r="215" spans="1:19" x14ac:dyDescent="0.25">
      <c r="A215" s="65"/>
      <c r="B215" s="50"/>
      <c r="C215" s="50"/>
      <c r="D215" s="50"/>
      <c r="E215" s="50" t="str">
        <f>IF(D215="","",VLOOKUP(D215,'Product Master'!$B:$C,2,FALSE))</f>
        <v/>
      </c>
      <c r="F215" s="50" t="str">
        <f>IF(D215="","",IFERROR(VLOOKUP(D215,'Product Master'!$B:$G,3,FALSE),""))</f>
        <v/>
      </c>
      <c r="G215" s="51"/>
      <c r="H215" s="52" t="str">
        <f>IF(D215="","",VLOOKUP(D215,'Product Master'!$B:$F,5,FALSE))</f>
        <v/>
      </c>
      <c r="I215" s="52">
        <f>IFERROR(VLOOKUP(D215,'Product Master'!B:E,4,FALSE),0)</f>
        <v>0</v>
      </c>
      <c r="J215" s="53">
        <f>IFERROR(Table3[[#This Row],[QTY SOLD]]*Table3[[#This Row],[Selling Price]],0)</f>
        <v>0</v>
      </c>
      <c r="K215" s="50"/>
      <c r="L215" s="50">
        <f>Table3[[#This Row],[Total Sales]]-Table3[[#This Row],[Discount]]</f>
        <v>0</v>
      </c>
      <c r="M215" s="58">
        <f>Table3[[#This Row],[Net Sales]]-Table3[[#This Row],[Cost Price]]*Table3[[#This Row],[QTY SOLD]]</f>
        <v>0</v>
      </c>
      <c r="N215" s="25"/>
      <c r="O215" s="25"/>
      <c r="P215" s="25"/>
      <c r="Q215" s="25"/>
      <c r="R215" s="25"/>
      <c r="S215" s="25"/>
    </row>
    <row r="216" spans="1:19" x14ac:dyDescent="0.25">
      <c r="A216" s="65"/>
      <c r="B216" s="50"/>
      <c r="C216" s="50"/>
      <c r="D216" s="50"/>
      <c r="E216" s="50" t="str">
        <f>IF(D216="","",VLOOKUP(D216,'Product Master'!$B:$C,2,FALSE))</f>
        <v/>
      </c>
      <c r="F216" s="50" t="str">
        <f>IF(D216="","",IFERROR(VLOOKUP(D216,'Product Master'!$B:$G,3,FALSE),""))</f>
        <v/>
      </c>
      <c r="G216" s="51"/>
      <c r="H216" s="52" t="str">
        <f>IF(D216="","",VLOOKUP(D216,'Product Master'!$B:$F,5,FALSE))</f>
        <v/>
      </c>
      <c r="I216" s="52">
        <f>IFERROR(VLOOKUP(D216,'Product Master'!B:E,4,FALSE),0)</f>
        <v>0</v>
      </c>
      <c r="J216" s="53">
        <f>IFERROR(Table3[[#This Row],[QTY SOLD]]*Table3[[#This Row],[Selling Price]],0)</f>
        <v>0</v>
      </c>
      <c r="K216" s="50"/>
      <c r="L216" s="50">
        <f>Table3[[#This Row],[Total Sales]]-Table3[[#This Row],[Discount]]</f>
        <v>0</v>
      </c>
      <c r="M216" s="58">
        <f>Table3[[#This Row],[Net Sales]]-Table3[[#This Row],[Cost Price]]*Table3[[#This Row],[QTY SOLD]]</f>
        <v>0</v>
      </c>
      <c r="N216" s="25"/>
      <c r="O216" s="25"/>
      <c r="P216" s="25"/>
      <c r="Q216" s="25"/>
      <c r="R216" s="25"/>
      <c r="S216" s="25"/>
    </row>
    <row r="217" spans="1:19" x14ac:dyDescent="0.25">
      <c r="A217" s="65"/>
      <c r="B217" s="50"/>
      <c r="C217" s="50"/>
      <c r="D217" s="50"/>
      <c r="E217" s="50" t="str">
        <f>IF(D217="","",VLOOKUP(D217,'Product Master'!$B:$C,2,FALSE))</f>
        <v/>
      </c>
      <c r="F217" s="50" t="str">
        <f>IF(D217="","",IFERROR(VLOOKUP(D217,'Product Master'!$B:$G,3,FALSE),""))</f>
        <v/>
      </c>
      <c r="G217" s="51"/>
      <c r="H217" s="52" t="str">
        <f>IF(D217="","",VLOOKUP(D217,'Product Master'!$B:$F,5,FALSE))</f>
        <v/>
      </c>
      <c r="I217" s="52">
        <f>IFERROR(VLOOKUP(D217,'Product Master'!B:E,4,FALSE),0)</f>
        <v>0</v>
      </c>
      <c r="J217" s="53">
        <f>IFERROR(Table3[[#This Row],[QTY SOLD]]*Table3[[#This Row],[Selling Price]],0)</f>
        <v>0</v>
      </c>
      <c r="K217" s="50"/>
      <c r="L217" s="50">
        <f>Table3[[#This Row],[Total Sales]]-Table3[[#This Row],[Discount]]</f>
        <v>0</v>
      </c>
      <c r="M217" s="58">
        <f>Table3[[#This Row],[Net Sales]]-Table3[[#This Row],[Cost Price]]*Table3[[#This Row],[QTY SOLD]]</f>
        <v>0</v>
      </c>
      <c r="N217" s="25"/>
      <c r="O217" s="25"/>
      <c r="P217" s="25"/>
      <c r="Q217" s="25"/>
      <c r="R217" s="25"/>
      <c r="S217" s="25"/>
    </row>
    <row r="218" spans="1:19" x14ac:dyDescent="0.25">
      <c r="A218" s="65"/>
      <c r="B218" s="50"/>
      <c r="C218" s="50"/>
      <c r="D218" s="50"/>
      <c r="E218" s="50" t="str">
        <f>IF(D218="","",VLOOKUP(D218,'Product Master'!$B:$C,2,FALSE))</f>
        <v/>
      </c>
      <c r="F218" s="50" t="str">
        <f>IF(D218="","",IFERROR(VLOOKUP(D218,'Product Master'!$B:$G,3,FALSE),""))</f>
        <v/>
      </c>
      <c r="G218" s="51"/>
      <c r="H218" s="52" t="str">
        <f>IF(D218="","",VLOOKUP(D218,'Product Master'!$B:$F,5,FALSE))</f>
        <v/>
      </c>
      <c r="I218" s="52">
        <f>IFERROR(VLOOKUP(D218,'Product Master'!B:E,4,FALSE),0)</f>
        <v>0</v>
      </c>
      <c r="J218" s="53">
        <f>IFERROR(Table3[[#This Row],[QTY SOLD]]*Table3[[#This Row],[Selling Price]],0)</f>
        <v>0</v>
      </c>
      <c r="K218" s="50"/>
      <c r="L218" s="50">
        <f>Table3[[#This Row],[Total Sales]]-Table3[[#This Row],[Discount]]</f>
        <v>0</v>
      </c>
      <c r="M218" s="58">
        <f>Table3[[#This Row],[Net Sales]]-Table3[[#This Row],[Cost Price]]*Table3[[#This Row],[QTY SOLD]]</f>
        <v>0</v>
      </c>
      <c r="N218" s="25"/>
      <c r="O218" s="25"/>
      <c r="P218" s="25"/>
      <c r="Q218" s="25"/>
      <c r="R218" s="25"/>
      <c r="S218" s="25"/>
    </row>
    <row r="219" spans="1:19" x14ac:dyDescent="0.25">
      <c r="A219" s="65"/>
      <c r="B219" s="50"/>
      <c r="C219" s="50"/>
      <c r="D219" s="50"/>
      <c r="E219" s="50" t="str">
        <f>IF(D219="","",VLOOKUP(D219,'Product Master'!$B:$C,2,FALSE))</f>
        <v/>
      </c>
      <c r="F219" s="50" t="str">
        <f>IF(D219="","",IFERROR(VLOOKUP(D219,'Product Master'!$B:$G,3,FALSE),""))</f>
        <v/>
      </c>
      <c r="G219" s="51"/>
      <c r="H219" s="52" t="str">
        <f>IF(D219="","",VLOOKUP(D219,'Product Master'!$B:$F,5,FALSE))</f>
        <v/>
      </c>
      <c r="I219" s="52">
        <f>IFERROR(VLOOKUP(D219,'Product Master'!B:E,4,FALSE),0)</f>
        <v>0</v>
      </c>
      <c r="J219" s="53">
        <f>IFERROR(Table3[[#This Row],[QTY SOLD]]*Table3[[#This Row],[Selling Price]],0)</f>
        <v>0</v>
      </c>
      <c r="K219" s="50"/>
      <c r="L219" s="50">
        <f>Table3[[#This Row],[Total Sales]]-Table3[[#This Row],[Discount]]</f>
        <v>0</v>
      </c>
      <c r="M219" s="58">
        <f>Table3[[#This Row],[Net Sales]]-Table3[[#This Row],[Cost Price]]*Table3[[#This Row],[QTY SOLD]]</f>
        <v>0</v>
      </c>
      <c r="N219" s="25"/>
      <c r="O219" s="25"/>
      <c r="P219" s="25"/>
      <c r="Q219" s="25"/>
      <c r="R219" s="25"/>
      <c r="S219" s="25"/>
    </row>
    <row r="220" spans="1:19" x14ac:dyDescent="0.25">
      <c r="A220" s="65"/>
      <c r="B220" s="50"/>
      <c r="C220" s="50"/>
      <c r="D220" s="50"/>
      <c r="E220" s="50" t="str">
        <f>IF(D220="","",VLOOKUP(D220,'Product Master'!$B:$C,2,FALSE))</f>
        <v/>
      </c>
      <c r="F220" s="50" t="str">
        <f>IF(D220="","",IFERROR(VLOOKUP(D220,'Product Master'!$B:$G,3,FALSE),""))</f>
        <v/>
      </c>
      <c r="G220" s="51"/>
      <c r="H220" s="52" t="str">
        <f>IF(D220="","",VLOOKUP(D220,'Product Master'!$B:$F,5,FALSE))</f>
        <v/>
      </c>
      <c r="I220" s="52">
        <f>IFERROR(VLOOKUP(D220,'Product Master'!B:E,4,FALSE),0)</f>
        <v>0</v>
      </c>
      <c r="J220" s="53">
        <f>IFERROR(Table3[[#This Row],[QTY SOLD]]*Table3[[#This Row],[Selling Price]],0)</f>
        <v>0</v>
      </c>
      <c r="K220" s="50"/>
      <c r="L220" s="50">
        <f>Table3[[#This Row],[Total Sales]]-Table3[[#This Row],[Discount]]</f>
        <v>0</v>
      </c>
      <c r="M220" s="58">
        <f>Table3[[#This Row],[Net Sales]]-Table3[[#This Row],[Cost Price]]*Table3[[#This Row],[QTY SOLD]]</f>
        <v>0</v>
      </c>
      <c r="N220" s="25"/>
      <c r="O220" s="25"/>
      <c r="P220" s="25"/>
      <c r="Q220" s="25"/>
      <c r="R220" s="25"/>
      <c r="S220" s="25"/>
    </row>
    <row r="221" spans="1:19" x14ac:dyDescent="0.25">
      <c r="A221" s="65"/>
      <c r="B221" s="50"/>
      <c r="C221" s="50"/>
      <c r="D221" s="50"/>
      <c r="E221" s="50" t="str">
        <f>IF(D221="","",VLOOKUP(D221,'Product Master'!$B:$C,2,FALSE))</f>
        <v/>
      </c>
      <c r="F221" s="50" t="str">
        <f>IF(D221="","",IFERROR(VLOOKUP(D221,'Product Master'!$B:$G,3,FALSE),""))</f>
        <v/>
      </c>
      <c r="G221" s="51"/>
      <c r="H221" s="52" t="str">
        <f>IF(D221="","",VLOOKUP(D221,'Product Master'!$B:$F,5,FALSE))</f>
        <v/>
      </c>
      <c r="I221" s="52">
        <f>IFERROR(VLOOKUP(D221,'Product Master'!B:E,4,FALSE),0)</f>
        <v>0</v>
      </c>
      <c r="J221" s="53">
        <f>IFERROR(Table3[[#This Row],[QTY SOLD]]*Table3[[#This Row],[Selling Price]],0)</f>
        <v>0</v>
      </c>
      <c r="K221" s="50"/>
      <c r="L221" s="50">
        <f>Table3[[#This Row],[Total Sales]]-Table3[[#This Row],[Discount]]</f>
        <v>0</v>
      </c>
      <c r="M221" s="58">
        <f>Table3[[#This Row],[Net Sales]]-Table3[[#This Row],[Cost Price]]*Table3[[#This Row],[QTY SOLD]]</f>
        <v>0</v>
      </c>
      <c r="N221" s="25"/>
      <c r="O221" s="25"/>
      <c r="P221" s="25"/>
      <c r="Q221" s="25"/>
      <c r="R221" s="25"/>
      <c r="S221" s="25"/>
    </row>
    <row r="222" spans="1:19" x14ac:dyDescent="0.25">
      <c r="A222" s="65"/>
      <c r="B222" s="50"/>
      <c r="C222" s="50"/>
      <c r="D222" s="50"/>
      <c r="E222" s="50" t="str">
        <f>IF(D222="","",VLOOKUP(D222,'Product Master'!$B:$C,2,FALSE))</f>
        <v/>
      </c>
      <c r="F222" s="50" t="str">
        <f>IF(D222="","",IFERROR(VLOOKUP(D222,'Product Master'!$B:$G,3,FALSE),""))</f>
        <v/>
      </c>
      <c r="G222" s="51"/>
      <c r="H222" s="52" t="str">
        <f>IF(D222="","",VLOOKUP(D222,'Product Master'!$B:$F,5,FALSE))</f>
        <v/>
      </c>
      <c r="I222" s="52">
        <f>IFERROR(VLOOKUP(D222,'Product Master'!B:E,4,FALSE),0)</f>
        <v>0</v>
      </c>
      <c r="J222" s="53">
        <f>IFERROR(Table3[[#This Row],[QTY SOLD]]*Table3[[#This Row],[Selling Price]],0)</f>
        <v>0</v>
      </c>
      <c r="K222" s="50"/>
      <c r="L222" s="50">
        <f>Table3[[#This Row],[Total Sales]]-Table3[[#This Row],[Discount]]</f>
        <v>0</v>
      </c>
      <c r="M222" s="58">
        <f>Table3[[#This Row],[Net Sales]]-Table3[[#This Row],[Cost Price]]*Table3[[#This Row],[QTY SOLD]]</f>
        <v>0</v>
      </c>
      <c r="N222" s="25"/>
      <c r="O222" s="25"/>
      <c r="P222" s="25"/>
      <c r="Q222" s="25"/>
      <c r="R222" s="25"/>
      <c r="S222" s="25"/>
    </row>
    <row r="223" spans="1:19" x14ac:dyDescent="0.25">
      <c r="A223" s="65"/>
      <c r="B223" s="50"/>
      <c r="C223" s="50"/>
      <c r="D223" s="50"/>
      <c r="E223" s="50" t="str">
        <f>IF(D223="","",VLOOKUP(D223,'Product Master'!$B:$C,2,FALSE))</f>
        <v/>
      </c>
      <c r="F223" s="50" t="str">
        <f>IF(D223="","",IFERROR(VLOOKUP(D223,'Product Master'!$B:$G,3,FALSE),""))</f>
        <v/>
      </c>
      <c r="G223" s="51"/>
      <c r="H223" s="52" t="str">
        <f>IF(D223="","",VLOOKUP(D223,'Product Master'!$B:$F,5,FALSE))</f>
        <v/>
      </c>
      <c r="I223" s="52">
        <f>IFERROR(VLOOKUP(D223,'Product Master'!B:E,4,FALSE),0)</f>
        <v>0</v>
      </c>
      <c r="J223" s="53">
        <f>IFERROR(Table3[[#This Row],[QTY SOLD]]*Table3[[#This Row],[Selling Price]],0)</f>
        <v>0</v>
      </c>
      <c r="K223" s="50"/>
      <c r="L223" s="50">
        <f>Table3[[#This Row],[Total Sales]]-Table3[[#This Row],[Discount]]</f>
        <v>0</v>
      </c>
      <c r="M223" s="58">
        <f>Table3[[#This Row],[Net Sales]]-Table3[[#This Row],[Cost Price]]*Table3[[#This Row],[QTY SOLD]]</f>
        <v>0</v>
      </c>
      <c r="N223" s="25"/>
      <c r="O223" s="25"/>
      <c r="P223" s="25"/>
      <c r="Q223" s="25"/>
      <c r="R223" s="25"/>
      <c r="S223" s="25"/>
    </row>
    <row r="224" spans="1:19" x14ac:dyDescent="0.25">
      <c r="A224" s="65"/>
      <c r="B224" s="50"/>
      <c r="C224" s="50"/>
      <c r="D224" s="50"/>
      <c r="E224" s="50" t="str">
        <f>IF(D224="","",VLOOKUP(D224,'Product Master'!$B:$C,2,FALSE))</f>
        <v/>
      </c>
      <c r="F224" s="50" t="str">
        <f>IF(D224="","",IFERROR(VLOOKUP(D224,'Product Master'!$B:$G,3,FALSE),""))</f>
        <v/>
      </c>
      <c r="G224" s="51"/>
      <c r="H224" s="52" t="str">
        <f>IF(D224="","",VLOOKUP(D224,'Product Master'!$B:$F,5,FALSE))</f>
        <v/>
      </c>
      <c r="I224" s="52">
        <f>IFERROR(VLOOKUP(D224,'Product Master'!B:E,4,FALSE),0)</f>
        <v>0</v>
      </c>
      <c r="J224" s="53">
        <f>IFERROR(Table3[[#This Row],[QTY SOLD]]*Table3[[#This Row],[Selling Price]],0)</f>
        <v>0</v>
      </c>
      <c r="K224" s="50"/>
      <c r="L224" s="50">
        <f>Table3[[#This Row],[Total Sales]]-Table3[[#This Row],[Discount]]</f>
        <v>0</v>
      </c>
      <c r="M224" s="58">
        <f>Table3[[#This Row],[Net Sales]]-Table3[[#This Row],[Cost Price]]*Table3[[#This Row],[QTY SOLD]]</f>
        <v>0</v>
      </c>
      <c r="N224" s="25"/>
      <c r="O224" s="25"/>
      <c r="P224" s="25"/>
      <c r="Q224" s="25"/>
      <c r="R224" s="25"/>
      <c r="S224" s="25"/>
    </row>
    <row r="225" spans="1:19" x14ac:dyDescent="0.25">
      <c r="A225" s="65"/>
      <c r="B225" s="50"/>
      <c r="C225" s="50"/>
      <c r="D225" s="50"/>
      <c r="E225" s="50" t="str">
        <f>IF(D225="","",VLOOKUP(D225,'Product Master'!$B:$C,2,FALSE))</f>
        <v/>
      </c>
      <c r="F225" s="50" t="str">
        <f>IF(D225="","",IFERROR(VLOOKUP(D225,'Product Master'!$B:$G,3,FALSE),""))</f>
        <v/>
      </c>
      <c r="G225" s="51"/>
      <c r="H225" s="52" t="str">
        <f>IF(D225="","",VLOOKUP(D225,'Product Master'!$B:$F,5,FALSE))</f>
        <v/>
      </c>
      <c r="I225" s="52">
        <f>IFERROR(VLOOKUP(D225,'Product Master'!B:E,4,FALSE),0)</f>
        <v>0</v>
      </c>
      <c r="J225" s="53">
        <f>IFERROR(Table3[[#This Row],[QTY SOLD]]*Table3[[#This Row],[Selling Price]],0)</f>
        <v>0</v>
      </c>
      <c r="K225" s="50"/>
      <c r="L225" s="50">
        <f>Table3[[#This Row],[Total Sales]]-Table3[[#This Row],[Discount]]</f>
        <v>0</v>
      </c>
      <c r="M225" s="58">
        <f>Table3[[#This Row],[Net Sales]]-Table3[[#This Row],[Cost Price]]*Table3[[#This Row],[QTY SOLD]]</f>
        <v>0</v>
      </c>
      <c r="N225" s="25"/>
      <c r="O225" s="25"/>
      <c r="P225" s="25"/>
      <c r="Q225" s="25"/>
      <c r="R225" s="25"/>
      <c r="S225" s="25"/>
    </row>
    <row r="226" spans="1:19" x14ac:dyDescent="0.25">
      <c r="A226" s="65"/>
      <c r="B226" s="50"/>
      <c r="C226" s="50"/>
      <c r="D226" s="50"/>
      <c r="E226" s="50" t="str">
        <f>IF(D226="","",VLOOKUP(D226,'Product Master'!$B:$C,2,FALSE))</f>
        <v/>
      </c>
      <c r="F226" s="50" t="str">
        <f>IF(D226="","",IFERROR(VLOOKUP(D226,'Product Master'!$B:$G,3,FALSE),""))</f>
        <v/>
      </c>
      <c r="G226" s="51"/>
      <c r="H226" s="52" t="str">
        <f>IF(D226="","",VLOOKUP(D226,'Product Master'!$B:$F,5,FALSE))</f>
        <v/>
      </c>
      <c r="I226" s="52">
        <f>IFERROR(VLOOKUP(D226,'Product Master'!B:E,4,FALSE),0)</f>
        <v>0</v>
      </c>
      <c r="J226" s="53">
        <f>IFERROR(Table3[[#This Row],[QTY SOLD]]*Table3[[#This Row],[Selling Price]],0)</f>
        <v>0</v>
      </c>
      <c r="K226" s="50"/>
      <c r="L226" s="50">
        <f>Table3[[#This Row],[Total Sales]]-Table3[[#This Row],[Discount]]</f>
        <v>0</v>
      </c>
      <c r="M226" s="58">
        <f>Table3[[#This Row],[Net Sales]]-Table3[[#This Row],[Cost Price]]*Table3[[#This Row],[QTY SOLD]]</f>
        <v>0</v>
      </c>
      <c r="N226" s="25"/>
      <c r="O226" s="25"/>
      <c r="P226" s="25"/>
      <c r="Q226" s="25"/>
      <c r="R226" s="25"/>
      <c r="S226" s="25"/>
    </row>
    <row r="227" spans="1:19" x14ac:dyDescent="0.25">
      <c r="A227" s="65"/>
      <c r="B227" s="50"/>
      <c r="C227" s="50"/>
      <c r="D227" s="50"/>
      <c r="E227" s="50" t="str">
        <f>IF(D227="","",VLOOKUP(D227,'Product Master'!$B:$C,2,FALSE))</f>
        <v/>
      </c>
      <c r="F227" s="50" t="str">
        <f>IF(D227="","",IFERROR(VLOOKUP(D227,'Product Master'!$B:$G,3,FALSE),""))</f>
        <v/>
      </c>
      <c r="G227" s="51"/>
      <c r="H227" s="52" t="str">
        <f>IF(D227="","",VLOOKUP(D227,'Product Master'!$B:$F,5,FALSE))</f>
        <v/>
      </c>
      <c r="I227" s="52">
        <f>IFERROR(VLOOKUP(D227,'Product Master'!B:E,4,FALSE),0)</f>
        <v>0</v>
      </c>
      <c r="J227" s="53">
        <f>IFERROR(Table3[[#This Row],[QTY SOLD]]*Table3[[#This Row],[Selling Price]],0)</f>
        <v>0</v>
      </c>
      <c r="K227" s="50"/>
      <c r="L227" s="50">
        <f>Table3[[#This Row],[Total Sales]]-Table3[[#This Row],[Discount]]</f>
        <v>0</v>
      </c>
      <c r="M227" s="58">
        <f>Table3[[#This Row],[Net Sales]]-Table3[[#This Row],[Cost Price]]*Table3[[#This Row],[QTY SOLD]]</f>
        <v>0</v>
      </c>
      <c r="N227" s="25"/>
      <c r="O227" s="25"/>
      <c r="P227" s="25"/>
      <c r="Q227" s="25"/>
      <c r="R227" s="25"/>
      <c r="S227" s="25"/>
    </row>
    <row r="228" spans="1:19" x14ac:dyDescent="0.25">
      <c r="A228" s="65"/>
      <c r="B228" s="50"/>
      <c r="C228" s="50"/>
      <c r="D228" s="50"/>
      <c r="E228" s="50" t="str">
        <f>IF(D228="","",VLOOKUP(D228,'Product Master'!$B:$C,2,FALSE))</f>
        <v/>
      </c>
      <c r="F228" s="50" t="str">
        <f>IF(D228="","",IFERROR(VLOOKUP(D228,'Product Master'!$B:$G,3,FALSE),""))</f>
        <v/>
      </c>
      <c r="G228" s="51"/>
      <c r="H228" s="52" t="str">
        <f>IF(D228="","",VLOOKUP(D228,'Product Master'!$B:$F,5,FALSE))</f>
        <v/>
      </c>
      <c r="I228" s="52">
        <f>IFERROR(VLOOKUP(D228,'Product Master'!B:E,4,FALSE),0)</f>
        <v>0</v>
      </c>
      <c r="J228" s="53">
        <f>IFERROR(Table3[[#This Row],[QTY SOLD]]*Table3[[#This Row],[Selling Price]],0)</f>
        <v>0</v>
      </c>
      <c r="K228" s="50"/>
      <c r="L228" s="50">
        <f>Table3[[#This Row],[Total Sales]]-Table3[[#This Row],[Discount]]</f>
        <v>0</v>
      </c>
      <c r="M228" s="58">
        <f>Table3[[#This Row],[Net Sales]]-Table3[[#This Row],[Cost Price]]*Table3[[#This Row],[QTY SOLD]]</f>
        <v>0</v>
      </c>
      <c r="N228" s="25"/>
      <c r="O228" s="25"/>
      <c r="P228" s="25"/>
      <c r="Q228" s="25"/>
      <c r="R228" s="25"/>
      <c r="S228" s="25"/>
    </row>
    <row r="229" spans="1:19" x14ac:dyDescent="0.25">
      <c r="A229" s="65"/>
      <c r="B229" s="50"/>
      <c r="C229" s="50"/>
      <c r="D229" s="50"/>
      <c r="E229" s="50" t="str">
        <f>IF(D229="","",VLOOKUP(D229,'Product Master'!$B:$C,2,FALSE))</f>
        <v/>
      </c>
      <c r="F229" s="50" t="str">
        <f>IF(D229="","",IFERROR(VLOOKUP(D229,'Product Master'!$B:$G,3,FALSE),""))</f>
        <v/>
      </c>
      <c r="G229" s="51"/>
      <c r="H229" s="52" t="str">
        <f>IF(D229="","",VLOOKUP(D229,'Product Master'!$B:$F,5,FALSE))</f>
        <v/>
      </c>
      <c r="I229" s="52">
        <f>IFERROR(VLOOKUP(D229,'Product Master'!B:E,4,FALSE),0)</f>
        <v>0</v>
      </c>
      <c r="J229" s="53">
        <f>IFERROR(Table3[[#This Row],[QTY SOLD]]*Table3[[#This Row],[Selling Price]],0)</f>
        <v>0</v>
      </c>
      <c r="K229" s="50"/>
      <c r="L229" s="50">
        <f>Table3[[#This Row],[Total Sales]]-Table3[[#This Row],[Discount]]</f>
        <v>0</v>
      </c>
      <c r="M229" s="58">
        <f>Table3[[#This Row],[Net Sales]]-Table3[[#This Row],[Cost Price]]*Table3[[#This Row],[QTY SOLD]]</f>
        <v>0</v>
      </c>
      <c r="N229" s="25"/>
      <c r="O229" s="25"/>
      <c r="P229" s="25"/>
      <c r="Q229" s="25"/>
      <c r="R229" s="25"/>
      <c r="S229" s="25"/>
    </row>
    <row r="230" spans="1:19" x14ac:dyDescent="0.25">
      <c r="A230" s="65"/>
      <c r="B230" s="50"/>
      <c r="C230" s="50"/>
      <c r="D230" s="50"/>
      <c r="E230" s="50" t="str">
        <f>IF(D230="","",VLOOKUP(D230,'Product Master'!$B:$C,2,FALSE))</f>
        <v/>
      </c>
      <c r="F230" s="50" t="str">
        <f>IF(D230="","",IFERROR(VLOOKUP(D230,'Product Master'!$B:$G,3,FALSE),""))</f>
        <v/>
      </c>
      <c r="G230" s="51"/>
      <c r="H230" s="52" t="str">
        <f>IF(D230="","",VLOOKUP(D230,'Product Master'!$B:$F,5,FALSE))</f>
        <v/>
      </c>
      <c r="I230" s="52">
        <f>IFERROR(VLOOKUP(D230,'Product Master'!B:E,4,FALSE),0)</f>
        <v>0</v>
      </c>
      <c r="J230" s="53">
        <f>IFERROR(Table3[[#This Row],[QTY SOLD]]*Table3[[#This Row],[Selling Price]],0)</f>
        <v>0</v>
      </c>
      <c r="K230" s="50"/>
      <c r="L230" s="50">
        <f>Table3[[#This Row],[Total Sales]]-Table3[[#This Row],[Discount]]</f>
        <v>0</v>
      </c>
      <c r="M230" s="58">
        <f>Table3[[#This Row],[Net Sales]]-Table3[[#This Row],[Cost Price]]*Table3[[#This Row],[QTY SOLD]]</f>
        <v>0</v>
      </c>
      <c r="N230" s="25"/>
      <c r="O230" s="25"/>
      <c r="P230" s="25"/>
      <c r="Q230" s="25"/>
      <c r="R230" s="25"/>
      <c r="S230" s="25"/>
    </row>
    <row r="231" spans="1:19" x14ac:dyDescent="0.25">
      <c r="A231" s="65"/>
      <c r="B231" s="50"/>
      <c r="C231" s="50"/>
      <c r="D231" s="50"/>
      <c r="E231" s="50" t="str">
        <f>IF(D231="","",VLOOKUP(D231,'Product Master'!$B:$C,2,FALSE))</f>
        <v/>
      </c>
      <c r="F231" s="50" t="str">
        <f>IF(D231="","",IFERROR(VLOOKUP(D231,'Product Master'!$B:$G,3,FALSE),""))</f>
        <v/>
      </c>
      <c r="G231" s="51"/>
      <c r="H231" s="52" t="str">
        <f>IF(D231="","",VLOOKUP(D231,'Product Master'!$B:$F,5,FALSE))</f>
        <v/>
      </c>
      <c r="I231" s="52">
        <f>IFERROR(VLOOKUP(D231,'Product Master'!B:E,4,FALSE),0)</f>
        <v>0</v>
      </c>
      <c r="J231" s="53">
        <f>IFERROR(Table3[[#This Row],[QTY SOLD]]*Table3[[#This Row],[Selling Price]],0)</f>
        <v>0</v>
      </c>
      <c r="K231" s="50"/>
      <c r="L231" s="50">
        <f>Table3[[#This Row],[Total Sales]]-Table3[[#This Row],[Discount]]</f>
        <v>0</v>
      </c>
      <c r="M231" s="58">
        <f>Table3[[#This Row],[Net Sales]]-Table3[[#This Row],[Cost Price]]*Table3[[#This Row],[QTY SOLD]]</f>
        <v>0</v>
      </c>
      <c r="N231" s="25"/>
      <c r="O231" s="25"/>
      <c r="P231" s="25"/>
      <c r="Q231" s="25"/>
      <c r="R231" s="25"/>
      <c r="S231" s="25"/>
    </row>
    <row r="232" spans="1:19" x14ac:dyDescent="0.25">
      <c r="A232" s="65"/>
      <c r="B232" s="50"/>
      <c r="C232" s="50"/>
      <c r="D232" s="50"/>
      <c r="E232" s="50" t="str">
        <f>IF(D232="","",VLOOKUP(D232,'Product Master'!$B:$C,2,FALSE))</f>
        <v/>
      </c>
      <c r="F232" s="50" t="str">
        <f>IF(D232="","",IFERROR(VLOOKUP(D232,'Product Master'!$B:$G,3,FALSE),""))</f>
        <v/>
      </c>
      <c r="G232" s="51"/>
      <c r="H232" s="52" t="str">
        <f>IF(D232="","",VLOOKUP(D232,'Product Master'!$B:$F,5,FALSE))</f>
        <v/>
      </c>
      <c r="I232" s="52">
        <f>IFERROR(VLOOKUP(D232,'Product Master'!B:E,4,FALSE),0)</f>
        <v>0</v>
      </c>
      <c r="J232" s="53">
        <f>IFERROR(Table3[[#This Row],[QTY SOLD]]*Table3[[#This Row],[Selling Price]],0)</f>
        <v>0</v>
      </c>
      <c r="K232" s="50"/>
      <c r="L232" s="50">
        <f>Table3[[#This Row],[Total Sales]]-Table3[[#This Row],[Discount]]</f>
        <v>0</v>
      </c>
      <c r="M232" s="58">
        <f>Table3[[#This Row],[Net Sales]]-Table3[[#This Row],[Cost Price]]*Table3[[#This Row],[QTY SOLD]]</f>
        <v>0</v>
      </c>
      <c r="N232" s="25"/>
      <c r="O232" s="25"/>
      <c r="P232" s="25"/>
      <c r="Q232" s="25"/>
      <c r="R232" s="25"/>
      <c r="S232" s="25"/>
    </row>
    <row r="233" spans="1:19" x14ac:dyDescent="0.25">
      <c r="A233" s="65"/>
      <c r="B233" s="50"/>
      <c r="C233" s="50"/>
      <c r="D233" s="50"/>
      <c r="E233" s="50" t="str">
        <f>IF(D233="","",VLOOKUP(D233,'Product Master'!$B:$C,2,FALSE))</f>
        <v/>
      </c>
      <c r="F233" s="50" t="str">
        <f>IF(D233="","",IFERROR(VLOOKUP(D233,'Product Master'!$B:$G,3,FALSE),""))</f>
        <v/>
      </c>
      <c r="G233" s="51"/>
      <c r="H233" s="52" t="str">
        <f>IF(D233="","",VLOOKUP(D233,'Product Master'!$B:$F,5,FALSE))</f>
        <v/>
      </c>
      <c r="I233" s="52">
        <f>IFERROR(VLOOKUP(D233,'Product Master'!B:E,4,FALSE),0)</f>
        <v>0</v>
      </c>
      <c r="J233" s="53">
        <f>IFERROR(Table3[[#This Row],[QTY SOLD]]*Table3[[#This Row],[Selling Price]],0)</f>
        <v>0</v>
      </c>
      <c r="K233" s="50"/>
      <c r="L233" s="50">
        <f>Table3[[#This Row],[Total Sales]]-Table3[[#This Row],[Discount]]</f>
        <v>0</v>
      </c>
      <c r="M233" s="58">
        <f>Table3[[#This Row],[Net Sales]]-Table3[[#This Row],[Cost Price]]*Table3[[#This Row],[QTY SOLD]]</f>
        <v>0</v>
      </c>
      <c r="N233" s="25"/>
      <c r="O233" s="25"/>
      <c r="P233" s="25"/>
      <c r="Q233" s="25"/>
      <c r="R233" s="25"/>
      <c r="S233" s="25"/>
    </row>
    <row r="234" spans="1:19" x14ac:dyDescent="0.25">
      <c r="A234" s="65"/>
      <c r="B234" s="50"/>
      <c r="C234" s="50"/>
      <c r="D234" s="50"/>
      <c r="E234" s="50" t="str">
        <f>IF(D234="","",VLOOKUP(D234,'Product Master'!$B:$C,2,FALSE))</f>
        <v/>
      </c>
      <c r="F234" s="50" t="str">
        <f>IF(D234="","",IFERROR(VLOOKUP(D234,'Product Master'!$B:$G,3,FALSE),""))</f>
        <v/>
      </c>
      <c r="G234" s="51"/>
      <c r="H234" s="52" t="str">
        <f>IF(D234="","",VLOOKUP(D234,'Product Master'!$B:$F,5,FALSE))</f>
        <v/>
      </c>
      <c r="I234" s="52">
        <f>IFERROR(VLOOKUP(D234,'Product Master'!B:E,4,FALSE),0)</f>
        <v>0</v>
      </c>
      <c r="J234" s="53">
        <f>IFERROR(Table3[[#This Row],[QTY SOLD]]*Table3[[#This Row],[Selling Price]],0)</f>
        <v>0</v>
      </c>
      <c r="K234" s="50"/>
      <c r="L234" s="50">
        <f>Table3[[#This Row],[Total Sales]]-Table3[[#This Row],[Discount]]</f>
        <v>0</v>
      </c>
      <c r="M234" s="58">
        <f>Table3[[#This Row],[Net Sales]]-Table3[[#This Row],[Cost Price]]*Table3[[#This Row],[QTY SOLD]]</f>
        <v>0</v>
      </c>
      <c r="N234" s="25"/>
      <c r="O234" s="25"/>
      <c r="P234" s="25"/>
      <c r="Q234" s="25"/>
      <c r="R234" s="25"/>
      <c r="S234" s="25"/>
    </row>
    <row r="235" spans="1:19" x14ac:dyDescent="0.25">
      <c r="A235" s="65"/>
      <c r="B235" s="50"/>
      <c r="C235" s="50"/>
      <c r="D235" s="50"/>
      <c r="E235" s="50" t="str">
        <f>IF(D235="","",VLOOKUP(D235,'Product Master'!$B:$C,2,FALSE))</f>
        <v/>
      </c>
      <c r="F235" s="50" t="str">
        <f>IF(D235="","",IFERROR(VLOOKUP(D235,'Product Master'!$B:$G,3,FALSE),""))</f>
        <v/>
      </c>
      <c r="G235" s="51"/>
      <c r="H235" s="52" t="str">
        <f>IF(D235="","",VLOOKUP(D235,'Product Master'!$B:$F,5,FALSE))</f>
        <v/>
      </c>
      <c r="I235" s="52">
        <f>IFERROR(VLOOKUP(D235,'Product Master'!B:E,4,FALSE),0)</f>
        <v>0</v>
      </c>
      <c r="J235" s="53">
        <f>IFERROR(Table3[[#This Row],[QTY SOLD]]*Table3[[#This Row],[Selling Price]],0)</f>
        <v>0</v>
      </c>
      <c r="K235" s="50"/>
      <c r="L235" s="50">
        <f>Table3[[#This Row],[Total Sales]]-Table3[[#This Row],[Discount]]</f>
        <v>0</v>
      </c>
      <c r="M235" s="58">
        <f>Table3[[#This Row],[Net Sales]]-Table3[[#This Row],[Cost Price]]*Table3[[#This Row],[QTY SOLD]]</f>
        <v>0</v>
      </c>
      <c r="N235" s="25"/>
      <c r="O235" s="25"/>
      <c r="P235" s="25"/>
      <c r="Q235" s="25"/>
      <c r="R235" s="25"/>
      <c r="S235" s="25"/>
    </row>
    <row r="236" spans="1:19" x14ac:dyDescent="0.25">
      <c r="A236" s="65"/>
      <c r="B236" s="50"/>
      <c r="C236" s="50"/>
      <c r="D236" s="50"/>
      <c r="E236" s="50" t="str">
        <f>IF(D236="","",VLOOKUP(D236,'Product Master'!$B:$C,2,FALSE))</f>
        <v/>
      </c>
      <c r="F236" s="50" t="str">
        <f>IF(D236="","",IFERROR(VLOOKUP(D236,'Product Master'!$B:$G,3,FALSE),""))</f>
        <v/>
      </c>
      <c r="G236" s="51"/>
      <c r="H236" s="52" t="str">
        <f>IF(D236="","",VLOOKUP(D236,'Product Master'!$B:$F,5,FALSE))</f>
        <v/>
      </c>
      <c r="I236" s="52">
        <f>IFERROR(VLOOKUP(D236,'Product Master'!B:E,4,FALSE),0)</f>
        <v>0</v>
      </c>
      <c r="J236" s="53">
        <f>IFERROR(Table3[[#This Row],[QTY SOLD]]*Table3[[#This Row],[Selling Price]],0)</f>
        <v>0</v>
      </c>
      <c r="K236" s="50"/>
      <c r="L236" s="50">
        <f>Table3[[#This Row],[Total Sales]]-Table3[[#This Row],[Discount]]</f>
        <v>0</v>
      </c>
      <c r="M236" s="58">
        <f>Table3[[#This Row],[Net Sales]]-Table3[[#This Row],[Cost Price]]*Table3[[#This Row],[QTY SOLD]]</f>
        <v>0</v>
      </c>
      <c r="N236" s="25"/>
      <c r="O236" s="25"/>
      <c r="P236" s="25"/>
      <c r="Q236" s="25"/>
      <c r="R236" s="25"/>
      <c r="S236" s="25"/>
    </row>
    <row r="237" spans="1:19" x14ac:dyDescent="0.25">
      <c r="A237" s="65"/>
      <c r="B237" s="50"/>
      <c r="C237" s="50"/>
      <c r="D237" s="50"/>
      <c r="E237" s="50" t="str">
        <f>IF(D237="","",VLOOKUP(D237,'Product Master'!$B:$C,2,FALSE))</f>
        <v/>
      </c>
      <c r="F237" s="50" t="str">
        <f>IF(D237="","",IFERROR(VLOOKUP(D237,'Product Master'!$B:$G,3,FALSE),""))</f>
        <v/>
      </c>
      <c r="G237" s="51"/>
      <c r="H237" s="52" t="str">
        <f>IF(D237="","",VLOOKUP(D237,'Product Master'!$B:$F,5,FALSE))</f>
        <v/>
      </c>
      <c r="I237" s="52">
        <f>IFERROR(VLOOKUP(D237,'Product Master'!B:E,4,FALSE),0)</f>
        <v>0</v>
      </c>
      <c r="J237" s="53">
        <f>IFERROR(Table3[[#This Row],[QTY SOLD]]*Table3[[#This Row],[Selling Price]],0)</f>
        <v>0</v>
      </c>
      <c r="K237" s="50"/>
      <c r="L237" s="50">
        <f>Table3[[#This Row],[Total Sales]]-Table3[[#This Row],[Discount]]</f>
        <v>0</v>
      </c>
      <c r="M237" s="58">
        <f>Table3[[#This Row],[Net Sales]]-Table3[[#This Row],[Cost Price]]*Table3[[#This Row],[QTY SOLD]]</f>
        <v>0</v>
      </c>
      <c r="N237" s="25"/>
      <c r="O237" s="25"/>
      <c r="P237" s="25"/>
      <c r="Q237" s="25"/>
      <c r="R237" s="25"/>
      <c r="S237" s="25"/>
    </row>
    <row r="238" spans="1:19" x14ac:dyDescent="0.25">
      <c r="A238" s="65"/>
      <c r="B238" s="50"/>
      <c r="C238" s="50"/>
      <c r="D238" s="50"/>
      <c r="E238" s="50" t="str">
        <f>IF(D238="","",VLOOKUP(D238,'Product Master'!$B:$C,2,FALSE))</f>
        <v/>
      </c>
      <c r="F238" s="50" t="str">
        <f>IF(D238="","",IFERROR(VLOOKUP(D238,'Product Master'!$B:$G,3,FALSE),""))</f>
        <v/>
      </c>
      <c r="G238" s="51"/>
      <c r="H238" s="52" t="str">
        <f>IF(D238="","",VLOOKUP(D238,'Product Master'!$B:$F,5,FALSE))</f>
        <v/>
      </c>
      <c r="I238" s="52">
        <f>IFERROR(VLOOKUP(D238,'Product Master'!B:E,4,FALSE),0)</f>
        <v>0</v>
      </c>
      <c r="J238" s="53">
        <f>IFERROR(Table3[[#This Row],[QTY SOLD]]*Table3[[#This Row],[Selling Price]],0)</f>
        <v>0</v>
      </c>
      <c r="K238" s="50"/>
      <c r="L238" s="50">
        <f>Table3[[#This Row],[Total Sales]]-Table3[[#This Row],[Discount]]</f>
        <v>0</v>
      </c>
      <c r="M238" s="58">
        <f>Table3[[#This Row],[Net Sales]]-Table3[[#This Row],[Cost Price]]*Table3[[#This Row],[QTY SOLD]]</f>
        <v>0</v>
      </c>
      <c r="N238" s="25"/>
      <c r="O238" s="25"/>
      <c r="P238" s="25"/>
      <c r="Q238" s="25"/>
      <c r="R238" s="25"/>
      <c r="S238" s="25"/>
    </row>
    <row r="239" spans="1:19" x14ac:dyDescent="0.25">
      <c r="A239" s="65"/>
      <c r="B239" s="50"/>
      <c r="C239" s="50"/>
      <c r="D239" s="50"/>
      <c r="E239" s="50" t="str">
        <f>IF(D239="","",VLOOKUP(D239,'Product Master'!$B:$C,2,FALSE))</f>
        <v/>
      </c>
      <c r="F239" s="50" t="str">
        <f>IF(D239="","",IFERROR(VLOOKUP(D239,'Product Master'!$B:$G,3,FALSE),""))</f>
        <v/>
      </c>
      <c r="G239" s="51"/>
      <c r="H239" s="52" t="str">
        <f>IF(D239="","",VLOOKUP(D239,'Product Master'!$B:$F,5,FALSE))</f>
        <v/>
      </c>
      <c r="I239" s="52">
        <f>IFERROR(VLOOKUP(D239,'Product Master'!B:E,4,FALSE),0)</f>
        <v>0</v>
      </c>
      <c r="J239" s="53">
        <f>IFERROR(Table3[[#This Row],[QTY SOLD]]*Table3[[#This Row],[Selling Price]],0)</f>
        <v>0</v>
      </c>
      <c r="K239" s="50"/>
      <c r="L239" s="50">
        <f>Table3[[#This Row],[Total Sales]]-Table3[[#This Row],[Discount]]</f>
        <v>0</v>
      </c>
      <c r="M239" s="58">
        <f>Table3[[#This Row],[Net Sales]]-Table3[[#This Row],[Cost Price]]*Table3[[#This Row],[QTY SOLD]]</f>
        <v>0</v>
      </c>
      <c r="N239" s="25"/>
      <c r="O239" s="25"/>
      <c r="P239" s="25"/>
      <c r="Q239" s="25"/>
      <c r="R239" s="25"/>
      <c r="S239" s="25"/>
    </row>
    <row r="240" spans="1:19" x14ac:dyDescent="0.25">
      <c r="A240" s="65"/>
      <c r="B240" s="50"/>
      <c r="C240" s="50"/>
      <c r="D240" s="50"/>
      <c r="E240" s="50" t="str">
        <f>IF(D240="","",VLOOKUP(D240,'Product Master'!$B:$C,2,FALSE))</f>
        <v/>
      </c>
      <c r="F240" s="50" t="str">
        <f>IF(D240="","",IFERROR(VLOOKUP(D240,'Product Master'!$B:$G,3,FALSE),""))</f>
        <v/>
      </c>
      <c r="G240" s="51"/>
      <c r="H240" s="52" t="str">
        <f>IF(D240="","",VLOOKUP(D240,'Product Master'!$B:$F,5,FALSE))</f>
        <v/>
      </c>
      <c r="I240" s="52">
        <f>IFERROR(VLOOKUP(D240,'Product Master'!B:E,4,FALSE),0)</f>
        <v>0</v>
      </c>
      <c r="J240" s="53">
        <f>IFERROR(Table3[[#This Row],[QTY SOLD]]*Table3[[#This Row],[Selling Price]],0)</f>
        <v>0</v>
      </c>
      <c r="K240" s="50"/>
      <c r="L240" s="50">
        <f>Table3[[#This Row],[Total Sales]]-Table3[[#This Row],[Discount]]</f>
        <v>0</v>
      </c>
      <c r="M240" s="58">
        <f>Table3[[#This Row],[Net Sales]]-Table3[[#This Row],[Cost Price]]*Table3[[#This Row],[QTY SOLD]]</f>
        <v>0</v>
      </c>
      <c r="N240" s="25"/>
      <c r="O240" s="25"/>
      <c r="P240" s="25"/>
      <c r="Q240" s="25"/>
      <c r="R240" s="25"/>
      <c r="S240" s="25"/>
    </row>
    <row r="241" spans="1:19" x14ac:dyDescent="0.25">
      <c r="A241" s="65"/>
      <c r="B241" s="50"/>
      <c r="C241" s="50"/>
      <c r="D241" s="50"/>
      <c r="E241" s="50" t="str">
        <f>IF(D241="","",VLOOKUP(D241,'Product Master'!$B:$C,2,FALSE))</f>
        <v/>
      </c>
      <c r="F241" s="50" t="str">
        <f>IF(D241="","",IFERROR(VLOOKUP(D241,'Product Master'!$B:$G,3,FALSE),""))</f>
        <v/>
      </c>
      <c r="G241" s="51"/>
      <c r="H241" s="52" t="str">
        <f>IF(D241="","",VLOOKUP(D241,'Product Master'!$B:$F,5,FALSE))</f>
        <v/>
      </c>
      <c r="I241" s="52">
        <f>IFERROR(VLOOKUP(D241,'Product Master'!B:E,4,FALSE),0)</f>
        <v>0</v>
      </c>
      <c r="J241" s="53">
        <f>IFERROR(Table3[[#This Row],[QTY SOLD]]*Table3[[#This Row],[Selling Price]],0)</f>
        <v>0</v>
      </c>
      <c r="K241" s="50"/>
      <c r="L241" s="50">
        <f>Table3[[#This Row],[Total Sales]]-Table3[[#This Row],[Discount]]</f>
        <v>0</v>
      </c>
      <c r="M241" s="58">
        <f>Table3[[#This Row],[Net Sales]]-Table3[[#This Row],[Cost Price]]*Table3[[#This Row],[QTY SOLD]]</f>
        <v>0</v>
      </c>
      <c r="N241" s="25"/>
      <c r="O241" s="25"/>
      <c r="P241" s="25"/>
      <c r="Q241" s="25"/>
      <c r="R241" s="25"/>
      <c r="S241" s="25"/>
    </row>
    <row r="242" spans="1:19" x14ac:dyDescent="0.25">
      <c r="A242" s="65"/>
      <c r="B242" s="50"/>
      <c r="C242" s="50"/>
      <c r="D242" s="50"/>
      <c r="E242" s="50" t="str">
        <f>IF(D242="","",VLOOKUP(D242,'Product Master'!$B:$C,2,FALSE))</f>
        <v/>
      </c>
      <c r="F242" s="50" t="str">
        <f>IF(D242="","",IFERROR(VLOOKUP(D242,'Product Master'!$B:$G,3,FALSE),""))</f>
        <v/>
      </c>
      <c r="G242" s="51"/>
      <c r="H242" s="52" t="str">
        <f>IF(D242="","",VLOOKUP(D242,'Product Master'!$B:$F,5,FALSE))</f>
        <v/>
      </c>
      <c r="I242" s="52">
        <f>IFERROR(VLOOKUP(D242,'Product Master'!B:E,4,FALSE),0)</f>
        <v>0</v>
      </c>
      <c r="J242" s="53">
        <f>IFERROR(Table3[[#This Row],[QTY SOLD]]*Table3[[#This Row],[Selling Price]],0)</f>
        <v>0</v>
      </c>
      <c r="K242" s="50"/>
      <c r="L242" s="50">
        <f>Table3[[#This Row],[Total Sales]]-Table3[[#This Row],[Discount]]</f>
        <v>0</v>
      </c>
      <c r="M242" s="58">
        <f>Table3[[#This Row],[Net Sales]]-Table3[[#This Row],[Cost Price]]*Table3[[#This Row],[QTY SOLD]]</f>
        <v>0</v>
      </c>
      <c r="N242" s="25"/>
      <c r="O242" s="25"/>
      <c r="P242" s="25"/>
      <c r="Q242" s="25"/>
      <c r="R242" s="25"/>
      <c r="S242" s="25"/>
    </row>
    <row r="243" spans="1:19" x14ac:dyDescent="0.25">
      <c r="A243" s="65"/>
      <c r="B243" s="50"/>
      <c r="C243" s="50"/>
      <c r="D243" s="50"/>
      <c r="E243" s="50" t="str">
        <f>IF(D243="","",VLOOKUP(D243,'Product Master'!$B:$C,2,FALSE))</f>
        <v/>
      </c>
      <c r="F243" s="50" t="str">
        <f>IF(D243="","",IFERROR(VLOOKUP(D243,'Product Master'!$B:$G,3,FALSE),""))</f>
        <v/>
      </c>
      <c r="G243" s="51"/>
      <c r="H243" s="52" t="str">
        <f>IF(D243="","",VLOOKUP(D243,'Product Master'!$B:$F,5,FALSE))</f>
        <v/>
      </c>
      <c r="I243" s="52">
        <f>IFERROR(VLOOKUP(D243,'Product Master'!B:E,4,FALSE),0)</f>
        <v>0</v>
      </c>
      <c r="J243" s="53">
        <f>IFERROR(Table3[[#This Row],[QTY SOLD]]*Table3[[#This Row],[Selling Price]],0)</f>
        <v>0</v>
      </c>
      <c r="K243" s="50"/>
      <c r="L243" s="50">
        <f>Table3[[#This Row],[Total Sales]]-Table3[[#This Row],[Discount]]</f>
        <v>0</v>
      </c>
      <c r="M243" s="58">
        <f>Table3[[#This Row],[Net Sales]]-Table3[[#This Row],[Cost Price]]*Table3[[#This Row],[QTY SOLD]]</f>
        <v>0</v>
      </c>
      <c r="N243" s="25"/>
      <c r="O243" s="25"/>
      <c r="P243" s="25"/>
      <c r="Q243" s="25"/>
      <c r="R243" s="25"/>
      <c r="S243" s="25"/>
    </row>
    <row r="244" spans="1:19" x14ac:dyDescent="0.25">
      <c r="A244" s="65"/>
      <c r="B244" s="50"/>
      <c r="C244" s="50"/>
      <c r="D244" s="50"/>
      <c r="E244" s="50" t="str">
        <f>IF(D244="","",VLOOKUP(D244,'Product Master'!$B:$C,2,FALSE))</f>
        <v/>
      </c>
      <c r="F244" s="50" t="str">
        <f>IF(D244="","",IFERROR(VLOOKUP(D244,'Product Master'!$B:$G,3,FALSE),""))</f>
        <v/>
      </c>
      <c r="G244" s="51"/>
      <c r="H244" s="52" t="str">
        <f>IF(D244="","",VLOOKUP(D244,'Product Master'!$B:$F,5,FALSE))</f>
        <v/>
      </c>
      <c r="I244" s="52">
        <f>IFERROR(VLOOKUP(D244,'Product Master'!B:E,4,FALSE),0)</f>
        <v>0</v>
      </c>
      <c r="J244" s="53">
        <f>IFERROR(Table3[[#This Row],[QTY SOLD]]*Table3[[#This Row],[Selling Price]],0)</f>
        <v>0</v>
      </c>
      <c r="K244" s="50"/>
      <c r="L244" s="50">
        <f>Table3[[#This Row],[Total Sales]]-Table3[[#This Row],[Discount]]</f>
        <v>0</v>
      </c>
      <c r="M244" s="58">
        <f>Table3[[#This Row],[Net Sales]]-Table3[[#This Row],[Cost Price]]*Table3[[#This Row],[QTY SOLD]]</f>
        <v>0</v>
      </c>
      <c r="N244" s="25"/>
      <c r="O244" s="25"/>
      <c r="P244" s="25"/>
      <c r="Q244" s="25"/>
      <c r="R244" s="25"/>
      <c r="S244" s="25"/>
    </row>
    <row r="245" spans="1:19" x14ac:dyDescent="0.25">
      <c r="A245" s="65"/>
      <c r="B245" s="50"/>
      <c r="C245" s="50"/>
      <c r="D245" s="50"/>
      <c r="E245" s="50" t="str">
        <f>IF(D245="","",VLOOKUP(D245,'Product Master'!$B:$C,2,FALSE))</f>
        <v/>
      </c>
      <c r="F245" s="50" t="str">
        <f>IF(D245="","",IFERROR(VLOOKUP(D245,'Product Master'!$B:$G,3,FALSE),""))</f>
        <v/>
      </c>
      <c r="G245" s="51"/>
      <c r="H245" s="52" t="str">
        <f>IF(D245="","",VLOOKUP(D245,'Product Master'!$B:$F,5,FALSE))</f>
        <v/>
      </c>
      <c r="I245" s="52">
        <f>IFERROR(VLOOKUP(D245,'Product Master'!B:E,4,FALSE),0)</f>
        <v>0</v>
      </c>
      <c r="J245" s="53">
        <f>IFERROR(Table3[[#This Row],[QTY SOLD]]*Table3[[#This Row],[Selling Price]],0)</f>
        <v>0</v>
      </c>
      <c r="K245" s="50"/>
      <c r="L245" s="50">
        <f>Table3[[#This Row],[Total Sales]]-Table3[[#This Row],[Discount]]</f>
        <v>0</v>
      </c>
      <c r="M245" s="58">
        <f>Table3[[#This Row],[Net Sales]]-Table3[[#This Row],[Cost Price]]*Table3[[#This Row],[QTY SOLD]]</f>
        <v>0</v>
      </c>
      <c r="N245" s="25"/>
      <c r="O245" s="25"/>
      <c r="P245" s="25"/>
      <c r="Q245" s="25"/>
      <c r="R245" s="25"/>
      <c r="S245" s="25"/>
    </row>
    <row r="246" spans="1:19" x14ac:dyDescent="0.25">
      <c r="A246" s="65"/>
      <c r="B246" s="50"/>
      <c r="C246" s="50"/>
      <c r="D246" s="50"/>
      <c r="E246" s="50" t="str">
        <f>IF(D246="","",VLOOKUP(D246,'Product Master'!$B:$C,2,FALSE))</f>
        <v/>
      </c>
      <c r="F246" s="50" t="str">
        <f>IF(D246="","",IFERROR(VLOOKUP(D246,'Product Master'!$B:$G,3,FALSE),""))</f>
        <v/>
      </c>
      <c r="G246" s="51"/>
      <c r="H246" s="52" t="str">
        <f>IF(D246="","",VLOOKUP(D246,'Product Master'!$B:$F,5,FALSE))</f>
        <v/>
      </c>
      <c r="I246" s="52">
        <f>IFERROR(VLOOKUP(D246,'Product Master'!B:E,4,FALSE),0)</f>
        <v>0</v>
      </c>
      <c r="J246" s="53">
        <f>IFERROR(Table3[[#This Row],[QTY SOLD]]*Table3[[#This Row],[Selling Price]],0)</f>
        <v>0</v>
      </c>
      <c r="K246" s="50"/>
      <c r="L246" s="50">
        <f>Table3[[#This Row],[Total Sales]]-Table3[[#This Row],[Discount]]</f>
        <v>0</v>
      </c>
      <c r="M246" s="58">
        <f>Table3[[#This Row],[Net Sales]]-Table3[[#This Row],[Cost Price]]*Table3[[#This Row],[QTY SOLD]]</f>
        <v>0</v>
      </c>
      <c r="N246" s="25"/>
      <c r="O246" s="25"/>
      <c r="P246" s="25"/>
      <c r="Q246" s="25"/>
      <c r="R246" s="25"/>
      <c r="S246" s="25"/>
    </row>
    <row r="247" spans="1:19" x14ac:dyDescent="0.25">
      <c r="A247" s="65"/>
      <c r="B247" s="50"/>
      <c r="C247" s="50"/>
      <c r="D247" s="50"/>
      <c r="E247" s="50" t="str">
        <f>IF(D247="","",VLOOKUP(D247,'Product Master'!$B:$C,2,FALSE))</f>
        <v/>
      </c>
      <c r="F247" s="50" t="str">
        <f>IF(D247="","",IFERROR(VLOOKUP(D247,'Product Master'!$B:$G,3,FALSE),""))</f>
        <v/>
      </c>
      <c r="G247" s="51"/>
      <c r="H247" s="52" t="str">
        <f>IF(D247="","",VLOOKUP(D247,'Product Master'!$B:$F,5,FALSE))</f>
        <v/>
      </c>
      <c r="I247" s="52">
        <f>IFERROR(VLOOKUP(D247,'Product Master'!B:E,4,FALSE),0)</f>
        <v>0</v>
      </c>
      <c r="J247" s="53">
        <f>IFERROR(Table3[[#This Row],[QTY SOLD]]*Table3[[#This Row],[Selling Price]],0)</f>
        <v>0</v>
      </c>
      <c r="K247" s="50"/>
      <c r="L247" s="50">
        <f>Table3[[#This Row],[Total Sales]]-Table3[[#This Row],[Discount]]</f>
        <v>0</v>
      </c>
      <c r="M247" s="58">
        <f>Table3[[#This Row],[Net Sales]]-Table3[[#This Row],[Cost Price]]*Table3[[#This Row],[QTY SOLD]]</f>
        <v>0</v>
      </c>
      <c r="N247" s="25"/>
      <c r="O247" s="25"/>
      <c r="P247" s="25"/>
      <c r="Q247" s="25"/>
      <c r="R247" s="25"/>
      <c r="S247" s="25"/>
    </row>
    <row r="248" spans="1:19" x14ac:dyDescent="0.25">
      <c r="A248" s="65"/>
      <c r="B248" s="50"/>
      <c r="C248" s="50"/>
      <c r="D248" s="50"/>
      <c r="E248" s="50" t="str">
        <f>IF(D248="","",VLOOKUP(D248,'Product Master'!$B:$C,2,FALSE))</f>
        <v/>
      </c>
      <c r="F248" s="50" t="str">
        <f>IF(D248="","",IFERROR(VLOOKUP(D248,'Product Master'!$B:$G,3,FALSE),""))</f>
        <v/>
      </c>
      <c r="G248" s="51"/>
      <c r="H248" s="52" t="str">
        <f>IF(D248="","",VLOOKUP(D248,'Product Master'!$B:$F,5,FALSE))</f>
        <v/>
      </c>
      <c r="I248" s="52">
        <f>IFERROR(VLOOKUP(D248,'Product Master'!B:E,4,FALSE),0)</f>
        <v>0</v>
      </c>
      <c r="J248" s="53">
        <f>IFERROR(Table3[[#This Row],[QTY SOLD]]*Table3[[#This Row],[Selling Price]],0)</f>
        <v>0</v>
      </c>
      <c r="K248" s="50"/>
      <c r="L248" s="50">
        <f>Table3[[#This Row],[Total Sales]]-Table3[[#This Row],[Discount]]</f>
        <v>0</v>
      </c>
      <c r="M248" s="58">
        <f>Table3[[#This Row],[Net Sales]]-Table3[[#This Row],[Cost Price]]*Table3[[#This Row],[QTY SOLD]]</f>
        <v>0</v>
      </c>
      <c r="N248" s="25"/>
      <c r="O248" s="25"/>
      <c r="P248" s="25"/>
      <c r="Q248" s="25"/>
      <c r="R248" s="25"/>
      <c r="S248" s="25"/>
    </row>
    <row r="249" spans="1:19" x14ac:dyDescent="0.25">
      <c r="A249" s="65"/>
      <c r="B249" s="50"/>
      <c r="C249" s="50"/>
      <c r="D249" s="50"/>
      <c r="E249" s="50" t="str">
        <f>IF(D249="","",VLOOKUP(D249,'Product Master'!$B:$C,2,FALSE))</f>
        <v/>
      </c>
      <c r="F249" s="50" t="str">
        <f>IF(D249="","",IFERROR(VLOOKUP(D249,'Product Master'!$B:$G,3,FALSE),""))</f>
        <v/>
      </c>
      <c r="G249" s="51"/>
      <c r="H249" s="52" t="str">
        <f>IF(D249="","",VLOOKUP(D249,'Product Master'!$B:$F,5,FALSE))</f>
        <v/>
      </c>
      <c r="I249" s="52">
        <f>IFERROR(VLOOKUP(D249,'Product Master'!B:E,4,FALSE),0)</f>
        <v>0</v>
      </c>
      <c r="J249" s="53">
        <f>IFERROR(Table3[[#This Row],[QTY SOLD]]*Table3[[#This Row],[Selling Price]],0)</f>
        <v>0</v>
      </c>
      <c r="K249" s="50"/>
      <c r="L249" s="50">
        <f>Table3[[#This Row],[Total Sales]]-Table3[[#This Row],[Discount]]</f>
        <v>0</v>
      </c>
      <c r="M249" s="58">
        <f>Table3[[#This Row],[Net Sales]]-Table3[[#This Row],[Cost Price]]*Table3[[#This Row],[QTY SOLD]]</f>
        <v>0</v>
      </c>
      <c r="N249" s="25"/>
      <c r="O249" s="25"/>
      <c r="P249" s="25"/>
      <c r="Q249" s="25"/>
      <c r="R249" s="25"/>
      <c r="S249" s="25"/>
    </row>
    <row r="250" spans="1:19" x14ac:dyDescent="0.25">
      <c r="A250" s="65"/>
      <c r="B250" s="50"/>
      <c r="C250" s="50"/>
      <c r="D250" s="50"/>
      <c r="E250" s="50" t="str">
        <f>IF(D250="","",VLOOKUP(D250,'Product Master'!$B:$C,2,FALSE))</f>
        <v/>
      </c>
      <c r="F250" s="50" t="str">
        <f>IF(D250="","",IFERROR(VLOOKUP(D250,'Product Master'!$B:$G,3,FALSE),""))</f>
        <v/>
      </c>
      <c r="G250" s="51"/>
      <c r="H250" s="52" t="str">
        <f>IF(D250="","",VLOOKUP(D250,'Product Master'!$B:$F,5,FALSE))</f>
        <v/>
      </c>
      <c r="I250" s="52">
        <f>IFERROR(VLOOKUP(D250,'Product Master'!B:E,4,FALSE),0)</f>
        <v>0</v>
      </c>
      <c r="J250" s="53">
        <f>IFERROR(Table3[[#This Row],[QTY SOLD]]*Table3[[#This Row],[Selling Price]],0)</f>
        <v>0</v>
      </c>
      <c r="K250" s="50"/>
      <c r="L250" s="50">
        <f>Table3[[#This Row],[Total Sales]]-Table3[[#This Row],[Discount]]</f>
        <v>0</v>
      </c>
      <c r="M250" s="58">
        <f>Table3[[#This Row],[Net Sales]]-Table3[[#This Row],[Cost Price]]*Table3[[#This Row],[QTY SOLD]]</f>
        <v>0</v>
      </c>
      <c r="N250" s="25"/>
      <c r="O250" s="25"/>
      <c r="P250" s="25"/>
      <c r="Q250" s="25"/>
      <c r="R250" s="25"/>
      <c r="S250" s="25"/>
    </row>
    <row r="251" spans="1:19" x14ac:dyDescent="0.25">
      <c r="A251" s="65"/>
      <c r="B251" s="50"/>
      <c r="C251" s="50"/>
      <c r="D251" s="50"/>
      <c r="E251" s="50" t="str">
        <f>IF(D251="","",VLOOKUP(D251,'Product Master'!$B:$C,2,FALSE))</f>
        <v/>
      </c>
      <c r="F251" s="50" t="str">
        <f>IF(D251="","",IFERROR(VLOOKUP(D251,'Product Master'!$B:$G,3,FALSE),""))</f>
        <v/>
      </c>
      <c r="G251" s="51"/>
      <c r="H251" s="52" t="str">
        <f>IF(D251="","",VLOOKUP(D251,'Product Master'!$B:$F,5,FALSE))</f>
        <v/>
      </c>
      <c r="I251" s="52">
        <f>IFERROR(VLOOKUP(D251,'Product Master'!B:E,4,FALSE),0)</f>
        <v>0</v>
      </c>
      <c r="J251" s="53">
        <f>IFERROR(Table3[[#This Row],[QTY SOLD]]*Table3[[#This Row],[Selling Price]],0)</f>
        <v>0</v>
      </c>
      <c r="K251" s="50"/>
      <c r="L251" s="50">
        <f>Table3[[#This Row],[Total Sales]]-Table3[[#This Row],[Discount]]</f>
        <v>0</v>
      </c>
      <c r="M251" s="58">
        <f>Table3[[#This Row],[Net Sales]]-Table3[[#This Row],[Cost Price]]*Table3[[#This Row],[QTY SOLD]]</f>
        <v>0</v>
      </c>
      <c r="N251" s="25"/>
      <c r="O251" s="25"/>
      <c r="P251" s="25"/>
      <c r="Q251" s="25"/>
      <c r="R251" s="25"/>
      <c r="S251" s="25"/>
    </row>
    <row r="252" spans="1:19" x14ac:dyDescent="0.25">
      <c r="A252" s="65"/>
      <c r="B252" s="50"/>
      <c r="C252" s="50"/>
      <c r="D252" s="50"/>
      <c r="E252" s="50" t="str">
        <f>IF(D252="","",VLOOKUP(D252,'Product Master'!$B:$C,2,FALSE))</f>
        <v/>
      </c>
      <c r="F252" s="50" t="str">
        <f>IF(D252="","",IFERROR(VLOOKUP(D252,'Product Master'!$B:$G,3,FALSE),""))</f>
        <v/>
      </c>
      <c r="G252" s="51"/>
      <c r="H252" s="52" t="str">
        <f>IF(D252="","",VLOOKUP(D252,'Product Master'!$B:$F,5,FALSE))</f>
        <v/>
      </c>
      <c r="I252" s="52">
        <f>IFERROR(VLOOKUP(D252,'Product Master'!B:E,4,FALSE),0)</f>
        <v>0</v>
      </c>
      <c r="J252" s="53">
        <f>IFERROR(Table3[[#This Row],[QTY SOLD]]*Table3[[#This Row],[Selling Price]],0)</f>
        <v>0</v>
      </c>
      <c r="K252" s="50"/>
      <c r="L252" s="50">
        <f>Table3[[#This Row],[Total Sales]]-Table3[[#This Row],[Discount]]</f>
        <v>0</v>
      </c>
      <c r="M252" s="58">
        <f>Table3[[#This Row],[Net Sales]]-Table3[[#This Row],[Cost Price]]*Table3[[#This Row],[QTY SOLD]]</f>
        <v>0</v>
      </c>
      <c r="N252" s="25"/>
      <c r="O252" s="25"/>
      <c r="P252" s="25"/>
      <c r="Q252" s="25"/>
      <c r="R252" s="25"/>
      <c r="S252" s="25"/>
    </row>
    <row r="253" spans="1:19" x14ac:dyDescent="0.25">
      <c r="A253" s="65"/>
      <c r="B253" s="50"/>
      <c r="C253" s="50"/>
      <c r="D253" s="50"/>
      <c r="E253" s="50" t="str">
        <f>IF(D253="","",VLOOKUP(D253,'Product Master'!$B:$C,2,FALSE))</f>
        <v/>
      </c>
      <c r="F253" s="50" t="str">
        <f>IF(D253="","",IFERROR(VLOOKUP(D253,'Product Master'!$B:$G,3,FALSE),""))</f>
        <v/>
      </c>
      <c r="G253" s="51"/>
      <c r="H253" s="52" t="str">
        <f>IF(D253="","",VLOOKUP(D253,'Product Master'!$B:$F,5,FALSE))</f>
        <v/>
      </c>
      <c r="I253" s="52">
        <f>IFERROR(VLOOKUP(D253,'Product Master'!B:E,4,FALSE),0)</f>
        <v>0</v>
      </c>
      <c r="J253" s="53">
        <f>IFERROR(Table3[[#This Row],[QTY SOLD]]*Table3[[#This Row],[Selling Price]],0)</f>
        <v>0</v>
      </c>
      <c r="K253" s="50"/>
      <c r="L253" s="50">
        <f>Table3[[#This Row],[Total Sales]]-Table3[[#This Row],[Discount]]</f>
        <v>0</v>
      </c>
      <c r="M253" s="58">
        <f>Table3[[#This Row],[Net Sales]]-Table3[[#This Row],[Cost Price]]*Table3[[#This Row],[QTY SOLD]]</f>
        <v>0</v>
      </c>
      <c r="N253" s="25"/>
      <c r="O253" s="25"/>
      <c r="P253" s="25"/>
      <c r="Q253" s="25"/>
      <c r="R253" s="25"/>
      <c r="S253" s="25"/>
    </row>
    <row r="254" spans="1:19" x14ac:dyDescent="0.25">
      <c r="A254" s="65"/>
      <c r="B254" s="50"/>
      <c r="C254" s="50"/>
      <c r="D254" s="50"/>
      <c r="E254" s="50" t="str">
        <f>IF(D254="","",VLOOKUP(D254,'Product Master'!$B:$C,2,FALSE))</f>
        <v/>
      </c>
      <c r="F254" s="50" t="str">
        <f>IF(D254="","",IFERROR(VLOOKUP(D254,'Product Master'!$B:$G,3,FALSE),""))</f>
        <v/>
      </c>
      <c r="G254" s="51"/>
      <c r="H254" s="52" t="str">
        <f>IF(D254="","",VLOOKUP(D254,'Product Master'!$B:$F,5,FALSE))</f>
        <v/>
      </c>
      <c r="I254" s="52">
        <f>IFERROR(VLOOKUP(D254,'Product Master'!B:E,4,FALSE),0)</f>
        <v>0</v>
      </c>
      <c r="J254" s="53">
        <f>IFERROR(Table3[[#This Row],[QTY SOLD]]*Table3[[#This Row],[Selling Price]],0)</f>
        <v>0</v>
      </c>
      <c r="K254" s="50"/>
      <c r="L254" s="50">
        <f>Table3[[#This Row],[Total Sales]]-Table3[[#This Row],[Discount]]</f>
        <v>0</v>
      </c>
      <c r="M254" s="58">
        <f>Table3[[#This Row],[Net Sales]]-Table3[[#This Row],[Cost Price]]*Table3[[#This Row],[QTY SOLD]]</f>
        <v>0</v>
      </c>
      <c r="N254" s="25"/>
      <c r="O254" s="25"/>
      <c r="P254" s="25"/>
      <c r="Q254" s="25"/>
      <c r="R254" s="25"/>
      <c r="S254" s="25"/>
    </row>
    <row r="255" spans="1:19" x14ac:dyDescent="0.25">
      <c r="A255" s="65"/>
      <c r="B255" s="50"/>
      <c r="C255" s="50"/>
      <c r="D255" s="50"/>
      <c r="E255" s="50" t="str">
        <f>IF(D255="","",VLOOKUP(D255,'Product Master'!$B:$C,2,FALSE))</f>
        <v/>
      </c>
      <c r="F255" s="50" t="str">
        <f>IF(D255="","",IFERROR(VLOOKUP(D255,'Product Master'!$B:$G,3,FALSE),""))</f>
        <v/>
      </c>
      <c r="G255" s="51"/>
      <c r="H255" s="52" t="str">
        <f>IF(D255="","",VLOOKUP(D255,'Product Master'!$B:$F,5,FALSE))</f>
        <v/>
      </c>
      <c r="I255" s="52">
        <f>IFERROR(VLOOKUP(D255,'Product Master'!B:E,4,FALSE),0)</f>
        <v>0</v>
      </c>
      <c r="J255" s="53">
        <f>IFERROR(Table3[[#This Row],[QTY SOLD]]*Table3[[#This Row],[Selling Price]],0)</f>
        <v>0</v>
      </c>
      <c r="K255" s="50"/>
      <c r="L255" s="50">
        <f>Table3[[#This Row],[Total Sales]]-Table3[[#This Row],[Discount]]</f>
        <v>0</v>
      </c>
      <c r="M255" s="58">
        <f>Table3[[#This Row],[Net Sales]]-Table3[[#This Row],[Cost Price]]*Table3[[#This Row],[QTY SOLD]]</f>
        <v>0</v>
      </c>
      <c r="N255" s="25"/>
      <c r="O255" s="25"/>
      <c r="P255" s="25"/>
      <c r="Q255" s="25"/>
      <c r="R255" s="25"/>
      <c r="S255" s="25"/>
    </row>
    <row r="256" spans="1:19" x14ac:dyDescent="0.25">
      <c r="A256" s="65"/>
      <c r="B256" s="50"/>
      <c r="C256" s="50"/>
      <c r="D256" s="50"/>
      <c r="E256" s="50" t="str">
        <f>IF(D256="","",VLOOKUP(D256,'Product Master'!$B:$C,2,FALSE))</f>
        <v/>
      </c>
      <c r="F256" s="50" t="str">
        <f>IF(D256="","",IFERROR(VLOOKUP(D256,'Product Master'!$B:$G,3,FALSE),""))</f>
        <v/>
      </c>
      <c r="G256" s="51"/>
      <c r="H256" s="52" t="str">
        <f>IF(D256="","",VLOOKUP(D256,'Product Master'!$B:$F,5,FALSE))</f>
        <v/>
      </c>
      <c r="I256" s="52">
        <f>IFERROR(VLOOKUP(D256,'Product Master'!B:E,4,FALSE),0)</f>
        <v>0</v>
      </c>
      <c r="J256" s="53">
        <f>IFERROR(Table3[[#This Row],[QTY SOLD]]*Table3[[#This Row],[Selling Price]],0)</f>
        <v>0</v>
      </c>
      <c r="K256" s="50"/>
      <c r="L256" s="50">
        <f>Table3[[#This Row],[Total Sales]]-Table3[[#This Row],[Discount]]</f>
        <v>0</v>
      </c>
      <c r="M256" s="58">
        <f>Table3[[#This Row],[Net Sales]]-Table3[[#This Row],[Cost Price]]*Table3[[#This Row],[QTY SOLD]]</f>
        <v>0</v>
      </c>
      <c r="N256" s="25"/>
      <c r="O256" s="25"/>
      <c r="P256" s="25"/>
      <c r="Q256" s="25"/>
      <c r="R256" s="25"/>
      <c r="S256" s="25"/>
    </row>
    <row r="257" spans="1:19" x14ac:dyDescent="0.25">
      <c r="A257" s="65"/>
      <c r="B257" s="50"/>
      <c r="C257" s="50"/>
      <c r="D257" s="50"/>
      <c r="E257" s="50" t="str">
        <f>IF(D257="","",VLOOKUP(D257,'Product Master'!$B:$C,2,FALSE))</f>
        <v/>
      </c>
      <c r="F257" s="50" t="str">
        <f>IF(D257="","",IFERROR(VLOOKUP(D257,'Product Master'!$B:$G,3,FALSE),""))</f>
        <v/>
      </c>
      <c r="G257" s="51"/>
      <c r="H257" s="52" t="str">
        <f>IF(D257="","",VLOOKUP(D257,'Product Master'!$B:$F,5,FALSE))</f>
        <v/>
      </c>
      <c r="I257" s="52">
        <f>IFERROR(VLOOKUP(D257,'Product Master'!B:E,4,FALSE),0)</f>
        <v>0</v>
      </c>
      <c r="J257" s="53">
        <f>IFERROR(Table3[[#This Row],[QTY SOLD]]*Table3[[#This Row],[Selling Price]],0)</f>
        <v>0</v>
      </c>
      <c r="K257" s="50"/>
      <c r="L257" s="50">
        <f>Table3[[#This Row],[Total Sales]]-Table3[[#This Row],[Discount]]</f>
        <v>0</v>
      </c>
      <c r="M257" s="58">
        <f>Table3[[#This Row],[Net Sales]]-Table3[[#This Row],[Cost Price]]*Table3[[#This Row],[QTY SOLD]]</f>
        <v>0</v>
      </c>
      <c r="N257" s="25"/>
      <c r="O257" s="25"/>
      <c r="P257" s="25"/>
      <c r="Q257" s="25"/>
      <c r="R257" s="25"/>
      <c r="S257" s="25"/>
    </row>
    <row r="258" spans="1:19" x14ac:dyDescent="0.25">
      <c r="A258" s="65"/>
      <c r="B258" s="50"/>
      <c r="C258" s="50"/>
      <c r="D258" s="50"/>
      <c r="E258" s="50" t="str">
        <f>IF(D258="","",VLOOKUP(D258,'Product Master'!$B:$C,2,FALSE))</f>
        <v/>
      </c>
      <c r="F258" s="50" t="str">
        <f>IF(D258="","",IFERROR(VLOOKUP(D258,'Product Master'!$B:$G,3,FALSE),""))</f>
        <v/>
      </c>
      <c r="G258" s="51"/>
      <c r="H258" s="52" t="str">
        <f>IF(D258="","",VLOOKUP(D258,'Product Master'!$B:$F,5,FALSE))</f>
        <v/>
      </c>
      <c r="I258" s="52">
        <f>IFERROR(VLOOKUP(D258,'Product Master'!B:E,4,FALSE),0)</f>
        <v>0</v>
      </c>
      <c r="J258" s="53">
        <f>IFERROR(Table3[[#This Row],[QTY SOLD]]*Table3[[#This Row],[Selling Price]],0)</f>
        <v>0</v>
      </c>
      <c r="K258" s="50"/>
      <c r="L258" s="50">
        <f>Table3[[#This Row],[Total Sales]]-Table3[[#This Row],[Discount]]</f>
        <v>0</v>
      </c>
      <c r="M258" s="58">
        <f>Table3[[#This Row],[Net Sales]]-Table3[[#This Row],[Cost Price]]*Table3[[#This Row],[QTY SOLD]]</f>
        <v>0</v>
      </c>
      <c r="N258" s="25"/>
      <c r="O258" s="25"/>
      <c r="P258" s="25"/>
      <c r="Q258" s="25"/>
      <c r="R258" s="25"/>
      <c r="S258" s="25"/>
    </row>
    <row r="259" spans="1:19" x14ac:dyDescent="0.25">
      <c r="A259" s="65"/>
      <c r="B259" s="50"/>
      <c r="C259" s="50"/>
      <c r="D259" s="50"/>
      <c r="E259" s="50" t="str">
        <f>IF(D259="","",VLOOKUP(D259,'Product Master'!$B:$C,2,FALSE))</f>
        <v/>
      </c>
      <c r="F259" s="50" t="str">
        <f>IF(D259="","",IFERROR(VLOOKUP(D259,'Product Master'!$B:$G,3,FALSE),""))</f>
        <v/>
      </c>
      <c r="G259" s="51"/>
      <c r="H259" s="52" t="str">
        <f>IF(D259="","",VLOOKUP(D259,'Product Master'!$B:$F,5,FALSE))</f>
        <v/>
      </c>
      <c r="I259" s="52">
        <f>IFERROR(VLOOKUP(D259,'Product Master'!B:E,4,FALSE),0)</f>
        <v>0</v>
      </c>
      <c r="J259" s="53">
        <f>IFERROR(Table3[[#This Row],[QTY SOLD]]*Table3[[#This Row],[Selling Price]],0)</f>
        <v>0</v>
      </c>
      <c r="K259" s="50"/>
      <c r="L259" s="50">
        <f>Table3[[#This Row],[Total Sales]]-Table3[[#This Row],[Discount]]</f>
        <v>0</v>
      </c>
      <c r="M259" s="58">
        <f>Table3[[#This Row],[Net Sales]]-Table3[[#This Row],[Cost Price]]*Table3[[#This Row],[QTY SOLD]]</f>
        <v>0</v>
      </c>
      <c r="N259" s="25"/>
      <c r="O259" s="25"/>
      <c r="P259" s="25"/>
      <c r="Q259" s="25"/>
      <c r="R259" s="25"/>
      <c r="S259" s="25"/>
    </row>
    <row r="260" spans="1:19" x14ac:dyDescent="0.25">
      <c r="A260" s="65"/>
      <c r="B260" s="50"/>
      <c r="C260" s="50"/>
      <c r="D260" s="50"/>
      <c r="E260" s="50" t="str">
        <f>IF(D260="","",VLOOKUP(D260,'Product Master'!$B:$C,2,FALSE))</f>
        <v/>
      </c>
      <c r="F260" s="50" t="str">
        <f>IF(D260="","",IFERROR(VLOOKUP(D260,'Product Master'!$B:$G,3,FALSE),""))</f>
        <v/>
      </c>
      <c r="G260" s="51"/>
      <c r="H260" s="52" t="str">
        <f>IF(D260="","",VLOOKUP(D260,'Product Master'!$B:$F,5,FALSE))</f>
        <v/>
      </c>
      <c r="I260" s="52">
        <f>IFERROR(VLOOKUP(D260,'Product Master'!B:E,4,FALSE),0)</f>
        <v>0</v>
      </c>
      <c r="J260" s="53">
        <f>IFERROR(Table3[[#This Row],[QTY SOLD]]*Table3[[#This Row],[Selling Price]],0)</f>
        <v>0</v>
      </c>
      <c r="K260" s="50"/>
      <c r="L260" s="50">
        <f>Table3[[#This Row],[Total Sales]]-Table3[[#This Row],[Discount]]</f>
        <v>0</v>
      </c>
      <c r="M260" s="58">
        <f>Table3[[#This Row],[Net Sales]]-Table3[[#This Row],[Cost Price]]*Table3[[#This Row],[QTY SOLD]]</f>
        <v>0</v>
      </c>
      <c r="N260" s="25"/>
      <c r="O260" s="25"/>
      <c r="P260" s="25"/>
      <c r="Q260" s="25"/>
      <c r="R260" s="25"/>
      <c r="S260" s="25"/>
    </row>
    <row r="261" spans="1:19" x14ac:dyDescent="0.25">
      <c r="A261" s="65"/>
      <c r="B261" s="50"/>
      <c r="C261" s="50"/>
      <c r="D261" s="50"/>
      <c r="E261" s="50" t="str">
        <f>IF(D261="","",VLOOKUP(D261,'Product Master'!$B:$C,2,FALSE))</f>
        <v/>
      </c>
      <c r="F261" s="50" t="str">
        <f>IF(D261="","",IFERROR(VLOOKUP(D261,'Product Master'!$B:$G,3,FALSE),""))</f>
        <v/>
      </c>
      <c r="G261" s="51"/>
      <c r="H261" s="52" t="str">
        <f>IF(D261="","",VLOOKUP(D261,'Product Master'!$B:$F,5,FALSE))</f>
        <v/>
      </c>
      <c r="I261" s="52">
        <f>IFERROR(VLOOKUP(D261,'Product Master'!B:E,4,FALSE),0)</f>
        <v>0</v>
      </c>
      <c r="J261" s="53">
        <f>IFERROR(Table3[[#This Row],[QTY SOLD]]*Table3[[#This Row],[Selling Price]],0)</f>
        <v>0</v>
      </c>
      <c r="K261" s="50"/>
      <c r="L261" s="50">
        <f>Table3[[#This Row],[Total Sales]]-Table3[[#This Row],[Discount]]</f>
        <v>0</v>
      </c>
      <c r="M261" s="58">
        <f>Table3[[#This Row],[Net Sales]]-Table3[[#This Row],[Cost Price]]*Table3[[#This Row],[QTY SOLD]]</f>
        <v>0</v>
      </c>
      <c r="N261" s="25"/>
      <c r="O261" s="25"/>
      <c r="P261" s="25"/>
      <c r="Q261" s="25"/>
      <c r="R261" s="25"/>
      <c r="S261" s="25"/>
    </row>
    <row r="262" spans="1:19" x14ac:dyDescent="0.25">
      <c r="A262" s="65"/>
      <c r="B262" s="50"/>
      <c r="C262" s="50"/>
      <c r="D262" s="50"/>
      <c r="E262" s="50" t="str">
        <f>IF(D262="","",VLOOKUP(D262,'Product Master'!$B:$C,2,FALSE))</f>
        <v/>
      </c>
      <c r="F262" s="50" t="str">
        <f>IF(D262="","",IFERROR(VLOOKUP(D262,'Product Master'!$B:$G,3,FALSE),""))</f>
        <v/>
      </c>
      <c r="G262" s="51"/>
      <c r="H262" s="52" t="str">
        <f>IF(D262="","",VLOOKUP(D262,'Product Master'!$B:$F,5,FALSE))</f>
        <v/>
      </c>
      <c r="I262" s="52">
        <f>IFERROR(VLOOKUP(D262,'Product Master'!B:E,4,FALSE),0)</f>
        <v>0</v>
      </c>
      <c r="J262" s="53">
        <f>IFERROR(Table3[[#This Row],[QTY SOLD]]*Table3[[#This Row],[Selling Price]],0)</f>
        <v>0</v>
      </c>
      <c r="K262" s="50"/>
      <c r="L262" s="50">
        <f>Table3[[#This Row],[Total Sales]]-Table3[[#This Row],[Discount]]</f>
        <v>0</v>
      </c>
      <c r="M262" s="58">
        <f>Table3[[#This Row],[Net Sales]]-Table3[[#This Row],[Cost Price]]*Table3[[#This Row],[QTY SOLD]]</f>
        <v>0</v>
      </c>
      <c r="N262" s="25"/>
      <c r="O262" s="25"/>
      <c r="P262" s="25"/>
      <c r="Q262" s="25"/>
      <c r="R262" s="25"/>
      <c r="S262" s="25"/>
    </row>
    <row r="263" spans="1:19" x14ac:dyDescent="0.25">
      <c r="A263" s="65"/>
      <c r="B263" s="50"/>
      <c r="C263" s="50"/>
      <c r="D263" s="50"/>
      <c r="E263" s="50" t="str">
        <f>IF(D263="","",VLOOKUP(D263,'Product Master'!$B:$C,2,FALSE))</f>
        <v/>
      </c>
      <c r="F263" s="50" t="str">
        <f>IF(D263="","",IFERROR(VLOOKUP(D263,'Product Master'!$B:$G,3,FALSE),""))</f>
        <v/>
      </c>
      <c r="G263" s="51"/>
      <c r="H263" s="52" t="str">
        <f>IF(D263="","",VLOOKUP(D263,'Product Master'!$B:$F,5,FALSE))</f>
        <v/>
      </c>
      <c r="I263" s="52">
        <f>IFERROR(VLOOKUP(D263,'Product Master'!B:E,4,FALSE),0)</f>
        <v>0</v>
      </c>
      <c r="J263" s="53">
        <f>IFERROR(Table3[[#This Row],[QTY SOLD]]*Table3[[#This Row],[Selling Price]],0)</f>
        <v>0</v>
      </c>
      <c r="K263" s="50"/>
      <c r="L263" s="50">
        <f>Table3[[#This Row],[Total Sales]]-Table3[[#This Row],[Discount]]</f>
        <v>0</v>
      </c>
      <c r="M263" s="58">
        <f>Table3[[#This Row],[Net Sales]]-Table3[[#This Row],[Cost Price]]*Table3[[#This Row],[QTY SOLD]]</f>
        <v>0</v>
      </c>
      <c r="N263" s="25"/>
      <c r="O263" s="25"/>
      <c r="P263" s="25"/>
      <c r="Q263" s="25"/>
      <c r="R263" s="25"/>
      <c r="S263" s="25"/>
    </row>
    <row r="264" spans="1:19" x14ac:dyDescent="0.25">
      <c r="A264" s="65"/>
      <c r="B264" s="50"/>
      <c r="C264" s="50"/>
      <c r="D264" s="50"/>
      <c r="E264" s="50" t="str">
        <f>IF(D264="","",VLOOKUP(D264,'Product Master'!$B:$C,2,FALSE))</f>
        <v/>
      </c>
      <c r="F264" s="50" t="str">
        <f>IF(D264="","",IFERROR(VLOOKUP(D264,'Product Master'!$B:$G,3,FALSE),""))</f>
        <v/>
      </c>
      <c r="G264" s="51"/>
      <c r="H264" s="52" t="str">
        <f>IF(D264="","",VLOOKUP(D264,'Product Master'!$B:$F,5,FALSE))</f>
        <v/>
      </c>
      <c r="I264" s="52">
        <f>IFERROR(VLOOKUP(D264,'Product Master'!B:E,4,FALSE),0)</f>
        <v>0</v>
      </c>
      <c r="J264" s="53">
        <f>IFERROR(Table3[[#This Row],[QTY SOLD]]*Table3[[#This Row],[Selling Price]],0)</f>
        <v>0</v>
      </c>
      <c r="K264" s="50"/>
      <c r="L264" s="50">
        <f>Table3[[#This Row],[Total Sales]]-Table3[[#This Row],[Discount]]</f>
        <v>0</v>
      </c>
      <c r="M264" s="58">
        <f>Table3[[#This Row],[Net Sales]]-Table3[[#This Row],[Cost Price]]*Table3[[#This Row],[QTY SOLD]]</f>
        <v>0</v>
      </c>
      <c r="N264" s="25"/>
      <c r="O264" s="25"/>
      <c r="P264" s="25"/>
      <c r="Q264" s="25"/>
      <c r="R264" s="25"/>
      <c r="S264" s="25"/>
    </row>
    <row r="265" spans="1:19" x14ac:dyDescent="0.25">
      <c r="A265" s="65"/>
      <c r="B265" s="50"/>
      <c r="C265" s="50"/>
      <c r="D265" s="50"/>
      <c r="E265" s="50" t="str">
        <f>IF(D265="","",VLOOKUP(D265,'Product Master'!$B:$C,2,FALSE))</f>
        <v/>
      </c>
      <c r="F265" s="50" t="str">
        <f>IF(D265="","",IFERROR(VLOOKUP(D265,'Product Master'!$B:$G,3,FALSE),""))</f>
        <v/>
      </c>
      <c r="G265" s="51"/>
      <c r="H265" s="52" t="str">
        <f>IF(D265="","",VLOOKUP(D265,'Product Master'!$B:$F,5,FALSE))</f>
        <v/>
      </c>
      <c r="I265" s="52">
        <f>IFERROR(VLOOKUP(D265,'Product Master'!B:E,4,FALSE),0)</f>
        <v>0</v>
      </c>
      <c r="J265" s="53">
        <f>IFERROR(Table3[[#This Row],[QTY SOLD]]*Table3[[#This Row],[Selling Price]],0)</f>
        <v>0</v>
      </c>
      <c r="K265" s="50"/>
      <c r="L265" s="50">
        <f>Table3[[#This Row],[Total Sales]]-Table3[[#This Row],[Discount]]</f>
        <v>0</v>
      </c>
      <c r="M265" s="58">
        <f>Table3[[#This Row],[Net Sales]]-Table3[[#This Row],[Cost Price]]*Table3[[#This Row],[QTY SOLD]]</f>
        <v>0</v>
      </c>
      <c r="N265" s="25"/>
      <c r="O265" s="25"/>
      <c r="P265" s="25"/>
      <c r="Q265" s="25"/>
      <c r="R265" s="25"/>
      <c r="S265" s="25"/>
    </row>
    <row r="266" spans="1:19" x14ac:dyDescent="0.25">
      <c r="A266" s="65"/>
      <c r="B266" s="50"/>
      <c r="C266" s="50"/>
      <c r="D266" s="50"/>
      <c r="E266" s="50" t="str">
        <f>IF(D266="","",VLOOKUP(D266,'Product Master'!$B:$C,2,FALSE))</f>
        <v/>
      </c>
      <c r="F266" s="50" t="str">
        <f>IF(D266="","",IFERROR(VLOOKUP(D266,'Product Master'!$B:$G,3,FALSE),""))</f>
        <v/>
      </c>
      <c r="G266" s="51"/>
      <c r="H266" s="52" t="str">
        <f>IF(D266="","",VLOOKUP(D266,'Product Master'!$B:$F,5,FALSE))</f>
        <v/>
      </c>
      <c r="I266" s="52">
        <f>IFERROR(VLOOKUP(D266,'Product Master'!B:E,4,FALSE),0)</f>
        <v>0</v>
      </c>
      <c r="J266" s="53">
        <f>IFERROR(Table3[[#This Row],[QTY SOLD]]*Table3[[#This Row],[Selling Price]],0)</f>
        <v>0</v>
      </c>
      <c r="K266" s="50"/>
      <c r="L266" s="50">
        <f>Table3[[#This Row],[Total Sales]]-Table3[[#This Row],[Discount]]</f>
        <v>0</v>
      </c>
      <c r="M266" s="58">
        <f>Table3[[#This Row],[Net Sales]]-Table3[[#This Row],[Cost Price]]*Table3[[#This Row],[QTY SOLD]]</f>
        <v>0</v>
      </c>
      <c r="N266" s="25"/>
      <c r="O266" s="25"/>
      <c r="P266" s="25"/>
      <c r="Q266" s="25"/>
      <c r="R266" s="25"/>
      <c r="S266" s="25"/>
    </row>
    <row r="267" spans="1:19" x14ac:dyDescent="0.25">
      <c r="A267" s="65"/>
      <c r="B267" s="50"/>
      <c r="C267" s="50"/>
      <c r="D267" s="50"/>
      <c r="E267" s="50" t="str">
        <f>IF(D267="","",VLOOKUP(D267,'Product Master'!$B:$C,2,FALSE))</f>
        <v/>
      </c>
      <c r="F267" s="50" t="str">
        <f>IF(D267="","",IFERROR(VLOOKUP(D267,'Product Master'!$B:$G,3,FALSE),""))</f>
        <v/>
      </c>
      <c r="G267" s="51"/>
      <c r="H267" s="52" t="str">
        <f>IF(D267="","",VLOOKUP(D267,'Product Master'!$B:$F,5,FALSE))</f>
        <v/>
      </c>
      <c r="I267" s="52">
        <f>IFERROR(VLOOKUP(D267,'Product Master'!B:E,4,FALSE),0)</f>
        <v>0</v>
      </c>
      <c r="J267" s="53">
        <f>IFERROR(Table3[[#This Row],[QTY SOLD]]*Table3[[#This Row],[Selling Price]],0)</f>
        <v>0</v>
      </c>
      <c r="K267" s="50"/>
      <c r="L267" s="50">
        <f>Table3[[#This Row],[Total Sales]]-Table3[[#This Row],[Discount]]</f>
        <v>0</v>
      </c>
      <c r="M267" s="58">
        <f>Table3[[#This Row],[Net Sales]]-Table3[[#This Row],[Cost Price]]*Table3[[#This Row],[QTY SOLD]]</f>
        <v>0</v>
      </c>
      <c r="N267" s="25"/>
      <c r="O267" s="25"/>
      <c r="P267" s="25"/>
      <c r="Q267" s="25"/>
      <c r="R267" s="25"/>
      <c r="S267" s="25"/>
    </row>
    <row r="268" spans="1:19" x14ac:dyDescent="0.25">
      <c r="A268" s="65"/>
      <c r="B268" s="50"/>
      <c r="C268" s="50"/>
      <c r="D268" s="50"/>
      <c r="E268" s="50" t="str">
        <f>IF(D268="","",VLOOKUP(D268,'Product Master'!$B:$C,2,FALSE))</f>
        <v/>
      </c>
      <c r="F268" s="50" t="str">
        <f>IF(D268="","",IFERROR(VLOOKUP(D268,'Product Master'!$B:$G,3,FALSE),""))</f>
        <v/>
      </c>
      <c r="G268" s="51"/>
      <c r="H268" s="52" t="str">
        <f>IF(D268="","",VLOOKUP(D268,'Product Master'!$B:$F,5,FALSE))</f>
        <v/>
      </c>
      <c r="I268" s="52">
        <f>IFERROR(VLOOKUP(D268,'Product Master'!B:E,4,FALSE),0)</f>
        <v>0</v>
      </c>
      <c r="J268" s="53">
        <f>IFERROR(Table3[[#This Row],[QTY SOLD]]*Table3[[#This Row],[Selling Price]],0)</f>
        <v>0</v>
      </c>
      <c r="K268" s="50"/>
      <c r="L268" s="50">
        <f>Table3[[#This Row],[Total Sales]]-Table3[[#This Row],[Discount]]</f>
        <v>0</v>
      </c>
      <c r="M268" s="58">
        <f>Table3[[#This Row],[Net Sales]]-Table3[[#This Row],[Cost Price]]*Table3[[#This Row],[QTY SOLD]]</f>
        <v>0</v>
      </c>
      <c r="N268" s="25"/>
      <c r="O268" s="25"/>
      <c r="P268" s="25"/>
      <c r="Q268" s="25"/>
      <c r="R268" s="25"/>
      <c r="S268" s="25"/>
    </row>
    <row r="269" spans="1:19" x14ac:dyDescent="0.25">
      <c r="A269" s="65"/>
      <c r="B269" s="50"/>
      <c r="C269" s="50"/>
      <c r="D269" s="50"/>
      <c r="E269" s="50" t="str">
        <f>IF(D269="","",VLOOKUP(D269,'Product Master'!$B:$C,2,FALSE))</f>
        <v/>
      </c>
      <c r="F269" s="50" t="str">
        <f>IF(D269="","",IFERROR(VLOOKUP(D269,'Product Master'!$B:$G,3,FALSE),""))</f>
        <v/>
      </c>
      <c r="G269" s="51"/>
      <c r="H269" s="52" t="str">
        <f>IF(D269="","",VLOOKUP(D269,'Product Master'!$B:$F,5,FALSE))</f>
        <v/>
      </c>
      <c r="I269" s="52">
        <f>IFERROR(VLOOKUP(D269,'Product Master'!B:E,4,FALSE),0)</f>
        <v>0</v>
      </c>
      <c r="J269" s="53">
        <f>IFERROR(Table3[[#This Row],[QTY SOLD]]*Table3[[#This Row],[Selling Price]],0)</f>
        <v>0</v>
      </c>
      <c r="K269" s="50"/>
      <c r="L269" s="50">
        <f>Table3[[#This Row],[Total Sales]]-Table3[[#This Row],[Discount]]</f>
        <v>0</v>
      </c>
      <c r="M269" s="58">
        <f>Table3[[#This Row],[Net Sales]]-Table3[[#This Row],[Cost Price]]*Table3[[#This Row],[QTY SOLD]]</f>
        <v>0</v>
      </c>
      <c r="N269" s="25"/>
      <c r="O269" s="25"/>
      <c r="P269" s="25"/>
      <c r="Q269" s="25"/>
      <c r="R269" s="25"/>
      <c r="S269" s="25"/>
    </row>
    <row r="270" spans="1:19" x14ac:dyDescent="0.25">
      <c r="A270" s="65"/>
      <c r="B270" s="50"/>
      <c r="C270" s="50"/>
      <c r="D270" s="50"/>
      <c r="E270" s="50" t="str">
        <f>IF(D270="","",VLOOKUP(D270,'Product Master'!$B:$C,2,FALSE))</f>
        <v/>
      </c>
      <c r="F270" s="50" t="str">
        <f>IF(D270="","",IFERROR(VLOOKUP(D270,'Product Master'!$B:$G,3,FALSE),""))</f>
        <v/>
      </c>
      <c r="G270" s="51"/>
      <c r="H270" s="52" t="str">
        <f>IF(D270="","",VLOOKUP(D270,'Product Master'!$B:$F,5,FALSE))</f>
        <v/>
      </c>
      <c r="I270" s="52">
        <f>IFERROR(VLOOKUP(D270,'Product Master'!B:E,4,FALSE),0)</f>
        <v>0</v>
      </c>
      <c r="J270" s="53">
        <f>IFERROR(Table3[[#This Row],[QTY SOLD]]*Table3[[#This Row],[Selling Price]],0)</f>
        <v>0</v>
      </c>
      <c r="K270" s="50"/>
      <c r="L270" s="50">
        <f>Table3[[#This Row],[Total Sales]]-Table3[[#This Row],[Discount]]</f>
        <v>0</v>
      </c>
      <c r="M270" s="58">
        <f>Table3[[#This Row],[Net Sales]]-Table3[[#This Row],[Cost Price]]*Table3[[#This Row],[QTY SOLD]]</f>
        <v>0</v>
      </c>
      <c r="N270" s="25"/>
      <c r="O270" s="25"/>
      <c r="P270" s="25"/>
      <c r="Q270" s="25"/>
      <c r="R270" s="25"/>
      <c r="S270" s="25"/>
    </row>
    <row r="271" spans="1:19" x14ac:dyDescent="0.25">
      <c r="A271" s="65"/>
      <c r="B271" s="50"/>
      <c r="C271" s="50"/>
      <c r="D271" s="50"/>
      <c r="E271" s="50" t="str">
        <f>IF(D271="","",VLOOKUP(D271,'Product Master'!$B:$C,2,FALSE))</f>
        <v/>
      </c>
      <c r="F271" s="50" t="str">
        <f>IF(D271="","",IFERROR(VLOOKUP(D271,'Product Master'!$B:$G,3,FALSE),""))</f>
        <v/>
      </c>
      <c r="G271" s="51"/>
      <c r="H271" s="52" t="str">
        <f>IF(D271="","",VLOOKUP(D271,'Product Master'!$B:$F,5,FALSE))</f>
        <v/>
      </c>
      <c r="I271" s="52">
        <f>IFERROR(VLOOKUP(D271,'Product Master'!B:E,4,FALSE),0)</f>
        <v>0</v>
      </c>
      <c r="J271" s="53">
        <f>IFERROR(Table3[[#This Row],[QTY SOLD]]*Table3[[#This Row],[Selling Price]],0)</f>
        <v>0</v>
      </c>
      <c r="K271" s="50"/>
      <c r="L271" s="50">
        <f>Table3[[#This Row],[Total Sales]]-Table3[[#This Row],[Discount]]</f>
        <v>0</v>
      </c>
      <c r="M271" s="58">
        <f>Table3[[#This Row],[Net Sales]]-Table3[[#This Row],[Cost Price]]*Table3[[#This Row],[QTY SOLD]]</f>
        <v>0</v>
      </c>
      <c r="N271" s="25"/>
      <c r="O271" s="25"/>
      <c r="P271" s="25"/>
      <c r="Q271" s="25"/>
      <c r="R271" s="25"/>
      <c r="S271" s="25"/>
    </row>
    <row r="272" spans="1:19" x14ac:dyDescent="0.25">
      <c r="A272" s="65"/>
      <c r="B272" s="50"/>
      <c r="C272" s="50"/>
      <c r="D272" s="50"/>
      <c r="E272" s="50" t="str">
        <f>IF(D272="","",VLOOKUP(D272,'Product Master'!$B:$C,2,FALSE))</f>
        <v/>
      </c>
      <c r="F272" s="50" t="str">
        <f>IF(D272="","",IFERROR(VLOOKUP(D272,'Product Master'!$B:$G,3,FALSE),""))</f>
        <v/>
      </c>
      <c r="G272" s="51"/>
      <c r="H272" s="52" t="str">
        <f>IF(D272="","",VLOOKUP(D272,'Product Master'!$B:$F,5,FALSE))</f>
        <v/>
      </c>
      <c r="I272" s="52">
        <f>IFERROR(VLOOKUP(D272,'Product Master'!B:E,4,FALSE),0)</f>
        <v>0</v>
      </c>
      <c r="J272" s="53">
        <f>IFERROR(Table3[[#This Row],[QTY SOLD]]*Table3[[#This Row],[Selling Price]],0)</f>
        <v>0</v>
      </c>
      <c r="K272" s="50"/>
      <c r="L272" s="50">
        <f>Table3[[#This Row],[Total Sales]]-Table3[[#This Row],[Discount]]</f>
        <v>0</v>
      </c>
      <c r="M272" s="58">
        <f>Table3[[#This Row],[Net Sales]]-Table3[[#This Row],[Cost Price]]*Table3[[#This Row],[QTY SOLD]]</f>
        <v>0</v>
      </c>
      <c r="N272" s="25"/>
      <c r="O272" s="25"/>
      <c r="P272" s="25"/>
      <c r="Q272" s="25"/>
      <c r="R272" s="25"/>
      <c r="S272" s="25"/>
    </row>
    <row r="273" spans="1:19" x14ac:dyDescent="0.25">
      <c r="A273" s="65"/>
      <c r="B273" s="50"/>
      <c r="C273" s="50"/>
      <c r="D273" s="50"/>
      <c r="E273" s="50" t="str">
        <f>IF(D273="","",VLOOKUP(D273,'Product Master'!$B:$C,2,FALSE))</f>
        <v/>
      </c>
      <c r="F273" s="50" t="str">
        <f>IF(D273="","",IFERROR(VLOOKUP(D273,'Product Master'!$B:$G,3,FALSE),""))</f>
        <v/>
      </c>
      <c r="G273" s="51"/>
      <c r="H273" s="52" t="str">
        <f>IF(D273="","",VLOOKUP(D273,'Product Master'!$B:$F,5,FALSE))</f>
        <v/>
      </c>
      <c r="I273" s="52">
        <f>IFERROR(VLOOKUP(D273,'Product Master'!B:E,4,FALSE),0)</f>
        <v>0</v>
      </c>
      <c r="J273" s="53">
        <f>IFERROR(Table3[[#This Row],[QTY SOLD]]*Table3[[#This Row],[Selling Price]],0)</f>
        <v>0</v>
      </c>
      <c r="K273" s="50"/>
      <c r="L273" s="50">
        <f>Table3[[#This Row],[Total Sales]]-Table3[[#This Row],[Discount]]</f>
        <v>0</v>
      </c>
      <c r="M273" s="58">
        <f>Table3[[#This Row],[Net Sales]]-Table3[[#This Row],[Cost Price]]*Table3[[#This Row],[QTY SOLD]]</f>
        <v>0</v>
      </c>
      <c r="N273" s="25"/>
      <c r="O273" s="25"/>
      <c r="P273" s="25"/>
      <c r="Q273" s="25"/>
      <c r="R273" s="25"/>
      <c r="S273" s="25"/>
    </row>
    <row r="274" spans="1:19" x14ac:dyDescent="0.25">
      <c r="A274" s="65"/>
      <c r="B274" s="50"/>
      <c r="C274" s="50"/>
      <c r="D274" s="50"/>
      <c r="E274" s="50" t="str">
        <f>IF(D274="","",VLOOKUP(D274,'Product Master'!$B:$C,2,FALSE))</f>
        <v/>
      </c>
      <c r="F274" s="50" t="str">
        <f>IF(D274="","",IFERROR(VLOOKUP(D274,'Product Master'!$B:$G,3,FALSE),""))</f>
        <v/>
      </c>
      <c r="G274" s="51"/>
      <c r="H274" s="52" t="str">
        <f>IF(D274="","",VLOOKUP(D274,'Product Master'!$B:$F,5,FALSE))</f>
        <v/>
      </c>
      <c r="I274" s="52">
        <f>IFERROR(VLOOKUP(D274,'Product Master'!B:E,4,FALSE),0)</f>
        <v>0</v>
      </c>
      <c r="J274" s="53">
        <f>IFERROR(Table3[[#This Row],[QTY SOLD]]*Table3[[#This Row],[Selling Price]],0)</f>
        <v>0</v>
      </c>
      <c r="K274" s="50"/>
      <c r="L274" s="50">
        <f>Table3[[#This Row],[Total Sales]]-Table3[[#This Row],[Discount]]</f>
        <v>0</v>
      </c>
      <c r="M274" s="58">
        <f>Table3[[#This Row],[Net Sales]]-Table3[[#This Row],[Cost Price]]*Table3[[#This Row],[QTY SOLD]]</f>
        <v>0</v>
      </c>
      <c r="N274" s="25"/>
      <c r="O274" s="25"/>
      <c r="P274" s="25"/>
      <c r="Q274" s="25"/>
      <c r="R274" s="25"/>
      <c r="S274" s="25"/>
    </row>
    <row r="275" spans="1:19" x14ac:dyDescent="0.25">
      <c r="A275" s="65"/>
      <c r="B275" s="50"/>
      <c r="C275" s="50"/>
      <c r="D275" s="50"/>
      <c r="E275" s="50" t="str">
        <f>IF(D275="","",VLOOKUP(D275,'Product Master'!$B:$C,2,FALSE))</f>
        <v/>
      </c>
      <c r="F275" s="50" t="str">
        <f>IF(D275="","",IFERROR(VLOOKUP(D275,'Product Master'!$B:$G,3,FALSE),""))</f>
        <v/>
      </c>
      <c r="G275" s="51"/>
      <c r="H275" s="52" t="str">
        <f>IF(D275="","",VLOOKUP(D275,'Product Master'!$B:$F,5,FALSE))</f>
        <v/>
      </c>
      <c r="I275" s="52">
        <f>IFERROR(VLOOKUP(D275,'Product Master'!B:E,4,FALSE),0)</f>
        <v>0</v>
      </c>
      <c r="J275" s="53">
        <f>IFERROR(Table3[[#This Row],[QTY SOLD]]*Table3[[#This Row],[Selling Price]],0)</f>
        <v>0</v>
      </c>
      <c r="K275" s="50"/>
      <c r="L275" s="50">
        <f>Table3[[#This Row],[Total Sales]]-Table3[[#This Row],[Discount]]</f>
        <v>0</v>
      </c>
      <c r="M275" s="58">
        <f>Table3[[#This Row],[Net Sales]]-Table3[[#This Row],[Cost Price]]*Table3[[#This Row],[QTY SOLD]]</f>
        <v>0</v>
      </c>
      <c r="N275" s="25"/>
      <c r="O275" s="25"/>
      <c r="P275" s="25"/>
      <c r="Q275" s="25"/>
      <c r="R275" s="25"/>
      <c r="S275" s="25"/>
    </row>
    <row r="276" spans="1:19" x14ac:dyDescent="0.25">
      <c r="A276" s="65"/>
      <c r="B276" s="50"/>
      <c r="C276" s="50"/>
      <c r="D276" s="50"/>
      <c r="E276" s="50" t="str">
        <f>IF(D276="","",VLOOKUP(D276,'Product Master'!$B:$C,2,FALSE))</f>
        <v/>
      </c>
      <c r="F276" s="50" t="str">
        <f>IF(D276="","",IFERROR(VLOOKUP(D276,'Product Master'!$B:$G,3,FALSE),""))</f>
        <v/>
      </c>
      <c r="G276" s="51"/>
      <c r="H276" s="52" t="str">
        <f>IF(D276="","",VLOOKUP(D276,'Product Master'!$B:$F,5,FALSE))</f>
        <v/>
      </c>
      <c r="I276" s="52">
        <f>IFERROR(VLOOKUP(D276,'Product Master'!B:E,4,FALSE),0)</f>
        <v>0</v>
      </c>
      <c r="J276" s="53">
        <f>IFERROR(Table3[[#This Row],[QTY SOLD]]*Table3[[#This Row],[Selling Price]],0)</f>
        <v>0</v>
      </c>
      <c r="K276" s="50"/>
      <c r="L276" s="50">
        <f>Table3[[#This Row],[Total Sales]]-Table3[[#This Row],[Discount]]</f>
        <v>0</v>
      </c>
      <c r="M276" s="58">
        <f>Table3[[#This Row],[Net Sales]]-Table3[[#This Row],[Cost Price]]*Table3[[#This Row],[QTY SOLD]]</f>
        <v>0</v>
      </c>
      <c r="N276" s="25"/>
      <c r="O276" s="25"/>
      <c r="P276" s="25"/>
      <c r="Q276" s="25"/>
      <c r="R276" s="25"/>
      <c r="S276" s="25"/>
    </row>
    <row r="277" spans="1:19" x14ac:dyDescent="0.25">
      <c r="A277" s="65"/>
      <c r="B277" s="50"/>
      <c r="C277" s="50"/>
      <c r="D277" s="50"/>
      <c r="E277" s="50" t="str">
        <f>IF(D277="","",VLOOKUP(D277,'Product Master'!$B:$C,2,FALSE))</f>
        <v/>
      </c>
      <c r="F277" s="50" t="str">
        <f>IF(D277="","",IFERROR(VLOOKUP(D277,'Product Master'!$B:$G,3,FALSE),""))</f>
        <v/>
      </c>
      <c r="G277" s="51"/>
      <c r="H277" s="52" t="str">
        <f>IF(D277="","",VLOOKUP(D277,'Product Master'!$B:$F,5,FALSE))</f>
        <v/>
      </c>
      <c r="I277" s="52">
        <f>IFERROR(VLOOKUP(D277,'Product Master'!B:E,4,FALSE),0)</f>
        <v>0</v>
      </c>
      <c r="J277" s="53">
        <f>IFERROR(Table3[[#This Row],[QTY SOLD]]*Table3[[#This Row],[Selling Price]],0)</f>
        <v>0</v>
      </c>
      <c r="K277" s="50"/>
      <c r="L277" s="50">
        <f>Table3[[#This Row],[Total Sales]]-Table3[[#This Row],[Discount]]</f>
        <v>0</v>
      </c>
      <c r="M277" s="58">
        <f>Table3[[#This Row],[Net Sales]]-Table3[[#This Row],[Cost Price]]*Table3[[#This Row],[QTY SOLD]]</f>
        <v>0</v>
      </c>
      <c r="N277" s="25"/>
      <c r="O277" s="25"/>
      <c r="P277" s="25"/>
      <c r="Q277" s="25"/>
      <c r="R277" s="25"/>
      <c r="S277" s="25"/>
    </row>
    <row r="278" spans="1:19" x14ac:dyDescent="0.25">
      <c r="A278" s="65"/>
      <c r="B278" s="50"/>
      <c r="C278" s="50"/>
      <c r="D278" s="50"/>
      <c r="E278" s="50" t="str">
        <f>IF(D278="","",VLOOKUP(D278,'Product Master'!$B:$C,2,FALSE))</f>
        <v/>
      </c>
      <c r="F278" s="50" t="str">
        <f>IF(D278="","",IFERROR(VLOOKUP(D278,'Product Master'!$B:$G,3,FALSE),""))</f>
        <v/>
      </c>
      <c r="G278" s="51"/>
      <c r="H278" s="52" t="str">
        <f>IF(D278="","",VLOOKUP(D278,'Product Master'!$B:$F,5,FALSE))</f>
        <v/>
      </c>
      <c r="I278" s="52">
        <f>IFERROR(VLOOKUP(D278,'Product Master'!B:E,4,FALSE),0)</f>
        <v>0</v>
      </c>
      <c r="J278" s="53">
        <f>IFERROR(Table3[[#This Row],[QTY SOLD]]*Table3[[#This Row],[Selling Price]],0)</f>
        <v>0</v>
      </c>
      <c r="K278" s="50"/>
      <c r="L278" s="50">
        <f>Table3[[#This Row],[Total Sales]]-Table3[[#This Row],[Discount]]</f>
        <v>0</v>
      </c>
      <c r="M278" s="58">
        <f>Table3[[#This Row],[Net Sales]]-Table3[[#This Row],[Cost Price]]*Table3[[#This Row],[QTY SOLD]]</f>
        <v>0</v>
      </c>
      <c r="N278" s="25"/>
      <c r="O278" s="25"/>
      <c r="P278" s="25"/>
      <c r="Q278" s="25"/>
      <c r="R278" s="25"/>
      <c r="S278" s="25"/>
    </row>
    <row r="279" spans="1:19" x14ac:dyDescent="0.25">
      <c r="A279" s="65"/>
      <c r="B279" s="50"/>
      <c r="C279" s="50"/>
      <c r="D279" s="50"/>
      <c r="E279" s="50" t="str">
        <f>IF(D279="","",VLOOKUP(D279,'Product Master'!$B:$C,2,FALSE))</f>
        <v/>
      </c>
      <c r="F279" s="50" t="str">
        <f>IF(D279="","",IFERROR(VLOOKUP(D279,'Product Master'!$B:$G,3,FALSE),""))</f>
        <v/>
      </c>
      <c r="G279" s="51"/>
      <c r="H279" s="52" t="str">
        <f>IF(D279="","",VLOOKUP(D279,'Product Master'!$B:$F,5,FALSE))</f>
        <v/>
      </c>
      <c r="I279" s="52">
        <f>IFERROR(VLOOKUP(D279,'Product Master'!B:E,4,FALSE),0)</f>
        <v>0</v>
      </c>
      <c r="J279" s="53">
        <f>IFERROR(Table3[[#This Row],[QTY SOLD]]*Table3[[#This Row],[Selling Price]],0)</f>
        <v>0</v>
      </c>
      <c r="K279" s="50"/>
      <c r="L279" s="50">
        <f>Table3[[#This Row],[Total Sales]]-Table3[[#This Row],[Discount]]</f>
        <v>0</v>
      </c>
      <c r="M279" s="58">
        <f>Table3[[#This Row],[Net Sales]]-Table3[[#This Row],[Cost Price]]*Table3[[#This Row],[QTY SOLD]]</f>
        <v>0</v>
      </c>
      <c r="N279" s="25"/>
      <c r="O279" s="25"/>
      <c r="P279" s="25"/>
      <c r="Q279" s="25"/>
      <c r="R279" s="25"/>
      <c r="S279" s="25"/>
    </row>
    <row r="280" spans="1:19" x14ac:dyDescent="0.25">
      <c r="A280" s="65"/>
      <c r="B280" s="50"/>
      <c r="C280" s="50"/>
      <c r="D280" s="50"/>
      <c r="E280" s="50" t="str">
        <f>IF(D280="","",VLOOKUP(D280,'Product Master'!$B:$C,2,FALSE))</f>
        <v/>
      </c>
      <c r="F280" s="50" t="str">
        <f>IF(D280="","",IFERROR(VLOOKUP(D280,'Product Master'!$B:$G,3,FALSE),""))</f>
        <v/>
      </c>
      <c r="G280" s="51"/>
      <c r="H280" s="52" t="str">
        <f>IF(D280="","",VLOOKUP(D280,'Product Master'!$B:$F,5,FALSE))</f>
        <v/>
      </c>
      <c r="I280" s="52">
        <f>IFERROR(VLOOKUP(D280,'Product Master'!B:E,4,FALSE),0)</f>
        <v>0</v>
      </c>
      <c r="J280" s="53">
        <f>IFERROR(Table3[[#This Row],[QTY SOLD]]*Table3[[#This Row],[Selling Price]],0)</f>
        <v>0</v>
      </c>
      <c r="K280" s="50"/>
      <c r="L280" s="50">
        <f>Table3[[#This Row],[Total Sales]]-Table3[[#This Row],[Discount]]</f>
        <v>0</v>
      </c>
      <c r="M280" s="58">
        <f>Table3[[#This Row],[Net Sales]]-Table3[[#This Row],[Cost Price]]*Table3[[#This Row],[QTY SOLD]]</f>
        <v>0</v>
      </c>
      <c r="N280" s="25"/>
      <c r="O280" s="25"/>
      <c r="P280" s="25"/>
      <c r="Q280" s="25"/>
      <c r="R280" s="25"/>
      <c r="S280" s="25"/>
    </row>
    <row r="281" spans="1:19" x14ac:dyDescent="0.25">
      <c r="A281" s="65"/>
      <c r="B281" s="50"/>
      <c r="C281" s="50"/>
      <c r="D281" s="50"/>
      <c r="E281" s="50" t="str">
        <f>IF(D281="","",VLOOKUP(D281,'Product Master'!$B:$C,2,FALSE))</f>
        <v/>
      </c>
      <c r="F281" s="50" t="str">
        <f>IF(D281="","",IFERROR(VLOOKUP(D281,'Product Master'!$B:$G,3,FALSE),""))</f>
        <v/>
      </c>
      <c r="G281" s="51"/>
      <c r="H281" s="52" t="str">
        <f>IF(D281="","",VLOOKUP(D281,'Product Master'!$B:$F,5,FALSE))</f>
        <v/>
      </c>
      <c r="I281" s="52">
        <f>IFERROR(VLOOKUP(D281,'Product Master'!B:E,4,FALSE),0)</f>
        <v>0</v>
      </c>
      <c r="J281" s="53">
        <f>IFERROR(Table3[[#This Row],[QTY SOLD]]*Table3[[#This Row],[Selling Price]],0)</f>
        <v>0</v>
      </c>
      <c r="K281" s="50"/>
      <c r="L281" s="50">
        <f>Table3[[#This Row],[Total Sales]]-Table3[[#This Row],[Discount]]</f>
        <v>0</v>
      </c>
      <c r="M281" s="58">
        <f>Table3[[#This Row],[Net Sales]]-Table3[[#This Row],[Cost Price]]*Table3[[#This Row],[QTY SOLD]]</f>
        <v>0</v>
      </c>
      <c r="N281" s="25"/>
      <c r="O281" s="25"/>
      <c r="P281" s="25"/>
      <c r="Q281" s="25"/>
      <c r="R281" s="25"/>
      <c r="S281" s="25"/>
    </row>
    <row r="282" spans="1:19" x14ac:dyDescent="0.25">
      <c r="A282" s="65"/>
      <c r="B282" s="50"/>
      <c r="C282" s="50"/>
      <c r="D282" s="50"/>
      <c r="E282" s="50" t="str">
        <f>IF(D282="","",VLOOKUP(D282,'Product Master'!$B:$C,2,FALSE))</f>
        <v/>
      </c>
      <c r="F282" s="50" t="str">
        <f>IF(D282="","",IFERROR(VLOOKUP(D282,'Product Master'!$B:$G,3,FALSE),""))</f>
        <v/>
      </c>
      <c r="G282" s="51"/>
      <c r="H282" s="52" t="str">
        <f>IF(D282="","",VLOOKUP(D282,'Product Master'!$B:$F,5,FALSE))</f>
        <v/>
      </c>
      <c r="I282" s="52">
        <f>IFERROR(VLOOKUP(D282,'Product Master'!B:E,4,FALSE),0)</f>
        <v>0</v>
      </c>
      <c r="J282" s="53">
        <f>IFERROR(Table3[[#This Row],[QTY SOLD]]*Table3[[#This Row],[Selling Price]],0)</f>
        <v>0</v>
      </c>
      <c r="K282" s="50"/>
      <c r="L282" s="50">
        <f>Table3[[#This Row],[Total Sales]]-Table3[[#This Row],[Discount]]</f>
        <v>0</v>
      </c>
      <c r="M282" s="58">
        <f>Table3[[#This Row],[Net Sales]]-Table3[[#This Row],[Cost Price]]*Table3[[#This Row],[QTY SOLD]]</f>
        <v>0</v>
      </c>
      <c r="N282" s="25"/>
      <c r="O282" s="25"/>
      <c r="P282" s="25"/>
      <c r="Q282" s="25"/>
      <c r="R282" s="25"/>
      <c r="S282" s="25"/>
    </row>
    <row r="283" spans="1:19" x14ac:dyDescent="0.25">
      <c r="A283" s="65"/>
      <c r="B283" s="50"/>
      <c r="C283" s="50"/>
      <c r="D283" s="50"/>
      <c r="E283" s="50" t="str">
        <f>IF(D283="","",VLOOKUP(D283,'Product Master'!$B:$C,2,FALSE))</f>
        <v/>
      </c>
      <c r="F283" s="50" t="str">
        <f>IF(D283="","",IFERROR(VLOOKUP(D283,'Product Master'!$B:$G,3,FALSE),""))</f>
        <v/>
      </c>
      <c r="G283" s="51"/>
      <c r="H283" s="52" t="str">
        <f>IF(D283="","",VLOOKUP(D283,'Product Master'!$B:$F,5,FALSE))</f>
        <v/>
      </c>
      <c r="I283" s="52">
        <f>IFERROR(VLOOKUP(D283,'Product Master'!B:E,4,FALSE),0)</f>
        <v>0</v>
      </c>
      <c r="J283" s="53">
        <f>IFERROR(Table3[[#This Row],[QTY SOLD]]*Table3[[#This Row],[Selling Price]],0)</f>
        <v>0</v>
      </c>
      <c r="K283" s="50"/>
      <c r="L283" s="50">
        <f>Table3[[#This Row],[Total Sales]]-Table3[[#This Row],[Discount]]</f>
        <v>0</v>
      </c>
      <c r="M283" s="58">
        <f>Table3[[#This Row],[Net Sales]]-Table3[[#This Row],[Cost Price]]*Table3[[#This Row],[QTY SOLD]]</f>
        <v>0</v>
      </c>
      <c r="N283" s="25"/>
      <c r="O283" s="25"/>
      <c r="P283" s="25"/>
      <c r="Q283" s="25"/>
      <c r="R283" s="25"/>
      <c r="S283" s="25"/>
    </row>
    <row r="284" spans="1:19" x14ac:dyDescent="0.25">
      <c r="A284" s="65"/>
      <c r="B284" s="50"/>
      <c r="C284" s="50"/>
      <c r="D284" s="50"/>
      <c r="E284" s="50" t="str">
        <f>IF(D284="","",VLOOKUP(D284,'Product Master'!$B:$C,2,FALSE))</f>
        <v/>
      </c>
      <c r="F284" s="50" t="str">
        <f>IF(D284="","",IFERROR(VLOOKUP(D284,'Product Master'!$B:$G,3,FALSE),""))</f>
        <v/>
      </c>
      <c r="G284" s="51"/>
      <c r="H284" s="52" t="str">
        <f>IF(D284="","",VLOOKUP(D284,'Product Master'!$B:$F,5,FALSE))</f>
        <v/>
      </c>
      <c r="I284" s="52">
        <f>IFERROR(VLOOKUP(D284,'Product Master'!B:E,4,FALSE),0)</f>
        <v>0</v>
      </c>
      <c r="J284" s="53">
        <f>IFERROR(Table3[[#This Row],[QTY SOLD]]*Table3[[#This Row],[Selling Price]],0)</f>
        <v>0</v>
      </c>
      <c r="K284" s="50"/>
      <c r="L284" s="50">
        <f>Table3[[#This Row],[Total Sales]]-Table3[[#This Row],[Discount]]</f>
        <v>0</v>
      </c>
      <c r="M284" s="58">
        <f>Table3[[#This Row],[Net Sales]]-Table3[[#This Row],[Cost Price]]*Table3[[#This Row],[QTY SOLD]]</f>
        <v>0</v>
      </c>
      <c r="N284" s="25"/>
      <c r="O284" s="25"/>
      <c r="P284" s="25"/>
      <c r="Q284" s="25"/>
      <c r="R284" s="25"/>
      <c r="S284" s="25"/>
    </row>
    <row r="285" spans="1:19" x14ac:dyDescent="0.25">
      <c r="A285" s="65"/>
      <c r="B285" s="50"/>
      <c r="C285" s="50"/>
      <c r="D285" s="50"/>
      <c r="E285" s="50" t="str">
        <f>IF(D285="","",VLOOKUP(D285,'Product Master'!$B:$C,2,FALSE))</f>
        <v/>
      </c>
      <c r="F285" s="50" t="str">
        <f>IF(D285="","",IFERROR(VLOOKUP(D285,'Product Master'!$B:$G,3,FALSE),""))</f>
        <v/>
      </c>
      <c r="G285" s="51"/>
      <c r="H285" s="52" t="str">
        <f>IF(D285="","",VLOOKUP(D285,'Product Master'!$B:$F,5,FALSE))</f>
        <v/>
      </c>
      <c r="I285" s="52">
        <f>IFERROR(VLOOKUP(D285,'Product Master'!B:E,4,FALSE),0)</f>
        <v>0</v>
      </c>
      <c r="J285" s="53">
        <f>IFERROR(Table3[[#This Row],[QTY SOLD]]*Table3[[#This Row],[Selling Price]],0)</f>
        <v>0</v>
      </c>
      <c r="K285" s="50"/>
      <c r="L285" s="50">
        <f>Table3[[#This Row],[Total Sales]]-Table3[[#This Row],[Discount]]</f>
        <v>0</v>
      </c>
      <c r="M285" s="58">
        <f>Table3[[#This Row],[Net Sales]]-Table3[[#This Row],[Cost Price]]*Table3[[#This Row],[QTY SOLD]]</f>
        <v>0</v>
      </c>
      <c r="N285" s="25"/>
      <c r="O285" s="25"/>
      <c r="P285" s="25"/>
      <c r="Q285" s="25"/>
      <c r="R285" s="25"/>
      <c r="S285" s="25"/>
    </row>
    <row r="286" spans="1:19" x14ac:dyDescent="0.25">
      <c r="A286" s="65"/>
      <c r="B286" s="50"/>
      <c r="C286" s="50"/>
      <c r="D286" s="50"/>
      <c r="E286" s="50" t="str">
        <f>IF(D286="","",VLOOKUP(D286,'Product Master'!$B:$C,2,FALSE))</f>
        <v/>
      </c>
      <c r="F286" s="50" t="str">
        <f>IF(D286="","",IFERROR(VLOOKUP(D286,'Product Master'!$B:$G,3,FALSE),""))</f>
        <v/>
      </c>
      <c r="G286" s="51"/>
      <c r="H286" s="52" t="str">
        <f>IF(D286="","",VLOOKUP(D286,'Product Master'!$B:$F,5,FALSE))</f>
        <v/>
      </c>
      <c r="I286" s="52">
        <f>IFERROR(VLOOKUP(D286,'Product Master'!B:E,4,FALSE),0)</f>
        <v>0</v>
      </c>
      <c r="J286" s="53">
        <f>IFERROR(Table3[[#This Row],[QTY SOLD]]*Table3[[#This Row],[Selling Price]],0)</f>
        <v>0</v>
      </c>
      <c r="K286" s="50"/>
      <c r="L286" s="50">
        <f>Table3[[#This Row],[Total Sales]]-Table3[[#This Row],[Discount]]</f>
        <v>0</v>
      </c>
      <c r="M286" s="58">
        <f>Table3[[#This Row],[Net Sales]]-Table3[[#This Row],[Cost Price]]*Table3[[#This Row],[QTY SOLD]]</f>
        <v>0</v>
      </c>
      <c r="N286" s="25"/>
      <c r="O286" s="25"/>
      <c r="P286" s="25"/>
      <c r="Q286" s="25"/>
      <c r="R286" s="25"/>
      <c r="S286" s="25"/>
    </row>
    <row r="287" spans="1:19" x14ac:dyDescent="0.25">
      <c r="A287" s="65"/>
      <c r="B287" s="50"/>
      <c r="C287" s="50"/>
      <c r="D287" s="50"/>
      <c r="E287" s="50" t="str">
        <f>IF(D287="","",VLOOKUP(D287,'Product Master'!$B:$C,2,FALSE))</f>
        <v/>
      </c>
      <c r="F287" s="50" t="str">
        <f>IF(D287="","",IFERROR(VLOOKUP(D287,'Product Master'!$B:$G,3,FALSE),""))</f>
        <v/>
      </c>
      <c r="G287" s="51"/>
      <c r="H287" s="52" t="str">
        <f>IF(D287="","",VLOOKUP(D287,'Product Master'!$B:$F,5,FALSE))</f>
        <v/>
      </c>
      <c r="I287" s="52">
        <f>IFERROR(VLOOKUP(D287,'Product Master'!B:E,4,FALSE),0)</f>
        <v>0</v>
      </c>
      <c r="J287" s="53">
        <f>IFERROR(Table3[[#This Row],[QTY SOLD]]*Table3[[#This Row],[Selling Price]],0)</f>
        <v>0</v>
      </c>
      <c r="K287" s="50"/>
      <c r="L287" s="50">
        <f>Table3[[#This Row],[Total Sales]]-Table3[[#This Row],[Discount]]</f>
        <v>0</v>
      </c>
      <c r="M287" s="58">
        <f>Table3[[#This Row],[Net Sales]]-Table3[[#This Row],[Cost Price]]*Table3[[#This Row],[QTY SOLD]]</f>
        <v>0</v>
      </c>
      <c r="N287" s="25"/>
      <c r="O287" s="25"/>
      <c r="P287" s="25"/>
      <c r="Q287" s="25"/>
      <c r="R287" s="25"/>
      <c r="S287" s="25"/>
    </row>
    <row r="288" spans="1:19" x14ac:dyDescent="0.25">
      <c r="A288" s="65"/>
      <c r="B288" s="50"/>
      <c r="C288" s="50"/>
      <c r="D288" s="50"/>
      <c r="E288" s="50" t="str">
        <f>IF(D288="","",VLOOKUP(D288,'Product Master'!$B:$C,2,FALSE))</f>
        <v/>
      </c>
      <c r="F288" s="50" t="str">
        <f>IF(D288="","",IFERROR(VLOOKUP(D288,'Product Master'!$B:$G,3,FALSE),""))</f>
        <v/>
      </c>
      <c r="G288" s="51"/>
      <c r="H288" s="52" t="str">
        <f>IF(D288="","",VLOOKUP(D288,'Product Master'!$B:$F,5,FALSE))</f>
        <v/>
      </c>
      <c r="I288" s="52">
        <f>IFERROR(VLOOKUP(D288,'Product Master'!B:E,4,FALSE),0)</f>
        <v>0</v>
      </c>
      <c r="J288" s="53">
        <f>IFERROR(Table3[[#This Row],[QTY SOLD]]*Table3[[#This Row],[Selling Price]],0)</f>
        <v>0</v>
      </c>
      <c r="K288" s="50"/>
      <c r="L288" s="50">
        <f>Table3[[#This Row],[Total Sales]]-Table3[[#This Row],[Discount]]</f>
        <v>0</v>
      </c>
      <c r="M288" s="58">
        <f>Table3[[#This Row],[Net Sales]]-Table3[[#This Row],[Cost Price]]*Table3[[#This Row],[QTY SOLD]]</f>
        <v>0</v>
      </c>
      <c r="N288" s="25"/>
      <c r="O288" s="25"/>
      <c r="P288" s="25"/>
      <c r="Q288" s="25"/>
      <c r="R288" s="25"/>
      <c r="S288" s="25"/>
    </row>
    <row r="289" spans="1:19" x14ac:dyDescent="0.25">
      <c r="A289" s="65"/>
      <c r="B289" s="50"/>
      <c r="C289" s="50"/>
      <c r="D289" s="50"/>
      <c r="E289" s="50" t="str">
        <f>IF(D289="","",VLOOKUP(D289,'Product Master'!$B:$C,2,FALSE))</f>
        <v/>
      </c>
      <c r="F289" s="50" t="str">
        <f>IF(D289="","",IFERROR(VLOOKUP(D289,'Product Master'!$B:$G,3,FALSE),""))</f>
        <v/>
      </c>
      <c r="G289" s="51"/>
      <c r="H289" s="52" t="str">
        <f>IF(D289="","",VLOOKUP(D289,'Product Master'!$B:$F,5,FALSE))</f>
        <v/>
      </c>
      <c r="I289" s="52">
        <f>IFERROR(VLOOKUP(D289,'Product Master'!B:E,4,FALSE),0)</f>
        <v>0</v>
      </c>
      <c r="J289" s="53">
        <f>IFERROR(Table3[[#This Row],[QTY SOLD]]*Table3[[#This Row],[Selling Price]],0)</f>
        <v>0</v>
      </c>
      <c r="K289" s="50"/>
      <c r="L289" s="50">
        <f>Table3[[#This Row],[Total Sales]]-Table3[[#This Row],[Discount]]</f>
        <v>0</v>
      </c>
      <c r="M289" s="58">
        <f>Table3[[#This Row],[Net Sales]]-Table3[[#This Row],[Cost Price]]*Table3[[#This Row],[QTY SOLD]]</f>
        <v>0</v>
      </c>
      <c r="N289" s="25"/>
      <c r="O289" s="25"/>
      <c r="P289" s="25"/>
      <c r="Q289" s="25"/>
      <c r="R289" s="25"/>
      <c r="S289" s="25"/>
    </row>
    <row r="290" spans="1:19" x14ac:dyDescent="0.25">
      <c r="A290" s="65"/>
      <c r="B290" s="50"/>
      <c r="C290" s="50"/>
      <c r="D290" s="50"/>
      <c r="E290" s="50" t="str">
        <f>IF(D290="","",VLOOKUP(D290,'Product Master'!$B:$C,2,FALSE))</f>
        <v/>
      </c>
      <c r="F290" s="50" t="str">
        <f>IF(D290="","",IFERROR(VLOOKUP(D290,'Product Master'!$B:$G,3,FALSE),""))</f>
        <v/>
      </c>
      <c r="G290" s="51"/>
      <c r="H290" s="52" t="str">
        <f>IF(D290="","",VLOOKUP(D290,'Product Master'!$B:$F,5,FALSE))</f>
        <v/>
      </c>
      <c r="I290" s="52">
        <f>IFERROR(VLOOKUP(D290,'Product Master'!B:E,4,FALSE),0)</f>
        <v>0</v>
      </c>
      <c r="J290" s="53">
        <f>IFERROR(Table3[[#This Row],[QTY SOLD]]*Table3[[#This Row],[Selling Price]],0)</f>
        <v>0</v>
      </c>
      <c r="K290" s="50"/>
      <c r="L290" s="50">
        <f>Table3[[#This Row],[Total Sales]]-Table3[[#This Row],[Discount]]</f>
        <v>0</v>
      </c>
      <c r="M290" s="58">
        <f>Table3[[#This Row],[Net Sales]]-Table3[[#This Row],[Cost Price]]*Table3[[#This Row],[QTY SOLD]]</f>
        <v>0</v>
      </c>
      <c r="N290" s="25"/>
      <c r="O290" s="25"/>
      <c r="P290" s="25"/>
      <c r="Q290" s="25"/>
      <c r="R290" s="25"/>
      <c r="S290" s="25"/>
    </row>
    <row r="291" spans="1:19" x14ac:dyDescent="0.25">
      <c r="A291" s="65"/>
      <c r="B291" s="50"/>
      <c r="C291" s="50"/>
      <c r="D291" s="50"/>
      <c r="E291" s="50" t="str">
        <f>IF(D291="","",VLOOKUP(D291,'Product Master'!$B:$C,2,FALSE))</f>
        <v/>
      </c>
      <c r="F291" s="50" t="str">
        <f>IF(D291="","",IFERROR(VLOOKUP(D291,'Product Master'!$B:$G,3,FALSE),""))</f>
        <v/>
      </c>
      <c r="G291" s="51"/>
      <c r="H291" s="52" t="str">
        <f>IF(D291="","",VLOOKUP(D291,'Product Master'!$B:$F,5,FALSE))</f>
        <v/>
      </c>
      <c r="I291" s="52">
        <f>IFERROR(VLOOKUP(D291,'Product Master'!B:E,4,FALSE),0)</f>
        <v>0</v>
      </c>
      <c r="J291" s="53">
        <f>IFERROR(Table3[[#This Row],[QTY SOLD]]*Table3[[#This Row],[Selling Price]],0)</f>
        <v>0</v>
      </c>
      <c r="K291" s="50"/>
      <c r="L291" s="50">
        <f>Table3[[#This Row],[Total Sales]]-Table3[[#This Row],[Discount]]</f>
        <v>0</v>
      </c>
      <c r="M291" s="58">
        <f>Table3[[#This Row],[Net Sales]]-Table3[[#This Row],[Cost Price]]*Table3[[#This Row],[QTY SOLD]]</f>
        <v>0</v>
      </c>
      <c r="N291" s="25"/>
      <c r="O291" s="25"/>
      <c r="P291" s="25"/>
      <c r="Q291" s="25"/>
      <c r="R291" s="25"/>
      <c r="S291" s="25"/>
    </row>
    <row r="292" spans="1:19" x14ac:dyDescent="0.25">
      <c r="A292" s="65"/>
      <c r="B292" s="50"/>
      <c r="C292" s="50"/>
      <c r="D292" s="50"/>
      <c r="E292" s="50" t="str">
        <f>IF(D292="","",VLOOKUP(D292,'Product Master'!$B:$C,2,FALSE))</f>
        <v/>
      </c>
      <c r="F292" s="50" t="str">
        <f>IF(D292="","",IFERROR(VLOOKUP(D292,'Product Master'!$B:$G,3,FALSE),""))</f>
        <v/>
      </c>
      <c r="G292" s="51"/>
      <c r="H292" s="52" t="str">
        <f>IF(D292="","",VLOOKUP(D292,'Product Master'!$B:$F,5,FALSE))</f>
        <v/>
      </c>
      <c r="I292" s="52">
        <f>IFERROR(VLOOKUP(D292,'Product Master'!B:E,4,FALSE),0)</f>
        <v>0</v>
      </c>
      <c r="J292" s="53">
        <f>IFERROR(Table3[[#This Row],[QTY SOLD]]*Table3[[#This Row],[Selling Price]],0)</f>
        <v>0</v>
      </c>
      <c r="K292" s="50"/>
      <c r="L292" s="50">
        <f>Table3[[#This Row],[Total Sales]]-Table3[[#This Row],[Discount]]</f>
        <v>0</v>
      </c>
      <c r="M292" s="58">
        <f>Table3[[#This Row],[Net Sales]]-Table3[[#This Row],[Cost Price]]*Table3[[#This Row],[QTY SOLD]]</f>
        <v>0</v>
      </c>
      <c r="N292" s="25"/>
      <c r="O292" s="25"/>
      <c r="P292" s="25"/>
      <c r="Q292" s="25"/>
      <c r="R292" s="25"/>
      <c r="S292" s="25"/>
    </row>
    <row r="293" spans="1:19" x14ac:dyDescent="0.25">
      <c r="A293" s="65"/>
      <c r="B293" s="50"/>
      <c r="C293" s="50"/>
      <c r="D293" s="50"/>
      <c r="E293" s="50" t="str">
        <f>IF(D293="","",VLOOKUP(D293,'Product Master'!$B:$C,2,FALSE))</f>
        <v/>
      </c>
      <c r="F293" s="50" t="str">
        <f>IF(D293="","",IFERROR(VLOOKUP(D293,'Product Master'!$B:$G,3,FALSE),""))</f>
        <v/>
      </c>
      <c r="G293" s="51"/>
      <c r="H293" s="52" t="str">
        <f>IF(D293="","",VLOOKUP(D293,'Product Master'!$B:$F,5,FALSE))</f>
        <v/>
      </c>
      <c r="I293" s="52">
        <f>IFERROR(VLOOKUP(D293,'Product Master'!B:E,4,FALSE),0)</f>
        <v>0</v>
      </c>
      <c r="J293" s="53">
        <f>IFERROR(Table3[[#This Row],[QTY SOLD]]*Table3[[#This Row],[Selling Price]],0)</f>
        <v>0</v>
      </c>
      <c r="K293" s="50"/>
      <c r="L293" s="50">
        <f>Table3[[#This Row],[Total Sales]]-Table3[[#This Row],[Discount]]</f>
        <v>0</v>
      </c>
      <c r="M293" s="58">
        <f>Table3[[#This Row],[Net Sales]]-Table3[[#This Row],[Cost Price]]*Table3[[#This Row],[QTY SOLD]]</f>
        <v>0</v>
      </c>
      <c r="N293" s="25"/>
      <c r="O293" s="25"/>
      <c r="P293" s="25"/>
      <c r="Q293" s="25"/>
      <c r="R293" s="25"/>
      <c r="S293" s="25"/>
    </row>
    <row r="294" spans="1:19" x14ac:dyDescent="0.25">
      <c r="A294" s="65"/>
      <c r="B294" s="50"/>
      <c r="C294" s="50"/>
      <c r="D294" s="50"/>
      <c r="E294" s="50" t="str">
        <f>IF(D294="","",VLOOKUP(D294,'Product Master'!$B:$C,2,FALSE))</f>
        <v/>
      </c>
      <c r="F294" s="50" t="str">
        <f>IF(D294="","",IFERROR(VLOOKUP(D294,'Product Master'!$B:$G,3,FALSE),""))</f>
        <v/>
      </c>
      <c r="G294" s="51"/>
      <c r="H294" s="52" t="str">
        <f>IF(D294="","",VLOOKUP(D294,'Product Master'!$B:$F,5,FALSE))</f>
        <v/>
      </c>
      <c r="I294" s="52">
        <f>IFERROR(VLOOKUP(D294,'Product Master'!B:E,4,FALSE),0)</f>
        <v>0</v>
      </c>
      <c r="J294" s="53">
        <f>IFERROR(Table3[[#This Row],[QTY SOLD]]*Table3[[#This Row],[Selling Price]],0)</f>
        <v>0</v>
      </c>
      <c r="K294" s="50"/>
      <c r="L294" s="50">
        <f>Table3[[#This Row],[Total Sales]]-Table3[[#This Row],[Discount]]</f>
        <v>0</v>
      </c>
      <c r="M294" s="58">
        <f>Table3[[#This Row],[Net Sales]]-Table3[[#This Row],[Cost Price]]*Table3[[#This Row],[QTY SOLD]]</f>
        <v>0</v>
      </c>
      <c r="N294" s="25"/>
      <c r="O294" s="25"/>
      <c r="P294" s="25"/>
      <c r="Q294" s="25"/>
      <c r="R294" s="25"/>
      <c r="S294" s="25"/>
    </row>
    <row r="295" spans="1:19" x14ac:dyDescent="0.25">
      <c r="A295" s="65"/>
      <c r="B295" s="50"/>
      <c r="C295" s="50"/>
      <c r="D295" s="50"/>
      <c r="E295" s="50" t="str">
        <f>IF(D295="","",VLOOKUP(D295,'Product Master'!$B:$C,2,FALSE))</f>
        <v/>
      </c>
      <c r="F295" s="50" t="str">
        <f>IF(D295="","",IFERROR(VLOOKUP(D295,'Product Master'!$B:$G,3,FALSE),""))</f>
        <v/>
      </c>
      <c r="G295" s="51"/>
      <c r="H295" s="52" t="str">
        <f>IF(D295="","",VLOOKUP(D295,'Product Master'!$B:$F,5,FALSE))</f>
        <v/>
      </c>
      <c r="I295" s="52">
        <f>IFERROR(VLOOKUP(D295,'Product Master'!B:E,4,FALSE),0)</f>
        <v>0</v>
      </c>
      <c r="J295" s="53">
        <f>IFERROR(Table3[[#This Row],[QTY SOLD]]*Table3[[#This Row],[Selling Price]],0)</f>
        <v>0</v>
      </c>
      <c r="K295" s="50"/>
      <c r="L295" s="50">
        <f>Table3[[#This Row],[Total Sales]]-Table3[[#This Row],[Discount]]</f>
        <v>0</v>
      </c>
      <c r="M295" s="58">
        <f>Table3[[#This Row],[Net Sales]]-Table3[[#This Row],[Cost Price]]*Table3[[#This Row],[QTY SOLD]]</f>
        <v>0</v>
      </c>
      <c r="N295" s="25"/>
      <c r="O295" s="25"/>
      <c r="P295" s="25"/>
      <c r="Q295" s="25"/>
      <c r="R295" s="25"/>
      <c r="S295" s="25"/>
    </row>
    <row r="296" spans="1:19" x14ac:dyDescent="0.25">
      <c r="A296" s="65"/>
      <c r="B296" s="50"/>
      <c r="C296" s="50"/>
      <c r="D296" s="50"/>
      <c r="E296" s="50" t="str">
        <f>IF(D296="","",VLOOKUP(D296,'Product Master'!$B:$C,2,FALSE))</f>
        <v/>
      </c>
      <c r="F296" s="50" t="str">
        <f>IF(D296="","",IFERROR(VLOOKUP(D296,'Product Master'!$B:$G,3,FALSE),""))</f>
        <v/>
      </c>
      <c r="G296" s="51"/>
      <c r="H296" s="52" t="str">
        <f>IF(D296="","",VLOOKUP(D296,'Product Master'!$B:$F,5,FALSE))</f>
        <v/>
      </c>
      <c r="I296" s="52">
        <f>IFERROR(VLOOKUP(D296,'Product Master'!B:E,4,FALSE),0)</f>
        <v>0</v>
      </c>
      <c r="J296" s="53">
        <f>IFERROR(Table3[[#This Row],[QTY SOLD]]*Table3[[#This Row],[Selling Price]],0)</f>
        <v>0</v>
      </c>
      <c r="K296" s="50"/>
      <c r="L296" s="50">
        <f>Table3[[#This Row],[Total Sales]]-Table3[[#This Row],[Discount]]</f>
        <v>0</v>
      </c>
      <c r="M296" s="58">
        <f>Table3[[#This Row],[Net Sales]]-Table3[[#This Row],[Cost Price]]*Table3[[#This Row],[QTY SOLD]]</f>
        <v>0</v>
      </c>
      <c r="N296" s="25"/>
      <c r="O296" s="25"/>
      <c r="P296" s="25"/>
      <c r="Q296" s="25"/>
      <c r="R296" s="25"/>
      <c r="S296" s="25"/>
    </row>
    <row r="297" spans="1:19" x14ac:dyDescent="0.25">
      <c r="A297" s="65"/>
      <c r="B297" s="50"/>
      <c r="C297" s="50"/>
      <c r="D297" s="50"/>
      <c r="E297" s="50" t="str">
        <f>IF(D297="","",VLOOKUP(D297,'Product Master'!$B:$C,2,FALSE))</f>
        <v/>
      </c>
      <c r="F297" s="50" t="str">
        <f>IF(D297="","",IFERROR(VLOOKUP(D297,'Product Master'!$B:$G,3,FALSE),""))</f>
        <v/>
      </c>
      <c r="G297" s="51"/>
      <c r="H297" s="52" t="str">
        <f>IF(D297="","",VLOOKUP(D297,'Product Master'!$B:$F,5,FALSE))</f>
        <v/>
      </c>
      <c r="I297" s="52">
        <f>IFERROR(VLOOKUP(D297,'Product Master'!B:E,4,FALSE),0)</f>
        <v>0</v>
      </c>
      <c r="J297" s="53">
        <f>IFERROR(Table3[[#This Row],[QTY SOLD]]*Table3[[#This Row],[Selling Price]],0)</f>
        <v>0</v>
      </c>
      <c r="K297" s="50"/>
      <c r="L297" s="50">
        <f>Table3[[#This Row],[Total Sales]]-Table3[[#This Row],[Discount]]</f>
        <v>0</v>
      </c>
      <c r="M297" s="58">
        <f>Table3[[#This Row],[Net Sales]]-Table3[[#This Row],[Cost Price]]*Table3[[#This Row],[QTY SOLD]]</f>
        <v>0</v>
      </c>
      <c r="N297" s="25"/>
      <c r="O297" s="25"/>
      <c r="P297" s="25"/>
      <c r="Q297" s="25"/>
      <c r="R297" s="25"/>
      <c r="S297" s="25"/>
    </row>
    <row r="298" spans="1:19" x14ac:dyDescent="0.25">
      <c r="A298" s="65"/>
      <c r="B298" s="50"/>
      <c r="C298" s="50"/>
      <c r="D298" s="50"/>
      <c r="E298" s="50" t="str">
        <f>IF(D298="","",VLOOKUP(D298,'Product Master'!$B:$C,2,FALSE))</f>
        <v/>
      </c>
      <c r="F298" s="50" t="str">
        <f>IF(D298="","",IFERROR(VLOOKUP(D298,'Product Master'!$B:$G,3,FALSE),""))</f>
        <v/>
      </c>
      <c r="G298" s="51"/>
      <c r="H298" s="52" t="str">
        <f>IF(D298="","",VLOOKUP(D298,'Product Master'!$B:$F,5,FALSE))</f>
        <v/>
      </c>
      <c r="I298" s="52">
        <f>IFERROR(VLOOKUP(D298,'Product Master'!B:E,4,FALSE),0)</f>
        <v>0</v>
      </c>
      <c r="J298" s="53">
        <f>IFERROR(Table3[[#This Row],[QTY SOLD]]*Table3[[#This Row],[Selling Price]],0)</f>
        <v>0</v>
      </c>
      <c r="K298" s="50"/>
      <c r="L298" s="50">
        <f>Table3[[#This Row],[Total Sales]]-Table3[[#This Row],[Discount]]</f>
        <v>0</v>
      </c>
      <c r="M298" s="58">
        <f>Table3[[#This Row],[Net Sales]]-Table3[[#This Row],[Cost Price]]*Table3[[#This Row],[QTY SOLD]]</f>
        <v>0</v>
      </c>
      <c r="N298" s="25"/>
      <c r="O298" s="25"/>
      <c r="P298" s="25"/>
      <c r="Q298" s="25"/>
      <c r="R298" s="25"/>
      <c r="S298" s="25"/>
    </row>
    <row r="299" spans="1:19" x14ac:dyDescent="0.25">
      <c r="A299" s="65"/>
      <c r="B299" s="50"/>
      <c r="C299" s="50"/>
      <c r="D299" s="50"/>
      <c r="E299" s="50" t="str">
        <f>IF(D299="","",VLOOKUP(D299,'Product Master'!$B:$C,2,FALSE))</f>
        <v/>
      </c>
      <c r="F299" s="50" t="str">
        <f>IF(D299="","",IFERROR(VLOOKUP(D299,'Product Master'!$B:$G,3,FALSE),""))</f>
        <v/>
      </c>
      <c r="G299" s="51"/>
      <c r="H299" s="52" t="str">
        <f>IF(D299="","",VLOOKUP(D299,'Product Master'!$B:$F,5,FALSE))</f>
        <v/>
      </c>
      <c r="I299" s="52">
        <f>IFERROR(VLOOKUP(D299,'Product Master'!B:E,4,FALSE),0)</f>
        <v>0</v>
      </c>
      <c r="J299" s="53">
        <f>IFERROR(Table3[[#This Row],[QTY SOLD]]*Table3[[#This Row],[Selling Price]],0)</f>
        <v>0</v>
      </c>
      <c r="K299" s="50"/>
      <c r="L299" s="50">
        <f>Table3[[#This Row],[Total Sales]]-Table3[[#This Row],[Discount]]</f>
        <v>0</v>
      </c>
      <c r="M299" s="58">
        <f>Table3[[#This Row],[Net Sales]]-Table3[[#This Row],[Cost Price]]*Table3[[#This Row],[QTY SOLD]]</f>
        <v>0</v>
      </c>
      <c r="N299" s="25"/>
      <c r="O299" s="25"/>
      <c r="P299" s="25"/>
      <c r="Q299" s="25"/>
      <c r="R299" s="25"/>
      <c r="S299" s="25"/>
    </row>
    <row r="300" spans="1:19" x14ac:dyDescent="0.25">
      <c r="A300" s="65"/>
      <c r="B300" s="50"/>
      <c r="C300" s="50"/>
      <c r="D300" s="50"/>
      <c r="E300" s="50" t="str">
        <f>IF(D300="","",VLOOKUP(D300,'Product Master'!$B:$C,2,FALSE))</f>
        <v/>
      </c>
      <c r="F300" s="50" t="str">
        <f>IF(D300="","",IFERROR(VLOOKUP(D300,'Product Master'!$B:$G,3,FALSE),""))</f>
        <v/>
      </c>
      <c r="G300" s="51"/>
      <c r="H300" s="52" t="str">
        <f>IF(D300="","",VLOOKUP(D300,'Product Master'!$B:$F,5,FALSE))</f>
        <v/>
      </c>
      <c r="I300" s="52">
        <f>IFERROR(VLOOKUP(D300,'Product Master'!B:E,4,FALSE),0)</f>
        <v>0</v>
      </c>
      <c r="J300" s="53">
        <f>IFERROR(Table3[[#This Row],[QTY SOLD]]*Table3[[#This Row],[Selling Price]],0)</f>
        <v>0</v>
      </c>
      <c r="K300" s="50"/>
      <c r="L300" s="50">
        <f>Table3[[#This Row],[Total Sales]]-Table3[[#This Row],[Discount]]</f>
        <v>0</v>
      </c>
      <c r="M300" s="58">
        <f>Table3[[#This Row],[Net Sales]]-Table3[[#This Row],[Cost Price]]*Table3[[#This Row],[QTY SOLD]]</f>
        <v>0</v>
      </c>
      <c r="N300" s="25"/>
      <c r="O300" s="25"/>
      <c r="P300" s="25"/>
      <c r="Q300" s="25"/>
      <c r="R300" s="25"/>
      <c r="S300" s="25"/>
    </row>
    <row r="301" spans="1:19" x14ac:dyDescent="0.25">
      <c r="A301" s="65"/>
      <c r="B301" s="50"/>
      <c r="C301" s="50"/>
      <c r="D301" s="50"/>
      <c r="E301" s="50" t="str">
        <f>IF(D301="","",VLOOKUP(D301,'Product Master'!$B:$C,2,FALSE))</f>
        <v/>
      </c>
      <c r="F301" s="50" t="str">
        <f>IF(D301="","",IFERROR(VLOOKUP(D301,'Product Master'!$B:$G,3,FALSE),""))</f>
        <v/>
      </c>
      <c r="G301" s="51"/>
      <c r="H301" s="52" t="str">
        <f>IF(D301="","",VLOOKUP(D301,'Product Master'!$B:$F,5,FALSE))</f>
        <v/>
      </c>
      <c r="I301" s="52">
        <f>IFERROR(VLOOKUP(D301,'Product Master'!B:E,4,FALSE),0)</f>
        <v>0</v>
      </c>
      <c r="J301" s="53">
        <f>IFERROR(Table3[[#This Row],[QTY SOLD]]*Table3[[#This Row],[Selling Price]],0)</f>
        <v>0</v>
      </c>
      <c r="K301" s="50"/>
      <c r="L301" s="50">
        <f>Table3[[#This Row],[Total Sales]]-Table3[[#This Row],[Discount]]</f>
        <v>0</v>
      </c>
      <c r="M301" s="58">
        <f>Table3[[#This Row],[Net Sales]]-Table3[[#This Row],[Cost Price]]*Table3[[#This Row],[QTY SOLD]]</f>
        <v>0</v>
      </c>
      <c r="N301" s="25"/>
      <c r="O301" s="25"/>
      <c r="P301" s="25"/>
      <c r="Q301" s="25"/>
      <c r="R301" s="25"/>
      <c r="S301" s="25"/>
    </row>
    <row r="302" spans="1:19" x14ac:dyDescent="0.25">
      <c r="A302" s="65"/>
      <c r="B302" s="50"/>
      <c r="C302" s="50"/>
      <c r="D302" s="50"/>
      <c r="E302" s="50" t="str">
        <f>IF(D302="","",VLOOKUP(D302,'Product Master'!$B:$C,2,FALSE))</f>
        <v/>
      </c>
      <c r="F302" s="50" t="str">
        <f>IF(D302="","",IFERROR(VLOOKUP(D302,'Product Master'!$B:$G,3,FALSE),""))</f>
        <v/>
      </c>
      <c r="G302" s="51"/>
      <c r="H302" s="52" t="str">
        <f>IF(D302="","",VLOOKUP(D302,'Product Master'!$B:$F,5,FALSE))</f>
        <v/>
      </c>
      <c r="I302" s="52">
        <f>IFERROR(VLOOKUP(D302,'Product Master'!B:E,4,FALSE),0)</f>
        <v>0</v>
      </c>
      <c r="J302" s="53">
        <f>IFERROR(Table3[[#This Row],[QTY SOLD]]*Table3[[#This Row],[Selling Price]],0)</f>
        <v>0</v>
      </c>
      <c r="K302" s="50"/>
      <c r="L302" s="50">
        <f>Table3[[#This Row],[Total Sales]]-Table3[[#This Row],[Discount]]</f>
        <v>0</v>
      </c>
      <c r="M302" s="58">
        <f>Table3[[#This Row],[Net Sales]]-Table3[[#This Row],[Cost Price]]*Table3[[#This Row],[QTY SOLD]]</f>
        <v>0</v>
      </c>
      <c r="N302" s="25"/>
      <c r="O302" s="25"/>
      <c r="P302" s="25"/>
      <c r="Q302" s="25"/>
      <c r="R302" s="25"/>
      <c r="S302" s="25"/>
    </row>
    <row r="303" spans="1:19" x14ac:dyDescent="0.25">
      <c r="A303" s="65"/>
      <c r="B303" s="50"/>
      <c r="C303" s="50"/>
      <c r="D303" s="50"/>
      <c r="E303" s="50" t="str">
        <f>IF(D303="","",VLOOKUP(D303,'Product Master'!$B:$C,2,FALSE))</f>
        <v/>
      </c>
      <c r="F303" s="50" t="str">
        <f>IF(D303="","",IFERROR(VLOOKUP(D303,'Product Master'!$B:$G,3,FALSE),""))</f>
        <v/>
      </c>
      <c r="G303" s="51"/>
      <c r="H303" s="52" t="str">
        <f>IF(D303="","",VLOOKUP(D303,'Product Master'!$B:$F,5,FALSE))</f>
        <v/>
      </c>
      <c r="I303" s="52">
        <f>IFERROR(VLOOKUP(D303,'Product Master'!B:E,4,FALSE),0)</f>
        <v>0</v>
      </c>
      <c r="J303" s="53">
        <f>IFERROR(Table3[[#This Row],[QTY SOLD]]*Table3[[#This Row],[Selling Price]],0)</f>
        <v>0</v>
      </c>
      <c r="K303" s="50"/>
      <c r="L303" s="50">
        <f>Table3[[#This Row],[Total Sales]]-Table3[[#This Row],[Discount]]</f>
        <v>0</v>
      </c>
      <c r="M303" s="58">
        <f>Table3[[#This Row],[Net Sales]]-Table3[[#This Row],[Cost Price]]*Table3[[#This Row],[QTY SOLD]]</f>
        <v>0</v>
      </c>
      <c r="N303" s="25"/>
      <c r="O303" s="25"/>
      <c r="P303" s="25"/>
      <c r="Q303" s="25"/>
      <c r="R303" s="25"/>
      <c r="S303" s="25"/>
    </row>
    <row r="304" spans="1:19" x14ac:dyDescent="0.25">
      <c r="A304" s="65"/>
      <c r="B304" s="50"/>
      <c r="C304" s="50"/>
      <c r="D304" s="50"/>
      <c r="E304" s="50" t="str">
        <f>IF(D304="","",VLOOKUP(D304,'Product Master'!$B:$C,2,FALSE))</f>
        <v/>
      </c>
      <c r="F304" s="50" t="str">
        <f>IF(D304="","",IFERROR(VLOOKUP(D304,'Product Master'!$B:$G,3,FALSE),""))</f>
        <v/>
      </c>
      <c r="G304" s="51"/>
      <c r="H304" s="52" t="str">
        <f>IF(D304="","",VLOOKUP(D304,'Product Master'!$B:$F,5,FALSE))</f>
        <v/>
      </c>
      <c r="I304" s="52">
        <f>IFERROR(VLOOKUP(D304,'Product Master'!B:E,4,FALSE),0)</f>
        <v>0</v>
      </c>
      <c r="J304" s="53">
        <f>IFERROR(Table3[[#This Row],[QTY SOLD]]*Table3[[#This Row],[Selling Price]],0)</f>
        <v>0</v>
      </c>
      <c r="K304" s="50"/>
      <c r="L304" s="50">
        <f>Table3[[#This Row],[Total Sales]]-Table3[[#This Row],[Discount]]</f>
        <v>0</v>
      </c>
      <c r="M304" s="58">
        <f>Table3[[#This Row],[Net Sales]]-Table3[[#This Row],[Cost Price]]*Table3[[#This Row],[QTY SOLD]]</f>
        <v>0</v>
      </c>
      <c r="N304" s="25"/>
      <c r="O304" s="25"/>
      <c r="P304" s="25"/>
      <c r="Q304" s="25"/>
      <c r="R304" s="25"/>
      <c r="S304" s="25"/>
    </row>
    <row r="305" spans="1:19" x14ac:dyDescent="0.25">
      <c r="A305" s="65"/>
      <c r="B305" s="50"/>
      <c r="C305" s="50"/>
      <c r="D305" s="50"/>
      <c r="E305" s="50" t="str">
        <f>IF(D305="","",VLOOKUP(D305,'Product Master'!$B:$C,2,FALSE))</f>
        <v/>
      </c>
      <c r="F305" s="50" t="str">
        <f>IF(D305="","",IFERROR(VLOOKUP(D305,'Product Master'!$B:$G,3,FALSE),""))</f>
        <v/>
      </c>
      <c r="G305" s="51"/>
      <c r="H305" s="52" t="str">
        <f>IF(D305="","",VLOOKUP(D305,'Product Master'!$B:$F,5,FALSE))</f>
        <v/>
      </c>
      <c r="I305" s="52">
        <f>IFERROR(VLOOKUP(D305,'Product Master'!B:E,4,FALSE),0)</f>
        <v>0</v>
      </c>
      <c r="J305" s="53">
        <f>IFERROR(Table3[[#This Row],[QTY SOLD]]*Table3[[#This Row],[Selling Price]],0)</f>
        <v>0</v>
      </c>
      <c r="K305" s="50"/>
      <c r="L305" s="50">
        <f>Table3[[#This Row],[Total Sales]]-Table3[[#This Row],[Discount]]</f>
        <v>0</v>
      </c>
      <c r="M305" s="58">
        <f>Table3[[#This Row],[Net Sales]]-Table3[[#This Row],[Cost Price]]*Table3[[#This Row],[QTY SOLD]]</f>
        <v>0</v>
      </c>
      <c r="N305" s="25"/>
      <c r="O305" s="25"/>
      <c r="P305" s="25"/>
      <c r="Q305" s="25"/>
      <c r="R305" s="25"/>
      <c r="S305" s="25"/>
    </row>
    <row r="306" spans="1:19" x14ac:dyDescent="0.25">
      <c r="A306" s="65"/>
      <c r="B306" s="50"/>
      <c r="C306" s="50"/>
      <c r="D306" s="50"/>
      <c r="E306" s="50" t="str">
        <f>IF(D306="","",VLOOKUP(D306,'Product Master'!$B:$C,2,FALSE))</f>
        <v/>
      </c>
      <c r="F306" s="50" t="str">
        <f>IF(D306="","",IFERROR(VLOOKUP(D306,'Product Master'!$B:$G,3,FALSE),""))</f>
        <v/>
      </c>
      <c r="G306" s="51"/>
      <c r="H306" s="52" t="str">
        <f>IF(D306="","",VLOOKUP(D306,'Product Master'!$B:$F,5,FALSE))</f>
        <v/>
      </c>
      <c r="I306" s="52">
        <f>IFERROR(VLOOKUP(D306,'Product Master'!B:E,4,FALSE),0)</f>
        <v>0</v>
      </c>
      <c r="J306" s="53">
        <f>IFERROR(Table3[[#This Row],[QTY SOLD]]*Table3[[#This Row],[Selling Price]],0)</f>
        <v>0</v>
      </c>
      <c r="K306" s="50"/>
      <c r="L306" s="50">
        <f>Table3[[#This Row],[Total Sales]]-Table3[[#This Row],[Discount]]</f>
        <v>0</v>
      </c>
      <c r="M306" s="58">
        <f>Table3[[#This Row],[Net Sales]]-Table3[[#This Row],[Cost Price]]*Table3[[#This Row],[QTY SOLD]]</f>
        <v>0</v>
      </c>
      <c r="N306" s="25"/>
      <c r="O306" s="25"/>
      <c r="P306" s="25"/>
      <c r="Q306" s="25"/>
      <c r="R306" s="25"/>
      <c r="S306" s="25"/>
    </row>
    <row r="307" spans="1:19" x14ac:dyDescent="0.25">
      <c r="A307" s="65"/>
      <c r="B307" s="50"/>
      <c r="C307" s="50"/>
      <c r="D307" s="50"/>
      <c r="E307" s="50" t="str">
        <f>IF(D307="","",VLOOKUP(D307,'Product Master'!$B:$C,2,FALSE))</f>
        <v/>
      </c>
      <c r="F307" s="50" t="str">
        <f>IF(D307="","",IFERROR(VLOOKUP(D307,'Product Master'!$B:$G,3,FALSE),""))</f>
        <v/>
      </c>
      <c r="G307" s="51"/>
      <c r="H307" s="52" t="str">
        <f>IF(D307="","",VLOOKUP(D307,'Product Master'!$B:$F,5,FALSE))</f>
        <v/>
      </c>
      <c r="I307" s="52">
        <f>IFERROR(VLOOKUP(D307,'Product Master'!B:E,4,FALSE),0)</f>
        <v>0</v>
      </c>
      <c r="J307" s="53">
        <f>IFERROR(Table3[[#This Row],[QTY SOLD]]*Table3[[#This Row],[Selling Price]],0)</f>
        <v>0</v>
      </c>
      <c r="K307" s="50"/>
      <c r="L307" s="50">
        <f>Table3[[#This Row],[Total Sales]]-Table3[[#This Row],[Discount]]</f>
        <v>0</v>
      </c>
      <c r="M307" s="58">
        <f>Table3[[#This Row],[Net Sales]]-Table3[[#This Row],[Cost Price]]*Table3[[#This Row],[QTY SOLD]]</f>
        <v>0</v>
      </c>
      <c r="N307" s="25"/>
      <c r="O307" s="25"/>
      <c r="P307" s="25"/>
      <c r="Q307" s="25"/>
      <c r="R307" s="25"/>
      <c r="S307" s="25"/>
    </row>
    <row r="308" spans="1:19" x14ac:dyDescent="0.25">
      <c r="A308" s="65"/>
      <c r="B308" s="50"/>
      <c r="C308" s="50"/>
      <c r="D308" s="50"/>
      <c r="E308" s="50" t="str">
        <f>IF(D308="","",VLOOKUP(D308,'Product Master'!$B:$C,2,FALSE))</f>
        <v/>
      </c>
      <c r="F308" s="50" t="str">
        <f>IF(D308="","",IFERROR(VLOOKUP(D308,'Product Master'!$B:$G,3,FALSE),""))</f>
        <v/>
      </c>
      <c r="G308" s="51"/>
      <c r="H308" s="52" t="str">
        <f>IF(D308="","",VLOOKUP(D308,'Product Master'!$B:$F,5,FALSE))</f>
        <v/>
      </c>
      <c r="I308" s="52">
        <f>IFERROR(VLOOKUP(D308,'Product Master'!B:E,4,FALSE),0)</f>
        <v>0</v>
      </c>
      <c r="J308" s="53">
        <f>IFERROR(Table3[[#This Row],[QTY SOLD]]*Table3[[#This Row],[Selling Price]],0)</f>
        <v>0</v>
      </c>
      <c r="K308" s="50"/>
      <c r="L308" s="50">
        <f>Table3[[#This Row],[Total Sales]]-Table3[[#This Row],[Discount]]</f>
        <v>0</v>
      </c>
      <c r="M308" s="58">
        <f>Table3[[#This Row],[Net Sales]]-Table3[[#This Row],[Cost Price]]*Table3[[#This Row],[QTY SOLD]]</f>
        <v>0</v>
      </c>
      <c r="N308" s="25"/>
      <c r="O308" s="25"/>
      <c r="P308" s="25"/>
      <c r="Q308" s="25"/>
      <c r="R308" s="25"/>
      <c r="S308" s="25"/>
    </row>
    <row r="309" spans="1:19" x14ac:dyDescent="0.25">
      <c r="A309" s="65"/>
      <c r="B309" s="50"/>
      <c r="C309" s="50"/>
      <c r="D309" s="50"/>
      <c r="E309" s="50" t="str">
        <f>IF(D309="","",VLOOKUP(D309,'Product Master'!$B:$C,2,FALSE))</f>
        <v/>
      </c>
      <c r="F309" s="50" t="str">
        <f>IF(D309="","",IFERROR(VLOOKUP(D309,'Product Master'!$B:$G,3,FALSE),""))</f>
        <v/>
      </c>
      <c r="G309" s="51"/>
      <c r="H309" s="52" t="str">
        <f>IF(D309="","",VLOOKUP(D309,'Product Master'!$B:$F,5,FALSE))</f>
        <v/>
      </c>
      <c r="I309" s="52">
        <f>IFERROR(VLOOKUP(D309,'Product Master'!B:E,4,FALSE),0)</f>
        <v>0</v>
      </c>
      <c r="J309" s="53">
        <f>IFERROR(Table3[[#This Row],[QTY SOLD]]*Table3[[#This Row],[Selling Price]],0)</f>
        <v>0</v>
      </c>
      <c r="K309" s="50"/>
      <c r="L309" s="50">
        <f>Table3[[#This Row],[Total Sales]]-Table3[[#This Row],[Discount]]</f>
        <v>0</v>
      </c>
      <c r="M309" s="58">
        <f>Table3[[#This Row],[Net Sales]]-Table3[[#This Row],[Cost Price]]*Table3[[#This Row],[QTY SOLD]]</f>
        <v>0</v>
      </c>
      <c r="N309" s="25"/>
      <c r="O309" s="25"/>
      <c r="P309" s="25"/>
      <c r="Q309" s="25"/>
      <c r="R309" s="25"/>
      <c r="S309" s="25"/>
    </row>
    <row r="310" spans="1:19" x14ac:dyDescent="0.25">
      <c r="A310" s="65"/>
      <c r="B310" s="50"/>
      <c r="C310" s="50"/>
      <c r="D310" s="50"/>
      <c r="E310" s="50" t="str">
        <f>IF(D310="","",VLOOKUP(D310,'Product Master'!$B:$C,2,FALSE))</f>
        <v/>
      </c>
      <c r="F310" s="50" t="str">
        <f>IF(D310="","",IFERROR(VLOOKUP(D310,'Product Master'!$B:$G,3,FALSE),""))</f>
        <v/>
      </c>
      <c r="G310" s="51"/>
      <c r="H310" s="52" t="str">
        <f>IF(D310="","",VLOOKUP(D310,'Product Master'!$B:$F,5,FALSE))</f>
        <v/>
      </c>
      <c r="I310" s="52">
        <f>IFERROR(VLOOKUP(D310,'Product Master'!B:E,4,FALSE),0)</f>
        <v>0</v>
      </c>
      <c r="J310" s="53">
        <f>IFERROR(Table3[[#This Row],[QTY SOLD]]*Table3[[#This Row],[Selling Price]],0)</f>
        <v>0</v>
      </c>
      <c r="K310" s="50"/>
      <c r="L310" s="50">
        <f>Table3[[#This Row],[Total Sales]]-Table3[[#This Row],[Discount]]</f>
        <v>0</v>
      </c>
      <c r="M310" s="58">
        <f>Table3[[#This Row],[Net Sales]]-Table3[[#This Row],[Cost Price]]*Table3[[#This Row],[QTY SOLD]]</f>
        <v>0</v>
      </c>
      <c r="N310" s="25"/>
      <c r="O310" s="25"/>
      <c r="P310" s="25"/>
      <c r="Q310" s="25"/>
      <c r="R310" s="25"/>
      <c r="S310" s="25"/>
    </row>
    <row r="311" spans="1:19" x14ac:dyDescent="0.25">
      <c r="A311" s="65"/>
      <c r="B311" s="50"/>
      <c r="C311" s="50"/>
      <c r="D311" s="50"/>
      <c r="E311" s="50" t="str">
        <f>IF(D311="","",VLOOKUP(D311,'Product Master'!$B:$C,2,FALSE))</f>
        <v/>
      </c>
      <c r="F311" s="50" t="str">
        <f>IF(D311="","",IFERROR(VLOOKUP(D311,'Product Master'!$B:$G,3,FALSE),""))</f>
        <v/>
      </c>
      <c r="G311" s="51"/>
      <c r="H311" s="52" t="str">
        <f>IF(D311="","",VLOOKUP(D311,'Product Master'!$B:$F,5,FALSE))</f>
        <v/>
      </c>
      <c r="I311" s="52">
        <f>IFERROR(VLOOKUP(D311,'Product Master'!B:E,4,FALSE),0)</f>
        <v>0</v>
      </c>
      <c r="J311" s="53">
        <f>IFERROR(Table3[[#This Row],[QTY SOLD]]*Table3[[#This Row],[Selling Price]],0)</f>
        <v>0</v>
      </c>
      <c r="K311" s="50"/>
      <c r="L311" s="50">
        <f>Table3[[#This Row],[Total Sales]]-Table3[[#This Row],[Discount]]</f>
        <v>0</v>
      </c>
      <c r="M311" s="58">
        <f>Table3[[#This Row],[Net Sales]]-Table3[[#This Row],[Cost Price]]*Table3[[#This Row],[QTY SOLD]]</f>
        <v>0</v>
      </c>
      <c r="N311" s="25"/>
      <c r="O311" s="25"/>
      <c r="P311" s="25"/>
      <c r="Q311" s="25"/>
      <c r="R311" s="25"/>
      <c r="S311" s="25"/>
    </row>
    <row r="312" spans="1:19" x14ac:dyDescent="0.25">
      <c r="A312" s="65"/>
      <c r="B312" s="50"/>
      <c r="C312" s="50"/>
      <c r="D312" s="50"/>
      <c r="E312" s="50" t="str">
        <f>IF(D312="","",VLOOKUP(D312,'Product Master'!$B:$C,2,FALSE))</f>
        <v/>
      </c>
      <c r="F312" s="50" t="str">
        <f>IF(D312="","",IFERROR(VLOOKUP(D312,'Product Master'!$B:$G,3,FALSE),""))</f>
        <v/>
      </c>
      <c r="G312" s="51"/>
      <c r="H312" s="52" t="str">
        <f>IF(D312="","",VLOOKUP(D312,'Product Master'!$B:$F,5,FALSE))</f>
        <v/>
      </c>
      <c r="I312" s="52">
        <f>IFERROR(VLOOKUP(D312,'Product Master'!B:E,4,FALSE),0)</f>
        <v>0</v>
      </c>
      <c r="J312" s="53">
        <f>IFERROR(Table3[[#This Row],[QTY SOLD]]*Table3[[#This Row],[Selling Price]],0)</f>
        <v>0</v>
      </c>
      <c r="K312" s="50"/>
      <c r="L312" s="50">
        <f>Table3[[#This Row],[Total Sales]]-Table3[[#This Row],[Discount]]</f>
        <v>0</v>
      </c>
      <c r="M312" s="58">
        <f>Table3[[#This Row],[Net Sales]]-Table3[[#This Row],[Cost Price]]*Table3[[#This Row],[QTY SOLD]]</f>
        <v>0</v>
      </c>
      <c r="N312" s="25"/>
      <c r="O312" s="25"/>
      <c r="P312" s="25"/>
      <c r="Q312" s="25"/>
      <c r="R312" s="25"/>
      <c r="S312" s="25"/>
    </row>
    <row r="313" spans="1:19" x14ac:dyDescent="0.25">
      <c r="A313" s="65"/>
      <c r="B313" s="50"/>
      <c r="C313" s="50"/>
      <c r="D313" s="50"/>
      <c r="E313" s="50" t="str">
        <f>IF(D313="","",VLOOKUP(D313,'Product Master'!$B:$C,2,FALSE))</f>
        <v/>
      </c>
      <c r="F313" s="50" t="str">
        <f>IF(D313="","",IFERROR(VLOOKUP(D313,'Product Master'!$B:$G,3,FALSE),""))</f>
        <v/>
      </c>
      <c r="G313" s="51"/>
      <c r="H313" s="52" t="str">
        <f>IF(D313="","",VLOOKUP(D313,'Product Master'!$B:$F,5,FALSE))</f>
        <v/>
      </c>
      <c r="I313" s="52">
        <f>IFERROR(VLOOKUP(D313,'Product Master'!B:E,4,FALSE),0)</f>
        <v>0</v>
      </c>
      <c r="J313" s="53">
        <f>IFERROR(Table3[[#This Row],[QTY SOLD]]*Table3[[#This Row],[Selling Price]],0)</f>
        <v>0</v>
      </c>
      <c r="K313" s="50"/>
      <c r="L313" s="50">
        <f>Table3[[#This Row],[Total Sales]]-Table3[[#This Row],[Discount]]</f>
        <v>0</v>
      </c>
      <c r="M313" s="58">
        <f>Table3[[#This Row],[Net Sales]]-Table3[[#This Row],[Cost Price]]*Table3[[#This Row],[QTY SOLD]]</f>
        <v>0</v>
      </c>
      <c r="N313" s="25"/>
      <c r="O313" s="25"/>
      <c r="P313" s="25"/>
      <c r="Q313" s="25"/>
      <c r="R313" s="25"/>
      <c r="S313" s="25"/>
    </row>
    <row r="314" spans="1:19" x14ac:dyDescent="0.25">
      <c r="A314" s="65"/>
      <c r="B314" s="50"/>
      <c r="C314" s="50"/>
      <c r="D314" s="50"/>
      <c r="E314" s="50" t="str">
        <f>IF(D314="","",VLOOKUP(D314,'Product Master'!$B:$C,2,FALSE))</f>
        <v/>
      </c>
      <c r="F314" s="50" t="str">
        <f>IF(D314="","",IFERROR(VLOOKUP(D314,'Product Master'!$B:$G,3,FALSE),""))</f>
        <v/>
      </c>
      <c r="G314" s="51"/>
      <c r="H314" s="52" t="str">
        <f>IF(D314="","",VLOOKUP(D314,'Product Master'!$B:$F,5,FALSE))</f>
        <v/>
      </c>
      <c r="I314" s="52">
        <f>IFERROR(VLOOKUP(D314,'Product Master'!B:E,4,FALSE),0)</f>
        <v>0</v>
      </c>
      <c r="J314" s="53">
        <f>IFERROR(Table3[[#This Row],[QTY SOLD]]*Table3[[#This Row],[Selling Price]],0)</f>
        <v>0</v>
      </c>
      <c r="K314" s="50"/>
      <c r="L314" s="50">
        <f>Table3[[#This Row],[Total Sales]]-Table3[[#This Row],[Discount]]</f>
        <v>0</v>
      </c>
      <c r="M314" s="58">
        <f>Table3[[#This Row],[Net Sales]]-Table3[[#This Row],[Cost Price]]*Table3[[#This Row],[QTY SOLD]]</f>
        <v>0</v>
      </c>
      <c r="N314" s="25"/>
      <c r="O314" s="25"/>
      <c r="P314" s="25"/>
      <c r="Q314" s="25"/>
      <c r="R314" s="25"/>
      <c r="S314" s="25"/>
    </row>
    <row r="315" spans="1:19" x14ac:dyDescent="0.25">
      <c r="A315" s="65"/>
      <c r="B315" s="50"/>
      <c r="C315" s="50"/>
      <c r="D315" s="50"/>
      <c r="E315" s="50" t="str">
        <f>IF(D315="","",VLOOKUP(D315,'Product Master'!$B:$C,2,FALSE))</f>
        <v/>
      </c>
      <c r="F315" s="50" t="str">
        <f>IF(D315="","",IFERROR(VLOOKUP(D315,'Product Master'!$B:$G,3,FALSE),""))</f>
        <v/>
      </c>
      <c r="G315" s="51"/>
      <c r="H315" s="52" t="str">
        <f>IF(D315="","",VLOOKUP(D315,'Product Master'!$B:$F,5,FALSE))</f>
        <v/>
      </c>
      <c r="I315" s="52">
        <f>IFERROR(VLOOKUP(D315,'Product Master'!B:E,4,FALSE),0)</f>
        <v>0</v>
      </c>
      <c r="J315" s="53">
        <f>IFERROR(Table3[[#This Row],[QTY SOLD]]*Table3[[#This Row],[Selling Price]],0)</f>
        <v>0</v>
      </c>
      <c r="K315" s="50"/>
      <c r="L315" s="50">
        <f>Table3[[#This Row],[Total Sales]]-Table3[[#This Row],[Discount]]</f>
        <v>0</v>
      </c>
      <c r="M315" s="58">
        <f>Table3[[#This Row],[Net Sales]]-Table3[[#This Row],[Cost Price]]*Table3[[#This Row],[QTY SOLD]]</f>
        <v>0</v>
      </c>
      <c r="N315" s="25"/>
      <c r="O315" s="25"/>
      <c r="P315" s="25"/>
      <c r="Q315" s="25"/>
      <c r="R315" s="25"/>
      <c r="S315" s="25"/>
    </row>
    <row r="316" spans="1:19" x14ac:dyDescent="0.25">
      <c r="A316" s="65"/>
      <c r="B316" s="50"/>
      <c r="C316" s="50"/>
      <c r="D316" s="50"/>
      <c r="E316" s="50" t="str">
        <f>IF(D316="","",VLOOKUP(D316,'Product Master'!$B:$C,2,FALSE))</f>
        <v/>
      </c>
      <c r="F316" s="50" t="str">
        <f>IF(D316="","",IFERROR(VLOOKUP(D316,'Product Master'!$B:$G,3,FALSE),""))</f>
        <v/>
      </c>
      <c r="G316" s="51"/>
      <c r="H316" s="52" t="str">
        <f>IF(D316="","",VLOOKUP(D316,'Product Master'!$B:$F,5,FALSE))</f>
        <v/>
      </c>
      <c r="I316" s="52">
        <f>IFERROR(VLOOKUP(D316,'Product Master'!B:E,4,FALSE),0)</f>
        <v>0</v>
      </c>
      <c r="J316" s="53">
        <f>IFERROR(Table3[[#This Row],[QTY SOLD]]*Table3[[#This Row],[Selling Price]],0)</f>
        <v>0</v>
      </c>
      <c r="K316" s="50"/>
      <c r="L316" s="50">
        <f>Table3[[#This Row],[Total Sales]]-Table3[[#This Row],[Discount]]</f>
        <v>0</v>
      </c>
      <c r="M316" s="58">
        <f>Table3[[#This Row],[Net Sales]]-Table3[[#This Row],[Cost Price]]*Table3[[#This Row],[QTY SOLD]]</f>
        <v>0</v>
      </c>
      <c r="N316" s="25"/>
      <c r="O316" s="25"/>
      <c r="P316" s="25"/>
      <c r="Q316" s="25"/>
      <c r="R316" s="25"/>
      <c r="S316" s="25"/>
    </row>
    <row r="317" spans="1:19" x14ac:dyDescent="0.25">
      <c r="A317" s="65"/>
      <c r="B317" s="50"/>
      <c r="C317" s="50"/>
      <c r="D317" s="50"/>
      <c r="E317" s="50" t="str">
        <f>IF(D317="","",VLOOKUP(D317,'Product Master'!$B:$C,2,FALSE))</f>
        <v/>
      </c>
      <c r="F317" s="50" t="str">
        <f>IF(D317="","",IFERROR(VLOOKUP(D317,'Product Master'!$B:$G,3,FALSE),""))</f>
        <v/>
      </c>
      <c r="G317" s="51"/>
      <c r="H317" s="52" t="str">
        <f>IF(D317="","",VLOOKUP(D317,'Product Master'!$B:$F,5,FALSE))</f>
        <v/>
      </c>
      <c r="I317" s="52">
        <f>IFERROR(VLOOKUP(D317,'Product Master'!B:E,4,FALSE),0)</f>
        <v>0</v>
      </c>
      <c r="J317" s="53">
        <f>IFERROR(Table3[[#This Row],[QTY SOLD]]*Table3[[#This Row],[Selling Price]],0)</f>
        <v>0</v>
      </c>
      <c r="K317" s="50"/>
      <c r="L317" s="50">
        <f>Table3[[#This Row],[Total Sales]]-Table3[[#This Row],[Discount]]</f>
        <v>0</v>
      </c>
      <c r="M317" s="58">
        <f>Table3[[#This Row],[Net Sales]]-Table3[[#This Row],[Cost Price]]*Table3[[#This Row],[QTY SOLD]]</f>
        <v>0</v>
      </c>
      <c r="N317" s="25"/>
      <c r="O317" s="25"/>
      <c r="P317" s="25"/>
      <c r="Q317" s="25"/>
      <c r="R317" s="25"/>
      <c r="S317" s="25"/>
    </row>
    <row r="318" spans="1:19" x14ac:dyDescent="0.25">
      <c r="A318" s="65"/>
      <c r="B318" s="50"/>
      <c r="C318" s="50"/>
      <c r="D318" s="50"/>
      <c r="E318" s="50" t="str">
        <f>IF(D318="","",VLOOKUP(D318,'Product Master'!$B:$C,2,FALSE))</f>
        <v/>
      </c>
      <c r="F318" s="50" t="str">
        <f>IF(D318="","",IFERROR(VLOOKUP(D318,'Product Master'!$B:$G,3,FALSE),""))</f>
        <v/>
      </c>
      <c r="G318" s="51"/>
      <c r="H318" s="52" t="str">
        <f>IF(D318="","",VLOOKUP(D318,'Product Master'!$B:$F,5,FALSE))</f>
        <v/>
      </c>
      <c r="I318" s="52">
        <f>IFERROR(VLOOKUP(D318,'Product Master'!B:E,4,FALSE),0)</f>
        <v>0</v>
      </c>
      <c r="J318" s="53">
        <f>IFERROR(Table3[[#This Row],[QTY SOLD]]*Table3[[#This Row],[Selling Price]],0)</f>
        <v>0</v>
      </c>
      <c r="K318" s="50"/>
      <c r="L318" s="50">
        <f>Table3[[#This Row],[Total Sales]]-Table3[[#This Row],[Discount]]</f>
        <v>0</v>
      </c>
      <c r="M318" s="58">
        <f>Table3[[#This Row],[Net Sales]]-Table3[[#This Row],[Cost Price]]*Table3[[#This Row],[QTY SOLD]]</f>
        <v>0</v>
      </c>
      <c r="N318" s="25"/>
      <c r="O318" s="25"/>
      <c r="P318" s="25"/>
      <c r="Q318" s="25"/>
      <c r="R318" s="25"/>
      <c r="S318" s="25"/>
    </row>
    <row r="319" spans="1:19" x14ac:dyDescent="0.25">
      <c r="A319" s="65"/>
      <c r="B319" s="50"/>
      <c r="C319" s="50"/>
      <c r="D319" s="50"/>
      <c r="E319" s="50" t="str">
        <f>IF(D319="","",VLOOKUP(D319,'Product Master'!$B:$C,2,FALSE))</f>
        <v/>
      </c>
      <c r="F319" s="50" t="str">
        <f>IF(D319="","",IFERROR(VLOOKUP(D319,'Product Master'!$B:$G,3,FALSE),""))</f>
        <v/>
      </c>
      <c r="G319" s="51"/>
      <c r="H319" s="52" t="str">
        <f>IF(D319="","",VLOOKUP(D319,'Product Master'!$B:$F,5,FALSE))</f>
        <v/>
      </c>
      <c r="I319" s="52">
        <f>IFERROR(VLOOKUP(D319,'Product Master'!B:E,4,FALSE),0)</f>
        <v>0</v>
      </c>
      <c r="J319" s="53">
        <f>IFERROR(Table3[[#This Row],[QTY SOLD]]*Table3[[#This Row],[Selling Price]],0)</f>
        <v>0</v>
      </c>
      <c r="K319" s="50"/>
      <c r="L319" s="50">
        <f>Table3[[#This Row],[Total Sales]]-Table3[[#This Row],[Discount]]</f>
        <v>0</v>
      </c>
      <c r="M319" s="58">
        <f>Table3[[#This Row],[Net Sales]]-Table3[[#This Row],[Cost Price]]*Table3[[#This Row],[QTY SOLD]]</f>
        <v>0</v>
      </c>
      <c r="N319" s="25"/>
      <c r="O319" s="25"/>
      <c r="P319" s="25"/>
      <c r="Q319" s="25"/>
      <c r="R319" s="25"/>
      <c r="S319" s="25"/>
    </row>
    <row r="320" spans="1:19" x14ac:dyDescent="0.25">
      <c r="A320" s="65"/>
      <c r="B320" s="50"/>
      <c r="C320" s="50"/>
      <c r="D320" s="50"/>
      <c r="E320" s="50" t="str">
        <f>IF(D320="","",VLOOKUP(D320,'Product Master'!$B:$C,2,FALSE))</f>
        <v/>
      </c>
      <c r="F320" s="50" t="str">
        <f>IF(D320="","",IFERROR(VLOOKUP(D320,'Product Master'!$B:$G,3,FALSE),""))</f>
        <v/>
      </c>
      <c r="G320" s="51"/>
      <c r="H320" s="52" t="str">
        <f>IF(D320="","",VLOOKUP(D320,'Product Master'!$B:$F,5,FALSE))</f>
        <v/>
      </c>
      <c r="I320" s="52">
        <f>IFERROR(VLOOKUP(D320,'Product Master'!B:E,4,FALSE),0)</f>
        <v>0</v>
      </c>
      <c r="J320" s="53">
        <f>IFERROR(Table3[[#This Row],[QTY SOLD]]*Table3[[#This Row],[Selling Price]],0)</f>
        <v>0</v>
      </c>
      <c r="K320" s="50"/>
      <c r="L320" s="50">
        <f>Table3[[#This Row],[Total Sales]]-Table3[[#This Row],[Discount]]</f>
        <v>0</v>
      </c>
      <c r="M320" s="58">
        <f>Table3[[#This Row],[Net Sales]]-Table3[[#This Row],[Cost Price]]*Table3[[#This Row],[QTY SOLD]]</f>
        <v>0</v>
      </c>
      <c r="N320" s="25"/>
      <c r="O320" s="25"/>
      <c r="P320" s="25"/>
      <c r="Q320" s="25"/>
      <c r="R320" s="25"/>
      <c r="S320" s="25"/>
    </row>
    <row r="321" spans="1:19" x14ac:dyDescent="0.25">
      <c r="A321" s="65"/>
      <c r="B321" s="50"/>
      <c r="C321" s="50"/>
      <c r="D321" s="50"/>
      <c r="E321" s="50" t="str">
        <f>IF(D321="","",VLOOKUP(D321,'Product Master'!$B:$C,2,FALSE))</f>
        <v/>
      </c>
      <c r="F321" s="50" t="str">
        <f>IF(D321="","",IFERROR(VLOOKUP(D321,'Product Master'!$B:$G,3,FALSE),""))</f>
        <v/>
      </c>
      <c r="G321" s="51"/>
      <c r="H321" s="52" t="str">
        <f>IF(D321="","",VLOOKUP(D321,'Product Master'!$B:$F,5,FALSE))</f>
        <v/>
      </c>
      <c r="I321" s="52">
        <f>IFERROR(VLOOKUP(D321,'Product Master'!B:E,4,FALSE),0)</f>
        <v>0</v>
      </c>
      <c r="J321" s="53">
        <f>IFERROR(Table3[[#This Row],[QTY SOLD]]*Table3[[#This Row],[Selling Price]],0)</f>
        <v>0</v>
      </c>
      <c r="K321" s="50"/>
      <c r="L321" s="50">
        <f>Table3[[#This Row],[Total Sales]]-Table3[[#This Row],[Discount]]</f>
        <v>0</v>
      </c>
      <c r="M321" s="58">
        <f>Table3[[#This Row],[Net Sales]]-Table3[[#This Row],[Cost Price]]*Table3[[#This Row],[QTY SOLD]]</f>
        <v>0</v>
      </c>
      <c r="N321" s="25"/>
      <c r="O321" s="25"/>
      <c r="P321" s="25"/>
      <c r="Q321" s="25"/>
      <c r="R321" s="25"/>
      <c r="S321" s="25"/>
    </row>
    <row r="322" spans="1:19" x14ac:dyDescent="0.25">
      <c r="A322" s="65"/>
      <c r="B322" s="50"/>
      <c r="C322" s="50"/>
      <c r="D322" s="50"/>
      <c r="E322" s="50" t="str">
        <f>IF(D322="","",VLOOKUP(D322,'Product Master'!$B:$C,2,FALSE))</f>
        <v/>
      </c>
      <c r="F322" s="50" t="str">
        <f>IF(D322="","",IFERROR(VLOOKUP(D322,'Product Master'!$B:$G,3,FALSE),""))</f>
        <v/>
      </c>
      <c r="G322" s="51"/>
      <c r="H322" s="52" t="str">
        <f>IF(D322="","",VLOOKUP(D322,'Product Master'!$B:$F,5,FALSE))</f>
        <v/>
      </c>
      <c r="I322" s="52">
        <f>IFERROR(VLOOKUP(D322,'Product Master'!B:E,4,FALSE),0)</f>
        <v>0</v>
      </c>
      <c r="J322" s="53">
        <f>IFERROR(Table3[[#This Row],[QTY SOLD]]*Table3[[#This Row],[Selling Price]],0)</f>
        <v>0</v>
      </c>
      <c r="K322" s="50"/>
      <c r="L322" s="50">
        <f>Table3[[#This Row],[Total Sales]]-Table3[[#This Row],[Discount]]</f>
        <v>0</v>
      </c>
      <c r="M322" s="58">
        <f>Table3[[#This Row],[Net Sales]]-Table3[[#This Row],[Cost Price]]*Table3[[#This Row],[QTY SOLD]]</f>
        <v>0</v>
      </c>
      <c r="N322" s="25"/>
      <c r="O322" s="25"/>
      <c r="P322" s="25"/>
      <c r="Q322" s="25"/>
      <c r="R322" s="25"/>
      <c r="S322" s="25"/>
    </row>
    <row r="323" spans="1:19" x14ac:dyDescent="0.25">
      <c r="A323" s="65"/>
      <c r="B323" s="50"/>
      <c r="C323" s="50"/>
      <c r="D323" s="50"/>
      <c r="E323" s="50" t="str">
        <f>IF(D323="","",VLOOKUP(D323,'Product Master'!$B:$C,2,FALSE))</f>
        <v/>
      </c>
      <c r="F323" s="50" t="str">
        <f>IF(D323="","",IFERROR(VLOOKUP(D323,'Product Master'!$B:$G,3,FALSE),""))</f>
        <v/>
      </c>
      <c r="G323" s="51"/>
      <c r="H323" s="52" t="str">
        <f>IF(D323="","",VLOOKUP(D323,'Product Master'!$B:$F,5,FALSE))</f>
        <v/>
      </c>
      <c r="I323" s="52">
        <f>IFERROR(VLOOKUP(D323,'Product Master'!B:E,4,FALSE),0)</f>
        <v>0</v>
      </c>
      <c r="J323" s="53">
        <f>IFERROR(Table3[[#This Row],[QTY SOLD]]*Table3[[#This Row],[Selling Price]],0)</f>
        <v>0</v>
      </c>
      <c r="K323" s="50"/>
      <c r="L323" s="50">
        <f>Table3[[#This Row],[Total Sales]]-Table3[[#This Row],[Discount]]</f>
        <v>0</v>
      </c>
      <c r="M323" s="58">
        <f>Table3[[#This Row],[Net Sales]]-Table3[[#This Row],[Cost Price]]*Table3[[#This Row],[QTY SOLD]]</f>
        <v>0</v>
      </c>
      <c r="N323" s="25"/>
      <c r="O323" s="25"/>
      <c r="P323" s="25"/>
      <c r="Q323" s="25"/>
      <c r="R323" s="25"/>
      <c r="S323" s="25"/>
    </row>
    <row r="324" spans="1:19" x14ac:dyDescent="0.25">
      <c r="A324" s="65"/>
      <c r="B324" s="50"/>
      <c r="C324" s="50"/>
      <c r="D324" s="50"/>
      <c r="E324" s="50" t="str">
        <f>IF(D324="","",VLOOKUP(D324,'Product Master'!$B:$C,2,FALSE))</f>
        <v/>
      </c>
      <c r="F324" s="50" t="str">
        <f>IF(D324="","",IFERROR(VLOOKUP(D324,'Product Master'!$B:$G,3,FALSE),""))</f>
        <v/>
      </c>
      <c r="G324" s="51"/>
      <c r="H324" s="52" t="str">
        <f>IF(D324="","",VLOOKUP(D324,'Product Master'!$B:$F,5,FALSE))</f>
        <v/>
      </c>
      <c r="I324" s="52">
        <f>IFERROR(VLOOKUP(D324,'Product Master'!B:E,4,FALSE),0)</f>
        <v>0</v>
      </c>
      <c r="J324" s="53">
        <f>IFERROR(Table3[[#This Row],[QTY SOLD]]*Table3[[#This Row],[Selling Price]],0)</f>
        <v>0</v>
      </c>
      <c r="K324" s="50"/>
      <c r="L324" s="50">
        <f>Table3[[#This Row],[Total Sales]]-Table3[[#This Row],[Discount]]</f>
        <v>0</v>
      </c>
      <c r="M324" s="58">
        <f>Table3[[#This Row],[Net Sales]]-Table3[[#This Row],[Cost Price]]*Table3[[#This Row],[QTY SOLD]]</f>
        <v>0</v>
      </c>
      <c r="N324" s="25"/>
      <c r="O324" s="25"/>
      <c r="P324" s="25"/>
      <c r="Q324" s="25"/>
      <c r="R324" s="25"/>
      <c r="S324" s="25"/>
    </row>
    <row r="325" spans="1:19" x14ac:dyDescent="0.25">
      <c r="A325" s="65"/>
      <c r="B325" s="50"/>
      <c r="C325" s="50"/>
      <c r="D325" s="50"/>
      <c r="E325" s="50" t="str">
        <f>IF(D325="","",VLOOKUP(D325,'Product Master'!$B:$C,2,FALSE))</f>
        <v/>
      </c>
      <c r="F325" s="50" t="str">
        <f>IF(D325="","",IFERROR(VLOOKUP(D325,'Product Master'!$B:$G,3,FALSE),""))</f>
        <v/>
      </c>
      <c r="G325" s="51"/>
      <c r="H325" s="52" t="str">
        <f>IF(D325="","",VLOOKUP(D325,'Product Master'!$B:$F,5,FALSE))</f>
        <v/>
      </c>
      <c r="I325" s="52">
        <f>IFERROR(VLOOKUP(D325,'Product Master'!B:E,4,FALSE),0)</f>
        <v>0</v>
      </c>
      <c r="J325" s="53">
        <f>IFERROR(Table3[[#This Row],[QTY SOLD]]*Table3[[#This Row],[Selling Price]],0)</f>
        <v>0</v>
      </c>
      <c r="K325" s="50"/>
      <c r="L325" s="50">
        <f>Table3[[#This Row],[Total Sales]]-Table3[[#This Row],[Discount]]</f>
        <v>0</v>
      </c>
      <c r="M325" s="58">
        <f>Table3[[#This Row],[Net Sales]]-Table3[[#This Row],[Cost Price]]*Table3[[#This Row],[QTY SOLD]]</f>
        <v>0</v>
      </c>
      <c r="N325" s="25"/>
      <c r="O325" s="25"/>
      <c r="P325" s="25"/>
      <c r="Q325" s="25"/>
      <c r="R325" s="25"/>
      <c r="S325" s="25"/>
    </row>
    <row r="326" spans="1:19" x14ac:dyDescent="0.25">
      <c r="A326" s="65"/>
      <c r="B326" s="50"/>
      <c r="C326" s="50"/>
      <c r="D326" s="50"/>
      <c r="E326" s="50" t="str">
        <f>IF(D326="","",VLOOKUP(D326,'Product Master'!$B:$C,2,FALSE))</f>
        <v/>
      </c>
      <c r="F326" s="50" t="str">
        <f>IF(D326="","",IFERROR(VLOOKUP(D326,'Product Master'!$B:$G,3,FALSE),""))</f>
        <v/>
      </c>
      <c r="G326" s="51"/>
      <c r="H326" s="52" t="str">
        <f>IF(D326="","",VLOOKUP(D326,'Product Master'!$B:$F,5,FALSE))</f>
        <v/>
      </c>
      <c r="I326" s="52">
        <f>IFERROR(VLOOKUP(D326,'Product Master'!B:E,4,FALSE),0)</f>
        <v>0</v>
      </c>
      <c r="J326" s="53">
        <f>IFERROR(Table3[[#This Row],[QTY SOLD]]*Table3[[#This Row],[Selling Price]],0)</f>
        <v>0</v>
      </c>
      <c r="K326" s="50"/>
      <c r="L326" s="50">
        <f>Table3[[#This Row],[Total Sales]]-Table3[[#This Row],[Discount]]</f>
        <v>0</v>
      </c>
      <c r="M326" s="58">
        <f>Table3[[#This Row],[Net Sales]]-Table3[[#This Row],[Cost Price]]*Table3[[#This Row],[QTY SOLD]]</f>
        <v>0</v>
      </c>
      <c r="N326" s="25"/>
      <c r="O326" s="25"/>
      <c r="P326" s="25"/>
      <c r="Q326" s="25"/>
      <c r="R326" s="25"/>
      <c r="S326" s="25"/>
    </row>
    <row r="327" spans="1:19" x14ac:dyDescent="0.25">
      <c r="A327" s="65"/>
      <c r="B327" s="50"/>
      <c r="C327" s="50"/>
      <c r="D327" s="50"/>
      <c r="E327" s="50" t="str">
        <f>IF(D327="","",VLOOKUP(D327,'Product Master'!$B:$C,2,FALSE))</f>
        <v/>
      </c>
      <c r="F327" s="50" t="str">
        <f>IF(D327="","",IFERROR(VLOOKUP(D327,'Product Master'!$B:$G,3,FALSE),""))</f>
        <v/>
      </c>
      <c r="G327" s="51"/>
      <c r="H327" s="52" t="str">
        <f>IF(D327="","",VLOOKUP(D327,'Product Master'!$B:$F,5,FALSE))</f>
        <v/>
      </c>
      <c r="I327" s="52">
        <f>IFERROR(VLOOKUP(D327,'Product Master'!B:E,4,FALSE),0)</f>
        <v>0</v>
      </c>
      <c r="J327" s="53">
        <f>IFERROR(Table3[[#This Row],[QTY SOLD]]*Table3[[#This Row],[Selling Price]],0)</f>
        <v>0</v>
      </c>
      <c r="K327" s="50"/>
      <c r="L327" s="50">
        <f>Table3[[#This Row],[Total Sales]]-Table3[[#This Row],[Discount]]</f>
        <v>0</v>
      </c>
      <c r="M327" s="58">
        <f>Table3[[#This Row],[Net Sales]]-Table3[[#This Row],[Cost Price]]*Table3[[#This Row],[QTY SOLD]]</f>
        <v>0</v>
      </c>
      <c r="N327" s="25"/>
      <c r="O327" s="25"/>
      <c r="P327" s="25"/>
      <c r="Q327" s="25"/>
      <c r="R327" s="25"/>
      <c r="S327" s="25"/>
    </row>
    <row r="328" spans="1:19" x14ac:dyDescent="0.25">
      <c r="A328" s="65"/>
      <c r="B328" s="50"/>
      <c r="C328" s="50"/>
      <c r="D328" s="50"/>
      <c r="E328" s="50" t="str">
        <f>IF(D328="","",VLOOKUP(D328,'Product Master'!$B:$C,2,FALSE))</f>
        <v/>
      </c>
      <c r="F328" s="50" t="str">
        <f>IF(D328="","",IFERROR(VLOOKUP(D328,'Product Master'!$B:$G,3,FALSE),""))</f>
        <v/>
      </c>
      <c r="G328" s="51"/>
      <c r="H328" s="52" t="str">
        <f>IF(D328="","",VLOOKUP(D328,'Product Master'!$B:$F,5,FALSE))</f>
        <v/>
      </c>
      <c r="I328" s="52">
        <f>IFERROR(VLOOKUP(D328,'Product Master'!B:E,4,FALSE),0)</f>
        <v>0</v>
      </c>
      <c r="J328" s="53">
        <f>IFERROR(Table3[[#This Row],[QTY SOLD]]*Table3[[#This Row],[Selling Price]],0)</f>
        <v>0</v>
      </c>
      <c r="K328" s="50"/>
      <c r="L328" s="50">
        <f>Table3[[#This Row],[Total Sales]]-Table3[[#This Row],[Discount]]</f>
        <v>0</v>
      </c>
      <c r="M328" s="58">
        <f>Table3[[#This Row],[Net Sales]]-Table3[[#This Row],[Cost Price]]*Table3[[#This Row],[QTY SOLD]]</f>
        <v>0</v>
      </c>
      <c r="N328" s="25"/>
      <c r="O328" s="25"/>
      <c r="P328" s="25"/>
      <c r="Q328" s="25"/>
      <c r="R328" s="25"/>
      <c r="S328" s="25"/>
    </row>
    <row r="329" spans="1:19" x14ac:dyDescent="0.25">
      <c r="A329" s="65"/>
      <c r="B329" s="50"/>
      <c r="C329" s="50"/>
      <c r="D329" s="50"/>
      <c r="E329" s="50" t="str">
        <f>IF(D329="","",VLOOKUP(D329,'Product Master'!$B:$C,2,FALSE))</f>
        <v/>
      </c>
      <c r="F329" s="50" t="str">
        <f>IF(D329="","",IFERROR(VLOOKUP(D329,'Product Master'!$B:$G,3,FALSE),""))</f>
        <v/>
      </c>
      <c r="G329" s="51"/>
      <c r="H329" s="52" t="str">
        <f>IF(D329="","",VLOOKUP(D329,'Product Master'!$B:$F,5,FALSE))</f>
        <v/>
      </c>
      <c r="I329" s="52">
        <f>IFERROR(VLOOKUP(D329,'Product Master'!B:E,4,FALSE),0)</f>
        <v>0</v>
      </c>
      <c r="J329" s="53">
        <f>IFERROR(Table3[[#This Row],[QTY SOLD]]*Table3[[#This Row],[Selling Price]],0)</f>
        <v>0</v>
      </c>
      <c r="K329" s="50"/>
      <c r="L329" s="50">
        <f>Table3[[#This Row],[Total Sales]]-Table3[[#This Row],[Discount]]</f>
        <v>0</v>
      </c>
      <c r="M329" s="58">
        <f>Table3[[#This Row],[Net Sales]]-Table3[[#This Row],[Cost Price]]*Table3[[#This Row],[QTY SOLD]]</f>
        <v>0</v>
      </c>
      <c r="N329" s="25"/>
      <c r="O329" s="25"/>
      <c r="P329" s="25"/>
      <c r="Q329" s="25"/>
      <c r="R329" s="25"/>
      <c r="S329" s="25"/>
    </row>
    <row r="330" spans="1:19" x14ac:dyDescent="0.25">
      <c r="A330" s="65"/>
      <c r="B330" s="50"/>
      <c r="C330" s="50"/>
      <c r="D330" s="50"/>
      <c r="E330" s="50" t="str">
        <f>IF(D330="","",VLOOKUP(D330,'Product Master'!$B:$C,2,FALSE))</f>
        <v/>
      </c>
      <c r="F330" s="50" t="str">
        <f>IF(D330="","",IFERROR(VLOOKUP(D330,'Product Master'!$B:$G,3,FALSE),""))</f>
        <v/>
      </c>
      <c r="G330" s="51"/>
      <c r="H330" s="52" t="str">
        <f>IF(D330="","",VLOOKUP(D330,'Product Master'!$B:$F,5,FALSE))</f>
        <v/>
      </c>
      <c r="I330" s="52">
        <f>IFERROR(VLOOKUP(D330,'Product Master'!B:E,4,FALSE),0)</f>
        <v>0</v>
      </c>
      <c r="J330" s="53">
        <f>IFERROR(Table3[[#This Row],[QTY SOLD]]*Table3[[#This Row],[Selling Price]],0)</f>
        <v>0</v>
      </c>
      <c r="K330" s="50"/>
      <c r="L330" s="50">
        <f>Table3[[#This Row],[Total Sales]]-Table3[[#This Row],[Discount]]</f>
        <v>0</v>
      </c>
      <c r="M330" s="58">
        <f>Table3[[#This Row],[Net Sales]]-Table3[[#This Row],[Cost Price]]*Table3[[#This Row],[QTY SOLD]]</f>
        <v>0</v>
      </c>
      <c r="N330" s="25"/>
      <c r="O330" s="25"/>
      <c r="P330" s="25"/>
      <c r="Q330" s="25"/>
      <c r="R330" s="25"/>
      <c r="S330" s="25"/>
    </row>
    <row r="331" spans="1:19" x14ac:dyDescent="0.25">
      <c r="A331" s="65"/>
      <c r="B331" s="50"/>
      <c r="C331" s="50"/>
      <c r="D331" s="50"/>
      <c r="E331" s="50" t="str">
        <f>IF(D331="","",VLOOKUP(D331,'Product Master'!$B:$C,2,FALSE))</f>
        <v/>
      </c>
      <c r="F331" s="50" t="str">
        <f>IF(D331="","",IFERROR(VLOOKUP(D331,'Product Master'!$B:$G,3,FALSE),""))</f>
        <v/>
      </c>
      <c r="G331" s="51"/>
      <c r="H331" s="52" t="str">
        <f>IF(D331="","",VLOOKUP(D331,'Product Master'!$B:$F,5,FALSE))</f>
        <v/>
      </c>
      <c r="I331" s="52">
        <f>IFERROR(VLOOKUP(D331,'Product Master'!B:E,4,FALSE),0)</f>
        <v>0</v>
      </c>
      <c r="J331" s="53">
        <f>IFERROR(Table3[[#This Row],[QTY SOLD]]*Table3[[#This Row],[Selling Price]],0)</f>
        <v>0</v>
      </c>
      <c r="K331" s="50"/>
      <c r="L331" s="50">
        <f>Table3[[#This Row],[Total Sales]]-Table3[[#This Row],[Discount]]</f>
        <v>0</v>
      </c>
      <c r="M331" s="58">
        <f>Table3[[#This Row],[Net Sales]]-Table3[[#This Row],[Cost Price]]*Table3[[#This Row],[QTY SOLD]]</f>
        <v>0</v>
      </c>
      <c r="N331" s="25"/>
      <c r="O331" s="25"/>
      <c r="P331" s="25"/>
      <c r="Q331" s="25"/>
      <c r="R331" s="25"/>
      <c r="S331" s="25"/>
    </row>
    <row r="332" spans="1:19" x14ac:dyDescent="0.25">
      <c r="A332" s="65"/>
      <c r="B332" s="50"/>
      <c r="C332" s="50"/>
      <c r="D332" s="50"/>
      <c r="E332" s="50" t="str">
        <f>IF(D332="","",VLOOKUP(D332,'Product Master'!$B:$C,2,FALSE))</f>
        <v/>
      </c>
      <c r="F332" s="50" t="str">
        <f>IF(D332="","",IFERROR(VLOOKUP(D332,'Product Master'!$B:$G,3,FALSE),""))</f>
        <v/>
      </c>
      <c r="G332" s="51"/>
      <c r="H332" s="52" t="str">
        <f>IF(D332="","",VLOOKUP(D332,'Product Master'!$B:$F,5,FALSE))</f>
        <v/>
      </c>
      <c r="I332" s="52">
        <f>IFERROR(VLOOKUP(D332,'Product Master'!B:E,4,FALSE),0)</f>
        <v>0</v>
      </c>
      <c r="J332" s="53">
        <f>IFERROR(Table3[[#This Row],[QTY SOLD]]*Table3[[#This Row],[Selling Price]],0)</f>
        <v>0</v>
      </c>
      <c r="K332" s="50"/>
      <c r="L332" s="50">
        <f>Table3[[#This Row],[Total Sales]]-Table3[[#This Row],[Discount]]</f>
        <v>0</v>
      </c>
      <c r="M332" s="58">
        <f>Table3[[#This Row],[Net Sales]]-Table3[[#This Row],[Cost Price]]*Table3[[#This Row],[QTY SOLD]]</f>
        <v>0</v>
      </c>
      <c r="N332" s="25"/>
      <c r="O332" s="25"/>
      <c r="P332" s="25"/>
      <c r="Q332" s="25"/>
      <c r="R332" s="25"/>
      <c r="S332" s="25"/>
    </row>
    <row r="333" spans="1:19" x14ac:dyDescent="0.25">
      <c r="A333" s="65"/>
      <c r="B333" s="50"/>
      <c r="C333" s="50"/>
      <c r="D333" s="50"/>
      <c r="E333" s="50" t="str">
        <f>IF(D333="","",VLOOKUP(D333,'Product Master'!$B:$C,2,FALSE))</f>
        <v/>
      </c>
      <c r="F333" s="50" t="str">
        <f>IF(D333="","",IFERROR(VLOOKUP(D333,'Product Master'!$B:$G,3,FALSE),""))</f>
        <v/>
      </c>
      <c r="G333" s="51"/>
      <c r="H333" s="52" t="str">
        <f>IF(D333="","",VLOOKUP(D333,'Product Master'!$B:$F,5,FALSE))</f>
        <v/>
      </c>
      <c r="I333" s="52">
        <f>IFERROR(VLOOKUP(D333,'Product Master'!B:E,4,FALSE),0)</f>
        <v>0</v>
      </c>
      <c r="J333" s="53">
        <f>IFERROR(Table3[[#This Row],[QTY SOLD]]*Table3[[#This Row],[Selling Price]],0)</f>
        <v>0</v>
      </c>
      <c r="K333" s="50"/>
      <c r="L333" s="50">
        <f>Table3[[#This Row],[Total Sales]]-Table3[[#This Row],[Discount]]</f>
        <v>0</v>
      </c>
      <c r="M333" s="58">
        <f>Table3[[#This Row],[Net Sales]]-Table3[[#This Row],[Cost Price]]*Table3[[#This Row],[QTY SOLD]]</f>
        <v>0</v>
      </c>
      <c r="N333" s="25"/>
      <c r="O333" s="25"/>
      <c r="P333" s="25"/>
      <c r="Q333" s="25"/>
      <c r="R333" s="25"/>
      <c r="S333" s="25"/>
    </row>
    <row r="334" spans="1:19" x14ac:dyDescent="0.25">
      <c r="A334" s="65"/>
      <c r="B334" s="50"/>
      <c r="C334" s="50"/>
      <c r="D334" s="50"/>
      <c r="E334" s="50" t="str">
        <f>IF(D334="","",VLOOKUP(D334,'Product Master'!$B:$C,2,FALSE))</f>
        <v/>
      </c>
      <c r="F334" s="50" t="str">
        <f>IF(D334="","",IFERROR(VLOOKUP(D334,'Product Master'!$B:$G,3,FALSE),""))</f>
        <v/>
      </c>
      <c r="G334" s="51"/>
      <c r="H334" s="52" t="str">
        <f>IF(D334="","",VLOOKUP(D334,'Product Master'!$B:$F,5,FALSE))</f>
        <v/>
      </c>
      <c r="I334" s="52">
        <f>IFERROR(VLOOKUP(D334,'Product Master'!B:E,4,FALSE),0)</f>
        <v>0</v>
      </c>
      <c r="J334" s="53">
        <f>IFERROR(Table3[[#This Row],[QTY SOLD]]*Table3[[#This Row],[Selling Price]],0)</f>
        <v>0</v>
      </c>
      <c r="K334" s="50"/>
      <c r="L334" s="50">
        <f>Table3[[#This Row],[Total Sales]]-Table3[[#This Row],[Discount]]</f>
        <v>0</v>
      </c>
      <c r="M334" s="58">
        <f>Table3[[#This Row],[Net Sales]]-Table3[[#This Row],[Cost Price]]*Table3[[#This Row],[QTY SOLD]]</f>
        <v>0</v>
      </c>
      <c r="N334" s="25"/>
      <c r="O334" s="25"/>
      <c r="P334" s="25"/>
      <c r="Q334" s="25"/>
      <c r="R334" s="25"/>
      <c r="S334" s="25"/>
    </row>
    <row r="335" spans="1:19" x14ac:dyDescent="0.25">
      <c r="A335" s="65"/>
      <c r="B335" s="50"/>
      <c r="C335" s="50"/>
      <c r="D335" s="50"/>
      <c r="E335" s="50" t="str">
        <f>IF(D335="","",VLOOKUP(D335,'Product Master'!$B:$C,2,FALSE))</f>
        <v/>
      </c>
      <c r="F335" s="50" t="str">
        <f>IF(D335="","",IFERROR(VLOOKUP(D335,'Product Master'!$B:$G,3,FALSE),""))</f>
        <v/>
      </c>
      <c r="G335" s="51"/>
      <c r="H335" s="52" t="str">
        <f>IF(D335="","",VLOOKUP(D335,'Product Master'!$B:$F,5,FALSE))</f>
        <v/>
      </c>
      <c r="I335" s="52">
        <f>IFERROR(VLOOKUP(D335,'Product Master'!B:E,4,FALSE),0)</f>
        <v>0</v>
      </c>
      <c r="J335" s="53">
        <f>IFERROR(Table3[[#This Row],[QTY SOLD]]*Table3[[#This Row],[Selling Price]],0)</f>
        <v>0</v>
      </c>
      <c r="K335" s="50"/>
      <c r="L335" s="50">
        <f>Table3[[#This Row],[Total Sales]]-Table3[[#This Row],[Discount]]</f>
        <v>0</v>
      </c>
      <c r="M335" s="58">
        <f>Table3[[#This Row],[Net Sales]]-Table3[[#This Row],[Cost Price]]*Table3[[#This Row],[QTY SOLD]]</f>
        <v>0</v>
      </c>
      <c r="N335" s="25"/>
      <c r="O335" s="25"/>
      <c r="P335" s="25"/>
      <c r="Q335" s="25"/>
      <c r="R335" s="25"/>
      <c r="S335" s="25"/>
    </row>
    <row r="336" spans="1:19" x14ac:dyDescent="0.25">
      <c r="A336" s="65"/>
      <c r="B336" s="50"/>
      <c r="C336" s="50"/>
      <c r="D336" s="50"/>
      <c r="E336" s="50" t="str">
        <f>IF(D336="","",VLOOKUP(D336,'Product Master'!$B:$C,2,FALSE))</f>
        <v/>
      </c>
      <c r="F336" s="50" t="str">
        <f>IF(D336="","",IFERROR(VLOOKUP(D336,'Product Master'!$B:$G,3,FALSE),""))</f>
        <v/>
      </c>
      <c r="G336" s="51"/>
      <c r="H336" s="52" t="str">
        <f>IF(D336="","",VLOOKUP(D336,'Product Master'!$B:$F,5,FALSE))</f>
        <v/>
      </c>
      <c r="I336" s="52">
        <f>IFERROR(VLOOKUP(D336,'Product Master'!B:E,4,FALSE),0)</f>
        <v>0</v>
      </c>
      <c r="J336" s="53">
        <f>IFERROR(Table3[[#This Row],[QTY SOLD]]*Table3[[#This Row],[Selling Price]],0)</f>
        <v>0</v>
      </c>
      <c r="K336" s="50"/>
      <c r="L336" s="50">
        <f>Table3[[#This Row],[Total Sales]]-Table3[[#This Row],[Discount]]</f>
        <v>0</v>
      </c>
      <c r="M336" s="58">
        <f>Table3[[#This Row],[Net Sales]]-Table3[[#This Row],[Cost Price]]*Table3[[#This Row],[QTY SOLD]]</f>
        <v>0</v>
      </c>
      <c r="N336" s="25"/>
      <c r="O336" s="25"/>
      <c r="P336" s="25"/>
      <c r="Q336" s="25"/>
      <c r="R336" s="25"/>
      <c r="S336" s="25"/>
    </row>
    <row r="337" spans="1:19" x14ac:dyDescent="0.25">
      <c r="A337" s="65"/>
      <c r="B337" s="50"/>
      <c r="C337" s="50"/>
      <c r="D337" s="50"/>
      <c r="E337" s="50" t="str">
        <f>IF(D337="","",VLOOKUP(D337,'Product Master'!$B:$C,2,FALSE))</f>
        <v/>
      </c>
      <c r="F337" s="50" t="str">
        <f>IF(D337="","",IFERROR(VLOOKUP(D337,'Product Master'!$B:$G,3,FALSE),""))</f>
        <v/>
      </c>
      <c r="G337" s="51"/>
      <c r="H337" s="52" t="str">
        <f>IF(D337="","",VLOOKUP(D337,'Product Master'!$B:$F,5,FALSE))</f>
        <v/>
      </c>
      <c r="I337" s="52">
        <f>IFERROR(VLOOKUP(D337,'Product Master'!B:E,4,FALSE),0)</f>
        <v>0</v>
      </c>
      <c r="J337" s="53">
        <f>IFERROR(Table3[[#This Row],[QTY SOLD]]*Table3[[#This Row],[Selling Price]],0)</f>
        <v>0</v>
      </c>
      <c r="K337" s="50"/>
      <c r="L337" s="50">
        <f>Table3[[#This Row],[Total Sales]]-Table3[[#This Row],[Discount]]</f>
        <v>0</v>
      </c>
      <c r="M337" s="58">
        <f>Table3[[#This Row],[Net Sales]]-Table3[[#This Row],[Cost Price]]*Table3[[#This Row],[QTY SOLD]]</f>
        <v>0</v>
      </c>
      <c r="N337" s="25"/>
      <c r="O337" s="25"/>
      <c r="P337" s="25"/>
      <c r="Q337" s="25"/>
      <c r="R337" s="25"/>
      <c r="S337" s="25"/>
    </row>
    <row r="338" spans="1:19" x14ac:dyDescent="0.25">
      <c r="A338" s="65"/>
      <c r="B338" s="50"/>
      <c r="C338" s="50"/>
      <c r="D338" s="50"/>
      <c r="E338" s="50" t="str">
        <f>IF(D338="","",VLOOKUP(D338,'Product Master'!$B:$C,2,FALSE))</f>
        <v/>
      </c>
      <c r="F338" s="50" t="str">
        <f>IF(D338="","",IFERROR(VLOOKUP(D338,'Product Master'!$B:$G,3,FALSE),""))</f>
        <v/>
      </c>
      <c r="G338" s="51"/>
      <c r="H338" s="52" t="str">
        <f>IF(D338="","",VLOOKUP(D338,'Product Master'!$B:$F,5,FALSE))</f>
        <v/>
      </c>
      <c r="I338" s="52">
        <f>IFERROR(VLOOKUP(D338,'Product Master'!B:E,4,FALSE),0)</f>
        <v>0</v>
      </c>
      <c r="J338" s="53">
        <f>IFERROR(Table3[[#This Row],[QTY SOLD]]*Table3[[#This Row],[Selling Price]],0)</f>
        <v>0</v>
      </c>
      <c r="K338" s="50"/>
      <c r="L338" s="50">
        <f>Table3[[#This Row],[Total Sales]]-Table3[[#This Row],[Discount]]</f>
        <v>0</v>
      </c>
      <c r="M338" s="58">
        <f>Table3[[#This Row],[Net Sales]]-Table3[[#This Row],[Cost Price]]*Table3[[#This Row],[QTY SOLD]]</f>
        <v>0</v>
      </c>
      <c r="N338" s="25"/>
      <c r="O338" s="25"/>
      <c r="P338" s="25"/>
      <c r="Q338" s="25"/>
      <c r="R338" s="25"/>
      <c r="S338" s="25"/>
    </row>
    <row r="339" spans="1:19" x14ac:dyDescent="0.25">
      <c r="A339" s="65"/>
      <c r="B339" s="50"/>
      <c r="C339" s="50"/>
      <c r="D339" s="50"/>
      <c r="E339" s="50" t="str">
        <f>IF(D339="","",VLOOKUP(D339,'Product Master'!$B:$C,2,FALSE))</f>
        <v/>
      </c>
      <c r="F339" s="50" t="str">
        <f>IF(D339="","",IFERROR(VLOOKUP(D339,'Product Master'!$B:$G,3,FALSE),""))</f>
        <v/>
      </c>
      <c r="G339" s="51"/>
      <c r="H339" s="52" t="str">
        <f>IF(D339="","",VLOOKUP(D339,'Product Master'!$B:$F,5,FALSE))</f>
        <v/>
      </c>
      <c r="I339" s="52">
        <f>IFERROR(VLOOKUP(D339,'Product Master'!B:E,4,FALSE),0)</f>
        <v>0</v>
      </c>
      <c r="J339" s="53">
        <f>IFERROR(Table3[[#This Row],[QTY SOLD]]*Table3[[#This Row],[Selling Price]],0)</f>
        <v>0</v>
      </c>
      <c r="K339" s="50"/>
      <c r="L339" s="50">
        <f>Table3[[#This Row],[Total Sales]]-Table3[[#This Row],[Discount]]</f>
        <v>0</v>
      </c>
      <c r="M339" s="58">
        <f>Table3[[#This Row],[Net Sales]]-Table3[[#This Row],[Cost Price]]*Table3[[#This Row],[QTY SOLD]]</f>
        <v>0</v>
      </c>
      <c r="N339" s="25"/>
      <c r="O339" s="25"/>
      <c r="P339" s="25"/>
      <c r="Q339" s="25"/>
      <c r="R339" s="25"/>
      <c r="S339" s="25"/>
    </row>
    <row r="340" spans="1:19" x14ac:dyDescent="0.25">
      <c r="A340" s="65"/>
      <c r="B340" s="50"/>
      <c r="C340" s="50"/>
      <c r="D340" s="50"/>
      <c r="E340" s="50" t="str">
        <f>IF(D340="","",VLOOKUP(D340,'Product Master'!$B:$C,2,FALSE))</f>
        <v/>
      </c>
      <c r="F340" s="50" t="str">
        <f>IF(D340="","",IFERROR(VLOOKUP(D340,'Product Master'!$B:$G,3,FALSE),""))</f>
        <v/>
      </c>
      <c r="G340" s="51"/>
      <c r="H340" s="52" t="str">
        <f>IF(D340="","",VLOOKUP(D340,'Product Master'!$B:$F,5,FALSE))</f>
        <v/>
      </c>
      <c r="I340" s="52">
        <f>IFERROR(VLOOKUP(D340,'Product Master'!B:E,4,FALSE),0)</f>
        <v>0</v>
      </c>
      <c r="J340" s="53">
        <f>IFERROR(Table3[[#This Row],[QTY SOLD]]*Table3[[#This Row],[Selling Price]],0)</f>
        <v>0</v>
      </c>
      <c r="K340" s="50"/>
      <c r="L340" s="50">
        <f>Table3[[#This Row],[Total Sales]]-Table3[[#This Row],[Discount]]</f>
        <v>0</v>
      </c>
      <c r="M340" s="58">
        <f>Table3[[#This Row],[Net Sales]]-Table3[[#This Row],[Cost Price]]*Table3[[#This Row],[QTY SOLD]]</f>
        <v>0</v>
      </c>
      <c r="N340" s="25"/>
      <c r="O340" s="25"/>
      <c r="P340" s="25"/>
      <c r="Q340" s="25"/>
      <c r="R340" s="25"/>
      <c r="S340" s="25"/>
    </row>
    <row r="341" spans="1:19" x14ac:dyDescent="0.25">
      <c r="A341" s="65"/>
      <c r="B341" s="50"/>
      <c r="C341" s="50"/>
      <c r="D341" s="50"/>
      <c r="E341" s="50" t="str">
        <f>IF(D341="","",VLOOKUP(D341,'Product Master'!$B:$C,2,FALSE))</f>
        <v/>
      </c>
      <c r="F341" s="50" t="str">
        <f>IF(D341="","",IFERROR(VLOOKUP(D341,'Product Master'!$B:$G,3,FALSE),""))</f>
        <v/>
      </c>
      <c r="G341" s="51"/>
      <c r="H341" s="52" t="str">
        <f>IF(D341="","",VLOOKUP(D341,'Product Master'!$B:$F,5,FALSE))</f>
        <v/>
      </c>
      <c r="I341" s="52">
        <f>IFERROR(VLOOKUP(D341,'Product Master'!B:E,4,FALSE),0)</f>
        <v>0</v>
      </c>
      <c r="J341" s="53">
        <f>IFERROR(Table3[[#This Row],[QTY SOLD]]*Table3[[#This Row],[Selling Price]],0)</f>
        <v>0</v>
      </c>
      <c r="K341" s="50"/>
      <c r="L341" s="50">
        <f>Table3[[#This Row],[Total Sales]]-Table3[[#This Row],[Discount]]</f>
        <v>0</v>
      </c>
      <c r="M341" s="58">
        <f>Table3[[#This Row],[Net Sales]]-Table3[[#This Row],[Cost Price]]*Table3[[#This Row],[QTY SOLD]]</f>
        <v>0</v>
      </c>
      <c r="N341" s="25"/>
      <c r="O341" s="25"/>
      <c r="P341" s="25"/>
      <c r="Q341" s="25"/>
      <c r="R341" s="25"/>
      <c r="S341" s="25"/>
    </row>
    <row r="342" spans="1:19" x14ac:dyDescent="0.25">
      <c r="A342" s="65"/>
      <c r="B342" s="50"/>
      <c r="C342" s="50"/>
      <c r="D342" s="50"/>
      <c r="E342" s="50" t="str">
        <f>IF(D342="","",VLOOKUP(D342,'Product Master'!$B:$C,2,FALSE))</f>
        <v/>
      </c>
      <c r="F342" s="50" t="str">
        <f>IF(D342="","",IFERROR(VLOOKUP(D342,'Product Master'!$B:$G,3,FALSE),""))</f>
        <v/>
      </c>
      <c r="G342" s="51"/>
      <c r="H342" s="52" t="str">
        <f>IF(D342="","",VLOOKUP(D342,'Product Master'!$B:$F,5,FALSE))</f>
        <v/>
      </c>
      <c r="I342" s="52">
        <f>IFERROR(VLOOKUP(D342,'Product Master'!B:E,4,FALSE),0)</f>
        <v>0</v>
      </c>
      <c r="J342" s="53">
        <f>IFERROR(Table3[[#This Row],[QTY SOLD]]*Table3[[#This Row],[Selling Price]],0)</f>
        <v>0</v>
      </c>
      <c r="K342" s="50"/>
      <c r="L342" s="50">
        <f>Table3[[#This Row],[Total Sales]]-Table3[[#This Row],[Discount]]</f>
        <v>0</v>
      </c>
      <c r="M342" s="58">
        <f>Table3[[#This Row],[Net Sales]]-Table3[[#This Row],[Cost Price]]*Table3[[#This Row],[QTY SOLD]]</f>
        <v>0</v>
      </c>
      <c r="N342" s="25"/>
      <c r="O342" s="25"/>
      <c r="P342" s="25"/>
      <c r="Q342" s="25"/>
      <c r="R342" s="25"/>
      <c r="S342" s="25"/>
    </row>
    <row r="343" spans="1:19" x14ac:dyDescent="0.25">
      <c r="A343" s="65"/>
      <c r="B343" s="50"/>
      <c r="C343" s="50"/>
      <c r="D343" s="50"/>
      <c r="E343" s="50" t="str">
        <f>IF(D343="","",VLOOKUP(D343,'Product Master'!$B:$C,2,FALSE))</f>
        <v/>
      </c>
      <c r="F343" s="50" t="str">
        <f>IF(D343="","",IFERROR(VLOOKUP(D343,'Product Master'!$B:$G,3,FALSE),""))</f>
        <v/>
      </c>
      <c r="G343" s="51"/>
      <c r="H343" s="52" t="str">
        <f>IF(D343="","",VLOOKUP(D343,'Product Master'!$B:$F,5,FALSE))</f>
        <v/>
      </c>
      <c r="I343" s="52">
        <f>IFERROR(VLOOKUP(D343,'Product Master'!B:E,4,FALSE),0)</f>
        <v>0</v>
      </c>
      <c r="J343" s="53">
        <f>IFERROR(Table3[[#This Row],[QTY SOLD]]*Table3[[#This Row],[Selling Price]],0)</f>
        <v>0</v>
      </c>
      <c r="K343" s="50"/>
      <c r="L343" s="50">
        <f>Table3[[#This Row],[Total Sales]]-Table3[[#This Row],[Discount]]</f>
        <v>0</v>
      </c>
      <c r="M343" s="58">
        <f>Table3[[#This Row],[Net Sales]]-Table3[[#This Row],[Cost Price]]*Table3[[#This Row],[QTY SOLD]]</f>
        <v>0</v>
      </c>
      <c r="N343" s="25"/>
      <c r="O343" s="25"/>
      <c r="P343" s="25"/>
      <c r="Q343" s="25"/>
      <c r="R343" s="25"/>
      <c r="S343" s="25"/>
    </row>
    <row r="344" spans="1:19" x14ac:dyDescent="0.25">
      <c r="A344" s="65"/>
      <c r="B344" s="50"/>
      <c r="C344" s="50"/>
      <c r="D344" s="50"/>
      <c r="E344" s="50" t="str">
        <f>IF(D344="","",VLOOKUP(D344,'Product Master'!$B:$C,2,FALSE))</f>
        <v/>
      </c>
      <c r="F344" s="50" t="str">
        <f>IF(D344="","",IFERROR(VLOOKUP(D344,'Product Master'!$B:$G,3,FALSE),""))</f>
        <v/>
      </c>
      <c r="G344" s="51"/>
      <c r="H344" s="52" t="str">
        <f>IF(D344="","",VLOOKUP(D344,'Product Master'!$B:$F,5,FALSE))</f>
        <v/>
      </c>
      <c r="I344" s="52">
        <f>IFERROR(VLOOKUP(D344,'Product Master'!B:E,4,FALSE),0)</f>
        <v>0</v>
      </c>
      <c r="J344" s="53">
        <f>IFERROR(Table3[[#This Row],[QTY SOLD]]*Table3[[#This Row],[Selling Price]],0)</f>
        <v>0</v>
      </c>
      <c r="K344" s="50"/>
      <c r="L344" s="50">
        <f>Table3[[#This Row],[Total Sales]]-Table3[[#This Row],[Discount]]</f>
        <v>0</v>
      </c>
      <c r="M344" s="58">
        <f>Table3[[#This Row],[Net Sales]]-Table3[[#This Row],[Cost Price]]*Table3[[#This Row],[QTY SOLD]]</f>
        <v>0</v>
      </c>
      <c r="N344" s="25"/>
      <c r="O344" s="25"/>
      <c r="P344" s="25"/>
      <c r="Q344" s="25"/>
      <c r="R344" s="25"/>
      <c r="S344" s="25"/>
    </row>
    <row r="345" spans="1:19" x14ac:dyDescent="0.25">
      <c r="A345" s="65"/>
      <c r="B345" s="50"/>
      <c r="C345" s="50"/>
      <c r="D345" s="50"/>
      <c r="E345" s="50" t="str">
        <f>IF(D345="","",VLOOKUP(D345,'Product Master'!$B:$C,2,FALSE))</f>
        <v/>
      </c>
      <c r="F345" s="50" t="str">
        <f>IF(D345="","",IFERROR(VLOOKUP(D345,'Product Master'!$B:$G,3,FALSE),""))</f>
        <v/>
      </c>
      <c r="G345" s="51"/>
      <c r="H345" s="52" t="str">
        <f>IF(D345="","",VLOOKUP(D345,'Product Master'!$B:$F,5,FALSE))</f>
        <v/>
      </c>
      <c r="I345" s="52">
        <f>IFERROR(VLOOKUP(D345,'Product Master'!B:E,4,FALSE),0)</f>
        <v>0</v>
      </c>
      <c r="J345" s="53">
        <f>IFERROR(Table3[[#This Row],[QTY SOLD]]*Table3[[#This Row],[Selling Price]],0)</f>
        <v>0</v>
      </c>
      <c r="K345" s="50"/>
      <c r="L345" s="50">
        <f>Table3[[#This Row],[Total Sales]]-Table3[[#This Row],[Discount]]</f>
        <v>0</v>
      </c>
      <c r="M345" s="58">
        <f>Table3[[#This Row],[Net Sales]]-Table3[[#This Row],[Cost Price]]*Table3[[#This Row],[QTY SOLD]]</f>
        <v>0</v>
      </c>
      <c r="N345" s="25"/>
      <c r="O345" s="25"/>
      <c r="P345" s="25"/>
      <c r="Q345" s="25"/>
      <c r="R345" s="25"/>
      <c r="S345" s="25"/>
    </row>
    <row r="346" spans="1:19" x14ac:dyDescent="0.25">
      <c r="A346" s="65"/>
      <c r="B346" s="50"/>
      <c r="C346" s="50"/>
      <c r="D346" s="50"/>
      <c r="E346" s="50" t="str">
        <f>IF(D346="","",VLOOKUP(D346,'Product Master'!$B:$C,2,FALSE))</f>
        <v/>
      </c>
      <c r="F346" s="50" t="str">
        <f>IF(D346="","",IFERROR(VLOOKUP(D346,'Product Master'!$B:$G,3,FALSE),""))</f>
        <v/>
      </c>
      <c r="G346" s="51"/>
      <c r="H346" s="52" t="str">
        <f>IF(D346="","",VLOOKUP(D346,'Product Master'!$B:$F,5,FALSE))</f>
        <v/>
      </c>
      <c r="I346" s="52">
        <f>IFERROR(VLOOKUP(D346,'Product Master'!B:E,4,FALSE),0)</f>
        <v>0</v>
      </c>
      <c r="J346" s="53">
        <f>IFERROR(Table3[[#This Row],[QTY SOLD]]*Table3[[#This Row],[Selling Price]],0)</f>
        <v>0</v>
      </c>
      <c r="K346" s="50"/>
      <c r="L346" s="50">
        <f>Table3[[#This Row],[Total Sales]]-Table3[[#This Row],[Discount]]</f>
        <v>0</v>
      </c>
      <c r="M346" s="58">
        <f>Table3[[#This Row],[Net Sales]]-Table3[[#This Row],[Cost Price]]*Table3[[#This Row],[QTY SOLD]]</f>
        <v>0</v>
      </c>
      <c r="N346" s="25"/>
      <c r="O346" s="25"/>
      <c r="P346" s="25"/>
      <c r="Q346" s="25"/>
      <c r="R346" s="25"/>
      <c r="S346" s="25"/>
    </row>
    <row r="347" spans="1:19" x14ac:dyDescent="0.25">
      <c r="A347" s="65"/>
      <c r="B347" s="50"/>
      <c r="C347" s="50"/>
      <c r="D347" s="50"/>
      <c r="E347" s="50" t="str">
        <f>IF(D347="","",VLOOKUP(D347,'Product Master'!$B:$C,2,FALSE))</f>
        <v/>
      </c>
      <c r="F347" s="50" t="str">
        <f>IF(D347="","",IFERROR(VLOOKUP(D347,'Product Master'!$B:$G,3,FALSE),""))</f>
        <v/>
      </c>
      <c r="G347" s="51"/>
      <c r="H347" s="52" t="str">
        <f>IF(D347="","",VLOOKUP(D347,'Product Master'!$B:$F,5,FALSE))</f>
        <v/>
      </c>
      <c r="I347" s="52">
        <f>IFERROR(VLOOKUP(D347,'Product Master'!B:E,4,FALSE),0)</f>
        <v>0</v>
      </c>
      <c r="J347" s="53">
        <f>IFERROR(Table3[[#This Row],[QTY SOLD]]*Table3[[#This Row],[Selling Price]],0)</f>
        <v>0</v>
      </c>
      <c r="K347" s="50"/>
      <c r="L347" s="50">
        <f>Table3[[#This Row],[Total Sales]]-Table3[[#This Row],[Discount]]</f>
        <v>0</v>
      </c>
      <c r="M347" s="58">
        <f>Table3[[#This Row],[Net Sales]]-Table3[[#This Row],[Cost Price]]*Table3[[#This Row],[QTY SOLD]]</f>
        <v>0</v>
      </c>
      <c r="N347" s="25"/>
      <c r="O347" s="25"/>
      <c r="P347" s="25"/>
      <c r="Q347" s="25"/>
      <c r="R347" s="25"/>
      <c r="S347" s="25"/>
    </row>
    <row r="348" spans="1:19" x14ac:dyDescent="0.25">
      <c r="A348" s="65"/>
      <c r="B348" s="50"/>
      <c r="C348" s="50"/>
      <c r="D348" s="50"/>
      <c r="E348" s="50" t="str">
        <f>IF(D348="","",VLOOKUP(D348,'Product Master'!$B:$C,2,FALSE))</f>
        <v/>
      </c>
      <c r="F348" s="50" t="str">
        <f>IF(D348="","",IFERROR(VLOOKUP(D348,'Product Master'!$B:$G,3,FALSE),""))</f>
        <v/>
      </c>
      <c r="G348" s="51"/>
      <c r="H348" s="52" t="str">
        <f>IF(D348="","",VLOOKUP(D348,'Product Master'!$B:$F,5,FALSE))</f>
        <v/>
      </c>
      <c r="I348" s="52">
        <f>IFERROR(VLOOKUP(D348,'Product Master'!B:E,4,FALSE),0)</f>
        <v>0</v>
      </c>
      <c r="J348" s="53">
        <f>IFERROR(Table3[[#This Row],[QTY SOLD]]*Table3[[#This Row],[Selling Price]],0)</f>
        <v>0</v>
      </c>
      <c r="K348" s="50"/>
      <c r="L348" s="50">
        <f>Table3[[#This Row],[Total Sales]]-Table3[[#This Row],[Discount]]</f>
        <v>0</v>
      </c>
      <c r="M348" s="58">
        <f>Table3[[#This Row],[Net Sales]]-Table3[[#This Row],[Cost Price]]*Table3[[#This Row],[QTY SOLD]]</f>
        <v>0</v>
      </c>
      <c r="N348" s="25"/>
      <c r="O348" s="25"/>
      <c r="P348" s="25"/>
      <c r="Q348" s="25"/>
      <c r="R348" s="25"/>
      <c r="S348" s="25"/>
    </row>
    <row r="349" spans="1:19" x14ac:dyDescent="0.25">
      <c r="A349" s="65"/>
      <c r="B349" s="50"/>
      <c r="C349" s="50"/>
      <c r="D349" s="50"/>
      <c r="E349" s="50" t="str">
        <f>IF(D349="","",VLOOKUP(D349,'Product Master'!$B:$C,2,FALSE))</f>
        <v/>
      </c>
      <c r="F349" s="50" t="str">
        <f>IF(D349="","",IFERROR(VLOOKUP(D349,'Product Master'!$B:$G,3,FALSE),""))</f>
        <v/>
      </c>
      <c r="G349" s="51"/>
      <c r="H349" s="52" t="str">
        <f>IF(D349="","",VLOOKUP(D349,'Product Master'!$B:$F,5,FALSE))</f>
        <v/>
      </c>
      <c r="I349" s="52">
        <f>IFERROR(VLOOKUP(D349,'Product Master'!B:E,4,FALSE),0)</f>
        <v>0</v>
      </c>
      <c r="J349" s="53">
        <f>IFERROR(Table3[[#This Row],[QTY SOLD]]*Table3[[#This Row],[Selling Price]],0)</f>
        <v>0</v>
      </c>
      <c r="K349" s="50"/>
      <c r="L349" s="50">
        <f>Table3[[#This Row],[Total Sales]]-Table3[[#This Row],[Discount]]</f>
        <v>0</v>
      </c>
      <c r="M349" s="58">
        <f>Table3[[#This Row],[Net Sales]]-Table3[[#This Row],[Cost Price]]*Table3[[#This Row],[QTY SOLD]]</f>
        <v>0</v>
      </c>
      <c r="N349" s="25"/>
      <c r="O349" s="25"/>
      <c r="P349" s="25"/>
      <c r="Q349" s="25"/>
      <c r="R349" s="25"/>
      <c r="S349" s="25"/>
    </row>
    <row r="350" spans="1:19" x14ac:dyDescent="0.25">
      <c r="A350" s="65"/>
      <c r="B350" s="50"/>
      <c r="C350" s="50"/>
      <c r="D350" s="50"/>
      <c r="E350" s="50" t="str">
        <f>IF(D350="","",VLOOKUP(D350,'Product Master'!$B:$C,2,FALSE))</f>
        <v/>
      </c>
      <c r="F350" s="50" t="str">
        <f>IF(D350="","",IFERROR(VLOOKUP(D350,'Product Master'!$B:$G,3,FALSE),""))</f>
        <v/>
      </c>
      <c r="G350" s="51"/>
      <c r="H350" s="52" t="str">
        <f>IF(D350="","",VLOOKUP(D350,'Product Master'!$B:$F,5,FALSE))</f>
        <v/>
      </c>
      <c r="I350" s="52">
        <f>IFERROR(VLOOKUP(D350,'Product Master'!B:E,4,FALSE),0)</f>
        <v>0</v>
      </c>
      <c r="J350" s="53">
        <f>IFERROR(Table3[[#This Row],[QTY SOLD]]*Table3[[#This Row],[Selling Price]],0)</f>
        <v>0</v>
      </c>
      <c r="K350" s="50"/>
      <c r="L350" s="50">
        <f>Table3[[#This Row],[Total Sales]]-Table3[[#This Row],[Discount]]</f>
        <v>0</v>
      </c>
      <c r="M350" s="58">
        <f>Table3[[#This Row],[Net Sales]]-Table3[[#This Row],[Cost Price]]*Table3[[#This Row],[QTY SOLD]]</f>
        <v>0</v>
      </c>
      <c r="N350" s="25"/>
      <c r="O350" s="25"/>
      <c r="P350" s="25"/>
      <c r="Q350" s="25"/>
      <c r="R350" s="25"/>
      <c r="S350" s="25"/>
    </row>
    <row r="351" spans="1:19" x14ac:dyDescent="0.25">
      <c r="A351" s="65"/>
      <c r="B351" s="50"/>
      <c r="C351" s="50"/>
      <c r="D351" s="50"/>
      <c r="E351" s="50" t="str">
        <f>IF(D351="","",VLOOKUP(D351,'Product Master'!$B:$C,2,FALSE))</f>
        <v/>
      </c>
      <c r="F351" s="50" t="str">
        <f>IF(D351="","",IFERROR(VLOOKUP(D351,'Product Master'!$B:$G,3,FALSE),""))</f>
        <v/>
      </c>
      <c r="G351" s="51"/>
      <c r="H351" s="52" t="str">
        <f>IF(D351="","",VLOOKUP(D351,'Product Master'!$B:$F,5,FALSE))</f>
        <v/>
      </c>
      <c r="I351" s="52">
        <f>IFERROR(VLOOKUP(D351,'Product Master'!B:E,4,FALSE),0)</f>
        <v>0</v>
      </c>
      <c r="J351" s="53">
        <f>IFERROR(Table3[[#This Row],[QTY SOLD]]*Table3[[#This Row],[Selling Price]],0)</f>
        <v>0</v>
      </c>
      <c r="K351" s="50"/>
      <c r="L351" s="50">
        <f>Table3[[#This Row],[Total Sales]]-Table3[[#This Row],[Discount]]</f>
        <v>0</v>
      </c>
      <c r="M351" s="58">
        <f>Table3[[#This Row],[Net Sales]]-Table3[[#This Row],[Cost Price]]*Table3[[#This Row],[QTY SOLD]]</f>
        <v>0</v>
      </c>
      <c r="N351" s="25"/>
      <c r="O351" s="25"/>
      <c r="P351" s="25"/>
      <c r="Q351" s="25"/>
      <c r="R351" s="25"/>
      <c r="S351" s="25"/>
    </row>
    <row r="352" spans="1:19" x14ac:dyDescent="0.25">
      <c r="A352" s="65"/>
      <c r="B352" s="50"/>
      <c r="C352" s="50"/>
      <c r="D352" s="50"/>
      <c r="E352" s="50" t="str">
        <f>IF(D352="","",VLOOKUP(D352,'Product Master'!$B:$C,2,FALSE))</f>
        <v/>
      </c>
      <c r="F352" s="50" t="str">
        <f>IF(D352="","",IFERROR(VLOOKUP(D352,'Product Master'!$B:$G,3,FALSE),""))</f>
        <v/>
      </c>
      <c r="G352" s="51"/>
      <c r="H352" s="52" t="str">
        <f>IF(D352="","",VLOOKUP(D352,'Product Master'!$B:$F,5,FALSE))</f>
        <v/>
      </c>
      <c r="I352" s="52">
        <f>IFERROR(VLOOKUP(D352,'Product Master'!B:E,4,FALSE),0)</f>
        <v>0</v>
      </c>
      <c r="J352" s="53">
        <f>IFERROR(Table3[[#This Row],[QTY SOLD]]*Table3[[#This Row],[Selling Price]],0)</f>
        <v>0</v>
      </c>
      <c r="K352" s="50"/>
      <c r="L352" s="50">
        <f>Table3[[#This Row],[Total Sales]]-Table3[[#This Row],[Discount]]</f>
        <v>0</v>
      </c>
      <c r="M352" s="58">
        <f>Table3[[#This Row],[Net Sales]]-Table3[[#This Row],[Cost Price]]*Table3[[#This Row],[QTY SOLD]]</f>
        <v>0</v>
      </c>
      <c r="N352" s="25"/>
      <c r="O352" s="25"/>
      <c r="P352" s="25"/>
      <c r="Q352" s="25"/>
      <c r="R352" s="25"/>
      <c r="S352" s="25"/>
    </row>
    <row r="353" spans="1:19" x14ac:dyDescent="0.25">
      <c r="A353" s="65"/>
      <c r="B353" s="50"/>
      <c r="C353" s="50"/>
      <c r="D353" s="50"/>
      <c r="E353" s="50" t="str">
        <f>IF(D353="","",VLOOKUP(D353,'Product Master'!$B:$C,2,FALSE))</f>
        <v/>
      </c>
      <c r="F353" s="50" t="str">
        <f>IF(D353="","",IFERROR(VLOOKUP(D353,'Product Master'!$B:$G,3,FALSE),""))</f>
        <v/>
      </c>
      <c r="G353" s="51"/>
      <c r="H353" s="52" t="str">
        <f>IF(D353="","",VLOOKUP(D353,'Product Master'!$B:$F,5,FALSE))</f>
        <v/>
      </c>
      <c r="I353" s="52">
        <f>IFERROR(VLOOKUP(D353,'Product Master'!B:E,4,FALSE),0)</f>
        <v>0</v>
      </c>
      <c r="J353" s="53">
        <f>IFERROR(Table3[[#This Row],[QTY SOLD]]*Table3[[#This Row],[Selling Price]],0)</f>
        <v>0</v>
      </c>
      <c r="K353" s="50"/>
      <c r="L353" s="50">
        <f>Table3[[#This Row],[Total Sales]]-Table3[[#This Row],[Discount]]</f>
        <v>0</v>
      </c>
      <c r="M353" s="58">
        <f>Table3[[#This Row],[Net Sales]]-Table3[[#This Row],[Cost Price]]*Table3[[#This Row],[QTY SOLD]]</f>
        <v>0</v>
      </c>
      <c r="N353" s="25"/>
      <c r="O353" s="25"/>
      <c r="P353" s="25"/>
      <c r="Q353" s="25"/>
      <c r="R353" s="25"/>
      <c r="S353" s="25"/>
    </row>
    <row r="354" spans="1:19" x14ac:dyDescent="0.25">
      <c r="A354" s="65"/>
      <c r="B354" s="50"/>
      <c r="C354" s="50"/>
      <c r="D354" s="50"/>
      <c r="E354" s="50" t="str">
        <f>IF(D354="","",VLOOKUP(D354,'Product Master'!$B:$C,2,FALSE))</f>
        <v/>
      </c>
      <c r="F354" s="50" t="str">
        <f>IF(D354="","",IFERROR(VLOOKUP(D354,'Product Master'!$B:$G,3,FALSE),""))</f>
        <v/>
      </c>
      <c r="G354" s="51"/>
      <c r="H354" s="52" t="str">
        <f>IF(D354="","",VLOOKUP(D354,'Product Master'!$B:$F,5,FALSE))</f>
        <v/>
      </c>
      <c r="I354" s="52">
        <f>IFERROR(VLOOKUP(D354,'Product Master'!B:E,4,FALSE),0)</f>
        <v>0</v>
      </c>
      <c r="J354" s="53">
        <f>IFERROR(Table3[[#This Row],[QTY SOLD]]*Table3[[#This Row],[Selling Price]],0)</f>
        <v>0</v>
      </c>
      <c r="K354" s="50"/>
      <c r="L354" s="50">
        <f>Table3[[#This Row],[Total Sales]]-Table3[[#This Row],[Discount]]</f>
        <v>0</v>
      </c>
      <c r="M354" s="58">
        <f>Table3[[#This Row],[Net Sales]]-Table3[[#This Row],[Cost Price]]*Table3[[#This Row],[QTY SOLD]]</f>
        <v>0</v>
      </c>
      <c r="N354" s="25"/>
      <c r="O354" s="25"/>
      <c r="P354" s="25"/>
      <c r="Q354" s="25"/>
      <c r="R354" s="25"/>
      <c r="S354" s="25"/>
    </row>
    <row r="355" spans="1:19" x14ac:dyDescent="0.25">
      <c r="A355" s="65"/>
      <c r="B355" s="50"/>
      <c r="C355" s="50"/>
      <c r="D355" s="50"/>
      <c r="E355" s="50" t="str">
        <f>IF(D355="","",VLOOKUP(D355,'Product Master'!$B:$C,2,FALSE))</f>
        <v/>
      </c>
      <c r="F355" s="50" t="str">
        <f>IF(D355="","",IFERROR(VLOOKUP(D355,'Product Master'!$B:$G,3,FALSE),""))</f>
        <v/>
      </c>
      <c r="G355" s="51"/>
      <c r="H355" s="52" t="str">
        <f>IF(D355="","",VLOOKUP(D355,'Product Master'!$B:$F,5,FALSE))</f>
        <v/>
      </c>
      <c r="I355" s="52">
        <f>IFERROR(VLOOKUP(D355,'Product Master'!B:E,4,FALSE),0)</f>
        <v>0</v>
      </c>
      <c r="J355" s="53">
        <f>IFERROR(Table3[[#This Row],[QTY SOLD]]*Table3[[#This Row],[Selling Price]],0)</f>
        <v>0</v>
      </c>
      <c r="K355" s="50"/>
      <c r="L355" s="50">
        <f>Table3[[#This Row],[Total Sales]]-Table3[[#This Row],[Discount]]</f>
        <v>0</v>
      </c>
      <c r="M355" s="58">
        <f>Table3[[#This Row],[Net Sales]]-Table3[[#This Row],[Cost Price]]*Table3[[#This Row],[QTY SOLD]]</f>
        <v>0</v>
      </c>
      <c r="N355" s="25"/>
      <c r="O355" s="25"/>
      <c r="P355" s="25"/>
      <c r="Q355" s="25"/>
      <c r="R355" s="25"/>
      <c r="S355" s="25"/>
    </row>
    <row r="356" spans="1:19" x14ac:dyDescent="0.25">
      <c r="A356" s="65"/>
      <c r="B356" s="50"/>
      <c r="C356" s="50"/>
      <c r="D356" s="50"/>
      <c r="E356" s="50" t="str">
        <f>IF(D356="","",VLOOKUP(D356,'Product Master'!$B:$C,2,FALSE))</f>
        <v/>
      </c>
      <c r="F356" s="50" t="str">
        <f>IF(D356="","",IFERROR(VLOOKUP(D356,'Product Master'!$B:$G,3,FALSE),""))</f>
        <v/>
      </c>
      <c r="G356" s="51"/>
      <c r="H356" s="52" t="str">
        <f>IF(D356="","",VLOOKUP(D356,'Product Master'!$B:$F,5,FALSE))</f>
        <v/>
      </c>
      <c r="I356" s="52">
        <f>IFERROR(VLOOKUP(D356,'Product Master'!B:E,4,FALSE),0)</f>
        <v>0</v>
      </c>
      <c r="J356" s="53">
        <f>IFERROR(Table3[[#This Row],[QTY SOLD]]*Table3[[#This Row],[Selling Price]],0)</f>
        <v>0</v>
      </c>
      <c r="K356" s="50"/>
      <c r="L356" s="50">
        <f>Table3[[#This Row],[Total Sales]]-Table3[[#This Row],[Discount]]</f>
        <v>0</v>
      </c>
      <c r="M356" s="58">
        <f>Table3[[#This Row],[Net Sales]]-Table3[[#This Row],[Cost Price]]*Table3[[#This Row],[QTY SOLD]]</f>
        <v>0</v>
      </c>
      <c r="N356" s="25"/>
      <c r="O356" s="25"/>
      <c r="P356" s="25"/>
      <c r="Q356" s="25"/>
      <c r="R356" s="25"/>
      <c r="S356" s="25"/>
    </row>
    <row r="357" spans="1:19" x14ac:dyDescent="0.25">
      <c r="A357" s="65"/>
      <c r="B357" s="50"/>
      <c r="C357" s="50"/>
      <c r="D357" s="50"/>
      <c r="E357" s="50" t="str">
        <f>IF(D357="","",VLOOKUP(D357,'Product Master'!$B:$C,2,FALSE))</f>
        <v/>
      </c>
      <c r="F357" s="50" t="str">
        <f>IF(D357="","",IFERROR(VLOOKUP(D357,'Product Master'!$B:$G,3,FALSE),""))</f>
        <v/>
      </c>
      <c r="G357" s="51"/>
      <c r="H357" s="52" t="str">
        <f>IF(D357="","",VLOOKUP(D357,'Product Master'!$B:$F,5,FALSE))</f>
        <v/>
      </c>
      <c r="I357" s="52">
        <f>IFERROR(VLOOKUP(D357,'Product Master'!B:E,4,FALSE),0)</f>
        <v>0</v>
      </c>
      <c r="J357" s="53">
        <f>IFERROR(Table3[[#This Row],[QTY SOLD]]*Table3[[#This Row],[Selling Price]],0)</f>
        <v>0</v>
      </c>
      <c r="K357" s="50"/>
      <c r="L357" s="50">
        <f>Table3[[#This Row],[Total Sales]]-Table3[[#This Row],[Discount]]</f>
        <v>0</v>
      </c>
      <c r="M357" s="58">
        <f>Table3[[#This Row],[Net Sales]]-Table3[[#This Row],[Cost Price]]*Table3[[#This Row],[QTY SOLD]]</f>
        <v>0</v>
      </c>
      <c r="N357" s="25"/>
      <c r="O357" s="25"/>
      <c r="P357" s="25"/>
      <c r="Q357" s="25"/>
      <c r="R357" s="25"/>
      <c r="S357" s="25"/>
    </row>
    <row r="358" spans="1:19" x14ac:dyDescent="0.25">
      <c r="A358" s="65"/>
      <c r="B358" s="50"/>
      <c r="C358" s="50"/>
      <c r="D358" s="50"/>
      <c r="E358" s="50" t="str">
        <f>IF(D358="","",VLOOKUP(D358,'Product Master'!$B:$C,2,FALSE))</f>
        <v/>
      </c>
      <c r="F358" s="50" t="str">
        <f>IF(D358="","",IFERROR(VLOOKUP(D358,'Product Master'!$B:$G,3,FALSE),""))</f>
        <v/>
      </c>
      <c r="G358" s="51"/>
      <c r="H358" s="52" t="str">
        <f>IF(D358="","",VLOOKUP(D358,'Product Master'!$B:$F,5,FALSE))</f>
        <v/>
      </c>
      <c r="I358" s="52">
        <f>IFERROR(VLOOKUP(D358,'Product Master'!B:E,4,FALSE),0)</f>
        <v>0</v>
      </c>
      <c r="J358" s="53">
        <f>IFERROR(Table3[[#This Row],[QTY SOLD]]*Table3[[#This Row],[Selling Price]],0)</f>
        <v>0</v>
      </c>
      <c r="K358" s="50"/>
      <c r="L358" s="50">
        <f>Table3[[#This Row],[Total Sales]]-Table3[[#This Row],[Discount]]</f>
        <v>0</v>
      </c>
      <c r="M358" s="58">
        <f>Table3[[#This Row],[Net Sales]]-Table3[[#This Row],[Cost Price]]*Table3[[#This Row],[QTY SOLD]]</f>
        <v>0</v>
      </c>
      <c r="N358" s="25"/>
      <c r="O358" s="25"/>
      <c r="P358" s="25"/>
      <c r="Q358" s="25"/>
      <c r="R358" s="25"/>
      <c r="S358" s="25"/>
    </row>
    <row r="359" spans="1:19" x14ac:dyDescent="0.25">
      <c r="A359" s="65"/>
      <c r="B359" s="50"/>
      <c r="C359" s="50"/>
      <c r="D359" s="50"/>
      <c r="E359" s="50" t="str">
        <f>IF(D359="","",VLOOKUP(D359,'Product Master'!$B:$C,2,FALSE))</f>
        <v/>
      </c>
      <c r="F359" s="50" t="str">
        <f>IF(D359="","",IFERROR(VLOOKUP(D359,'Product Master'!$B:$G,3,FALSE),""))</f>
        <v/>
      </c>
      <c r="G359" s="51"/>
      <c r="H359" s="52" t="str">
        <f>IF(D359="","",VLOOKUP(D359,'Product Master'!$B:$F,5,FALSE))</f>
        <v/>
      </c>
      <c r="I359" s="52">
        <f>IFERROR(VLOOKUP(D359,'Product Master'!B:E,4,FALSE),0)</f>
        <v>0</v>
      </c>
      <c r="J359" s="53">
        <f>IFERROR(Table3[[#This Row],[QTY SOLD]]*Table3[[#This Row],[Selling Price]],0)</f>
        <v>0</v>
      </c>
      <c r="K359" s="50"/>
      <c r="L359" s="50">
        <f>Table3[[#This Row],[Total Sales]]-Table3[[#This Row],[Discount]]</f>
        <v>0</v>
      </c>
      <c r="M359" s="58">
        <f>Table3[[#This Row],[Net Sales]]-Table3[[#This Row],[Cost Price]]*Table3[[#This Row],[QTY SOLD]]</f>
        <v>0</v>
      </c>
      <c r="N359" s="25"/>
      <c r="O359" s="25"/>
      <c r="P359" s="25"/>
      <c r="Q359" s="25"/>
      <c r="R359" s="25"/>
      <c r="S359" s="25"/>
    </row>
    <row r="360" spans="1:19" x14ac:dyDescent="0.25">
      <c r="A360" s="65"/>
      <c r="B360" s="50"/>
      <c r="C360" s="50"/>
      <c r="D360" s="50"/>
      <c r="E360" s="50" t="str">
        <f>IF(D360="","",VLOOKUP(D360,'Product Master'!$B:$C,2,FALSE))</f>
        <v/>
      </c>
      <c r="F360" s="50" t="str">
        <f>IF(D360="","",IFERROR(VLOOKUP(D360,'Product Master'!$B:$G,3,FALSE),""))</f>
        <v/>
      </c>
      <c r="G360" s="51"/>
      <c r="H360" s="52" t="str">
        <f>IF(D360="","",VLOOKUP(D360,'Product Master'!$B:$F,5,FALSE))</f>
        <v/>
      </c>
      <c r="I360" s="52">
        <f>IFERROR(VLOOKUP(D360,'Product Master'!B:E,4,FALSE),0)</f>
        <v>0</v>
      </c>
      <c r="J360" s="53">
        <f>IFERROR(Table3[[#This Row],[QTY SOLD]]*Table3[[#This Row],[Selling Price]],0)</f>
        <v>0</v>
      </c>
      <c r="K360" s="50"/>
      <c r="L360" s="50">
        <f>Table3[[#This Row],[Total Sales]]-Table3[[#This Row],[Discount]]</f>
        <v>0</v>
      </c>
      <c r="M360" s="58">
        <f>Table3[[#This Row],[Net Sales]]-Table3[[#This Row],[Cost Price]]*Table3[[#This Row],[QTY SOLD]]</f>
        <v>0</v>
      </c>
      <c r="N360" s="25"/>
      <c r="O360" s="25"/>
      <c r="P360" s="25"/>
      <c r="Q360" s="25"/>
      <c r="R360" s="25"/>
      <c r="S360" s="25"/>
    </row>
    <row r="361" spans="1:19" x14ac:dyDescent="0.25">
      <c r="A361" s="65"/>
      <c r="B361" s="50"/>
      <c r="C361" s="50"/>
      <c r="D361" s="50"/>
      <c r="E361" s="50" t="str">
        <f>IF(D361="","",VLOOKUP(D361,'Product Master'!$B:$C,2,FALSE))</f>
        <v/>
      </c>
      <c r="F361" s="50" t="str">
        <f>IF(D361="","",IFERROR(VLOOKUP(D361,'Product Master'!$B:$G,3,FALSE),""))</f>
        <v/>
      </c>
      <c r="G361" s="51"/>
      <c r="H361" s="52" t="str">
        <f>IF(D361="","",VLOOKUP(D361,'Product Master'!$B:$F,5,FALSE))</f>
        <v/>
      </c>
      <c r="I361" s="52">
        <f>IFERROR(VLOOKUP(D361,'Product Master'!B:E,4,FALSE),0)</f>
        <v>0</v>
      </c>
      <c r="J361" s="53">
        <f>IFERROR(Table3[[#This Row],[QTY SOLD]]*Table3[[#This Row],[Selling Price]],0)</f>
        <v>0</v>
      </c>
      <c r="K361" s="50"/>
      <c r="L361" s="50">
        <f>Table3[[#This Row],[Total Sales]]-Table3[[#This Row],[Discount]]</f>
        <v>0</v>
      </c>
      <c r="M361" s="58">
        <f>Table3[[#This Row],[Net Sales]]-Table3[[#This Row],[Cost Price]]*Table3[[#This Row],[QTY SOLD]]</f>
        <v>0</v>
      </c>
      <c r="N361" s="25"/>
      <c r="O361" s="25"/>
      <c r="P361" s="25"/>
      <c r="Q361" s="25"/>
      <c r="R361" s="25"/>
      <c r="S361" s="25"/>
    </row>
    <row r="362" spans="1:19" x14ac:dyDescent="0.25">
      <c r="A362" s="65"/>
      <c r="B362" s="50"/>
      <c r="C362" s="50"/>
      <c r="D362" s="50"/>
      <c r="E362" s="50" t="str">
        <f>IF(D362="","",VLOOKUP(D362,'Product Master'!$B:$C,2,FALSE))</f>
        <v/>
      </c>
      <c r="F362" s="50" t="str">
        <f>IF(D362="","",IFERROR(VLOOKUP(D362,'Product Master'!$B:$G,3,FALSE),""))</f>
        <v/>
      </c>
      <c r="G362" s="51"/>
      <c r="H362" s="52" t="str">
        <f>IF(D362="","",VLOOKUP(D362,'Product Master'!$B:$F,5,FALSE))</f>
        <v/>
      </c>
      <c r="I362" s="52">
        <f>IFERROR(VLOOKUP(D362,'Product Master'!B:E,4,FALSE),0)</f>
        <v>0</v>
      </c>
      <c r="J362" s="53">
        <f>IFERROR(Table3[[#This Row],[QTY SOLD]]*Table3[[#This Row],[Selling Price]],0)</f>
        <v>0</v>
      </c>
      <c r="K362" s="50"/>
      <c r="L362" s="50">
        <f>Table3[[#This Row],[Total Sales]]-Table3[[#This Row],[Discount]]</f>
        <v>0</v>
      </c>
      <c r="M362" s="58">
        <f>Table3[[#This Row],[Net Sales]]-Table3[[#This Row],[Cost Price]]*Table3[[#This Row],[QTY SOLD]]</f>
        <v>0</v>
      </c>
      <c r="N362" s="25"/>
      <c r="O362" s="25"/>
      <c r="P362" s="25"/>
      <c r="Q362" s="25"/>
      <c r="R362" s="25"/>
      <c r="S362" s="25"/>
    </row>
    <row r="363" spans="1:19" x14ac:dyDescent="0.25">
      <c r="A363" s="65"/>
      <c r="B363" s="50"/>
      <c r="C363" s="50"/>
      <c r="D363" s="50"/>
      <c r="E363" s="50" t="str">
        <f>IF(D363="","",VLOOKUP(D363,'Product Master'!$B:$C,2,FALSE))</f>
        <v/>
      </c>
      <c r="F363" s="50" t="str">
        <f>IF(D363="","",IFERROR(VLOOKUP(D363,'Product Master'!$B:$G,3,FALSE),""))</f>
        <v/>
      </c>
      <c r="G363" s="51"/>
      <c r="H363" s="52" t="str">
        <f>IF(D363="","",VLOOKUP(D363,'Product Master'!$B:$F,5,FALSE))</f>
        <v/>
      </c>
      <c r="I363" s="52">
        <f>IFERROR(VLOOKUP(D363,'Product Master'!B:E,4,FALSE),0)</f>
        <v>0</v>
      </c>
      <c r="J363" s="53">
        <f>IFERROR(Table3[[#This Row],[QTY SOLD]]*Table3[[#This Row],[Selling Price]],0)</f>
        <v>0</v>
      </c>
      <c r="K363" s="50"/>
      <c r="L363" s="50">
        <f>Table3[[#This Row],[Total Sales]]-Table3[[#This Row],[Discount]]</f>
        <v>0</v>
      </c>
      <c r="M363" s="58">
        <f>Table3[[#This Row],[Net Sales]]-Table3[[#This Row],[Cost Price]]*Table3[[#This Row],[QTY SOLD]]</f>
        <v>0</v>
      </c>
      <c r="N363" s="25"/>
      <c r="O363" s="25"/>
      <c r="P363" s="25"/>
      <c r="Q363" s="25"/>
      <c r="R363" s="25"/>
      <c r="S363" s="25"/>
    </row>
    <row r="364" spans="1:19" x14ac:dyDescent="0.25">
      <c r="A364" s="65"/>
      <c r="B364" s="50"/>
      <c r="C364" s="50"/>
      <c r="D364" s="50"/>
      <c r="E364" s="50" t="str">
        <f>IF(D364="","",VLOOKUP(D364,'Product Master'!$B:$C,2,FALSE))</f>
        <v/>
      </c>
      <c r="F364" s="50" t="str">
        <f>IF(D364="","",IFERROR(VLOOKUP(D364,'Product Master'!$B:$G,3,FALSE),""))</f>
        <v/>
      </c>
      <c r="G364" s="51"/>
      <c r="H364" s="52" t="str">
        <f>IF(D364="","",VLOOKUP(D364,'Product Master'!$B:$F,5,FALSE))</f>
        <v/>
      </c>
      <c r="I364" s="52">
        <f>IFERROR(VLOOKUP(D364,'Product Master'!B:E,4,FALSE),0)</f>
        <v>0</v>
      </c>
      <c r="J364" s="53">
        <f>IFERROR(Table3[[#This Row],[QTY SOLD]]*Table3[[#This Row],[Selling Price]],0)</f>
        <v>0</v>
      </c>
      <c r="K364" s="50"/>
      <c r="L364" s="50">
        <f>Table3[[#This Row],[Total Sales]]-Table3[[#This Row],[Discount]]</f>
        <v>0</v>
      </c>
      <c r="M364" s="58">
        <f>Table3[[#This Row],[Net Sales]]-Table3[[#This Row],[Cost Price]]*Table3[[#This Row],[QTY SOLD]]</f>
        <v>0</v>
      </c>
      <c r="N364" s="25"/>
      <c r="O364" s="25"/>
      <c r="P364" s="25"/>
      <c r="Q364" s="25"/>
      <c r="R364" s="25"/>
      <c r="S364" s="25"/>
    </row>
    <row r="365" spans="1:19" x14ac:dyDescent="0.25">
      <c r="A365" s="65"/>
      <c r="B365" s="50"/>
      <c r="C365" s="50"/>
      <c r="D365" s="50"/>
      <c r="E365" s="50" t="str">
        <f>IF(D365="","",VLOOKUP(D365,'Product Master'!$B:$C,2,FALSE))</f>
        <v/>
      </c>
      <c r="F365" s="50" t="str">
        <f>IF(D365="","",IFERROR(VLOOKUP(D365,'Product Master'!$B:$G,3,FALSE),""))</f>
        <v/>
      </c>
      <c r="G365" s="51"/>
      <c r="H365" s="52" t="str">
        <f>IF(D365="","",VLOOKUP(D365,'Product Master'!$B:$F,5,FALSE))</f>
        <v/>
      </c>
      <c r="I365" s="52">
        <f>IFERROR(VLOOKUP(D365,'Product Master'!B:E,4,FALSE),0)</f>
        <v>0</v>
      </c>
      <c r="J365" s="53">
        <f>IFERROR(Table3[[#This Row],[QTY SOLD]]*Table3[[#This Row],[Selling Price]],0)</f>
        <v>0</v>
      </c>
      <c r="K365" s="50"/>
      <c r="L365" s="50">
        <f>Table3[[#This Row],[Total Sales]]-Table3[[#This Row],[Discount]]</f>
        <v>0</v>
      </c>
      <c r="M365" s="58">
        <f>Table3[[#This Row],[Net Sales]]-Table3[[#This Row],[Cost Price]]*Table3[[#This Row],[QTY SOLD]]</f>
        <v>0</v>
      </c>
      <c r="N365" s="25"/>
      <c r="O365" s="25"/>
      <c r="P365" s="25"/>
      <c r="Q365" s="25"/>
      <c r="R365" s="25"/>
      <c r="S365" s="25"/>
    </row>
    <row r="366" spans="1:19" x14ac:dyDescent="0.25">
      <c r="A366" s="65"/>
      <c r="B366" s="50"/>
      <c r="C366" s="50"/>
      <c r="D366" s="50"/>
      <c r="E366" s="50" t="str">
        <f>IF(D366="","",VLOOKUP(D366,'Product Master'!$B:$C,2,FALSE))</f>
        <v/>
      </c>
      <c r="F366" s="50" t="str">
        <f>IF(D366="","",IFERROR(VLOOKUP(D366,'Product Master'!$B:$G,3,FALSE),""))</f>
        <v/>
      </c>
      <c r="G366" s="51"/>
      <c r="H366" s="52" t="str">
        <f>IF(D366="","",VLOOKUP(D366,'Product Master'!$B:$F,5,FALSE))</f>
        <v/>
      </c>
      <c r="I366" s="52">
        <f>IFERROR(VLOOKUP(D366,'Product Master'!B:E,4,FALSE),0)</f>
        <v>0</v>
      </c>
      <c r="J366" s="53">
        <f>IFERROR(Table3[[#This Row],[QTY SOLD]]*Table3[[#This Row],[Selling Price]],0)</f>
        <v>0</v>
      </c>
      <c r="K366" s="50"/>
      <c r="L366" s="50">
        <f>Table3[[#This Row],[Total Sales]]-Table3[[#This Row],[Discount]]</f>
        <v>0</v>
      </c>
      <c r="M366" s="58">
        <f>Table3[[#This Row],[Net Sales]]-Table3[[#This Row],[Cost Price]]*Table3[[#This Row],[QTY SOLD]]</f>
        <v>0</v>
      </c>
      <c r="N366" s="25"/>
      <c r="O366" s="25"/>
      <c r="P366" s="25"/>
      <c r="Q366" s="25"/>
      <c r="R366" s="25"/>
      <c r="S366" s="25"/>
    </row>
    <row r="367" spans="1:19" x14ac:dyDescent="0.25">
      <c r="A367" s="65"/>
      <c r="B367" s="50"/>
      <c r="C367" s="50"/>
      <c r="D367" s="50"/>
      <c r="E367" s="50" t="str">
        <f>IF(D367="","",VLOOKUP(D367,'Product Master'!$B:$C,2,FALSE))</f>
        <v/>
      </c>
      <c r="F367" s="50" t="str">
        <f>IF(D367="","",IFERROR(VLOOKUP(D367,'Product Master'!$B:$G,3,FALSE),""))</f>
        <v/>
      </c>
      <c r="G367" s="51"/>
      <c r="H367" s="52" t="str">
        <f>IF(D367="","",VLOOKUP(D367,'Product Master'!$B:$F,5,FALSE))</f>
        <v/>
      </c>
      <c r="I367" s="52">
        <f>IFERROR(VLOOKUP(D367,'Product Master'!B:E,4,FALSE),0)</f>
        <v>0</v>
      </c>
      <c r="J367" s="53">
        <f>IFERROR(Table3[[#This Row],[QTY SOLD]]*Table3[[#This Row],[Selling Price]],0)</f>
        <v>0</v>
      </c>
      <c r="K367" s="50"/>
      <c r="L367" s="50">
        <f>Table3[[#This Row],[Total Sales]]-Table3[[#This Row],[Discount]]</f>
        <v>0</v>
      </c>
      <c r="M367" s="58">
        <f>Table3[[#This Row],[Net Sales]]-Table3[[#This Row],[Cost Price]]*Table3[[#This Row],[QTY SOLD]]</f>
        <v>0</v>
      </c>
      <c r="N367" s="25"/>
      <c r="O367" s="25"/>
      <c r="P367" s="25"/>
      <c r="Q367" s="25"/>
      <c r="R367" s="25"/>
      <c r="S367" s="25"/>
    </row>
    <row r="368" spans="1:19" x14ac:dyDescent="0.25">
      <c r="A368" s="65"/>
      <c r="B368" s="50"/>
      <c r="C368" s="50"/>
      <c r="D368" s="50"/>
      <c r="E368" s="50" t="str">
        <f>IF(D368="","",VLOOKUP(D368,'Product Master'!$B:$C,2,FALSE))</f>
        <v/>
      </c>
      <c r="F368" s="50" t="str">
        <f>IF(D368="","",IFERROR(VLOOKUP(D368,'Product Master'!$B:$G,3,FALSE),""))</f>
        <v/>
      </c>
      <c r="G368" s="51"/>
      <c r="H368" s="52" t="str">
        <f>IF(D368="","",VLOOKUP(D368,'Product Master'!$B:$F,5,FALSE))</f>
        <v/>
      </c>
      <c r="I368" s="52">
        <f>IFERROR(VLOOKUP(D368,'Product Master'!B:E,4,FALSE),0)</f>
        <v>0</v>
      </c>
      <c r="J368" s="53">
        <f>IFERROR(Table3[[#This Row],[QTY SOLD]]*Table3[[#This Row],[Selling Price]],0)</f>
        <v>0</v>
      </c>
      <c r="K368" s="50"/>
      <c r="L368" s="50">
        <f>Table3[[#This Row],[Total Sales]]-Table3[[#This Row],[Discount]]</f>
        <v>0</v>
      </c>
      <c r="M368" s="58">
        <f>Table3[[#This Row],[Net Sales]]-Table3[[#This Row],[Cost Price]]*Table3[[#This Row],[QTY SOLD]]</f>
        <v>0</v>
      </c>
      <c r="N368" s="25"/>
      <c r="O368" s="25"/>
      <c r="P368" s="25"/>
      <c r="Q368" s="25"/>
      <c r="R368" s="25"/>
      <c r="S368" s="25"/>
    </row>
    <row r="369" spans="1:19" x14ac:dyDescent="0.25">
      <c r="A369" s="65"/>
      <c r="B369" s="50"/>
      <c r="C369" s="50"/>
      <c r="D369" s="50"/>
      <c r="E369" s="50" t="str">
        <f>IF(D369="","",VLOOKUP(D369,'Product Master'!$B:$C,2,FALSE))</f>
        <v/>
      </c>
      <c r="F369" s="50" t="str">
        <f>IF(D369="","",IFERROR(VLOOKUP(D369,'Product Master'!$B:$G,3,FALSE),""))</f>
        <v/>
      </c>
      <c r="G369" s="51"/>
      <c r="H369" s="52" t="str">
        <f>IF(D369="","",VLOOKUP(D369,'Product Master'!$B:$F,5,FALSE))</f>
        <v/>
      </c>
      <c r="I369" s="52">
        <f>IFERROR(VLOOKUP(D369,'Product Master'!B:E,4,FALSE),0)</f>
        <v>0</v>
      </c>
      <c r="J369" s="53">
        <f>IFERROR(Table3[[#This Row],[QTY SOLD]]*Table3[[#This Row],[Selling Price]],0)</f>
        <v>0</v>
      </c>
      <c r="K369" s="50"/>
      <c r="L369" s="50">
        <f>Table3[[#This Row],[Total Sales]]-Table3[[#This Row],[Discount]]</f>
        <v>0</v>
      </c>
      <c r="M369" s="58">
        <f>Table3[[#This Row],[Net Sales]]-Table3[[#This Row],[Cost Price]]*Table3[[#This Row],[QTY SOLD]]</f>
        <v>0</v>
      </c>
      <c r="N369" s="25"/>
      <c r="O369" s="25"/>
      <c r="P369" s="25"/>
      <c r="Q369" s="25"/>
      <c r="R369" s="25"/>
      <c r="S369" s="25"/>
    </row>
    <row r="370" spans="1:19" x14ac:dyDescent="0.25">
      <c r="A370" s="65"/>
      <c r="B370" s="50"/>
      <c r="C370" s="50"/>
      <c r="D370" s="50"/>
      <c r="E370" s="50" t="str">
        <f>IF(D370="","",VLOOKUP(D370,'Product Master'!$B:$C,2,FALSE))</f>
        <v/>
      </c>
      <c r="F370" s="50" t="str">
        <f>IF(D370="","",IFERROR(VLOOKUP(D370,'Product Master'!$B:$G,3,FALSE),""))</f>
        <v/>
      </c>
      <c r="G370" s="51"/>
      <c r="H370" s="52" t="str">
        <f>IF(D370="","",VLOOKUP(D370,'Product Master'!$B:$F,5,FALSE))</f>
        <v/>
      </c>
      <c r="I370" s="52">
        <f>IFERROR(VLOOKUP(D370,'Product Master'!B:E,4,FALSE),0)</f>
        <v>0</v>
      </c>
      <c r="J370" s="53">
        <f>IFERROR(Table3[[#This Row],[QTY SOLD]]*Table3[[#This Row],[Selling Price]],0)</f>
        <v>0</v>
      </c>
      <c r="K370" s="50"/>
      <c r="L370" s="50">
        <f>Table3[[#This Row],[Total Sales]]-Table3[[#This Row],[Discount]]</f>
        <v>0</v>
      </c>
      <c r="M370" s="58">
        <f>Table3[[#This Row],[Net Sales]]-Table3[[#This Row],[Cost Price]]*Table3[[#This Row],[QTY SOLD]]</f>
        <v>0</v>
      </c>
      <c r="N370" s="25"/>
      <c r="O370" s="25"/>
      <c r="P370" s="25"/>
      <c r="Q370" s="25"/>
      <c r="R370" s="25"/>
      <c r="S370" s="25"/>
    </row>
    <row r="371" spans="1:19" x14ac:dyDescent="0.25">
      <c r="A371" s="65"/>
      <c r="B371" s="50"/>
      <c r="C371" s="50"/>
      <c r="D371" s="50"/>
      <c r="E371" s="50" t="str">
        <f>IF(D371="","",VLOOKUP(D371,'Product Master'!$B:$C,2,FALSE))</f>
        <v/>
      </c>
      <c r="F371" s="50" t="str">
        <f>IF(D371="","",IFERROR(VLOOKUP(D371,'Product Master'!$B:$G,3,FALSE),""))</f>
        <v/>
      </c>
      <c r="G371" s="51"/>
      <c r="H371" s="52" t="str">
        <f>IF(D371="","",VLOOKUP(D371,'Product Master'!$B:$F,5,FALSE))</f>
        <v/>
      </c>
      <c r="I371" s="52">
        <f>IFERROR(VLOOKUP(D371,'Product Master'!B:E,4,FALSE),0)</f>
        <v>0</v>
      </c>
      <c r="J371" s="53">
        <f>IFERROR(Table3[[#This Row],[QTY SOLD]]*Table3[[#This Row],[Selling Price]],0)</f>
        <v>0</v>
      </c>
      <c r="K371" s="50"/>
      <c r="L371" s="50">
        <f>Table3[[#This Row],[Total Sales]]-Table3[[#This Row],[Discount]]</f>
        <v>0</v>
      </c>
      <c r="M371" s="58">
        <f>Table3[[#This Row],[Net Sales]]-Table3[[#This Row],[Cost Price]]*Table3[[#This Row],[QTY SOLD]]</f>
        <v>0</v>
      </c>
      <c r="N371" s="25"/>
      <c r="O371" s="25"/>
      <c r="P371" s="25"/>
      <c r="Q371" s="25"/>
      <c r="R371" s="25"/>
      <c r="S371" s="25"/>
    </row>
    <row r="372" spans="1:19" x14ac:dyDescent="0.25">
      <c r="A372" s="65"/>
      <c r="B372" s="50"/>
      <c r="C372" s="50"/>
      <c r="D372" s="50"/>
      <c r="E372" s="50" t="str">
        <f>IF(D372="","",VLOOKUP(D372,'Product Master'!$B:$C,2,FALSE))</f>
        <v/>
      </c>
      <c r="F372" s="50" t="str">
        <f>IF(D372="","",IFERROR(VLOOKUP(D372,'Product Master'!$B:$G,3,FALSE),""))</f>
        <v/>
      </c>
      <c r="G372" s="51"/>
      <c r="H372" s="52" t="str">
        <f>IF(D372="","",VLOOKUP(D372,'Product Master'!$B:$F,5,FALSE))</f>
        <v/>
      </c>
      <c r="I372" s="52">
        <f>IFERROR(VLOOKUP(D372,'Product Master'!B:E,4,FALSE),0)</f>
        <v>0</v>
      </c>
      <c r="J372" s="53">
        <f>IFERROR(Table3[[#This Row],[QTY SOLD]]*Table3[[#This Row],[Selling Price]],0)</f>
        <v>0</v>
      </c>
      <c r="K372" s="50"/>
      <c r="L372" s="50">
        <f>Table3[[#This Row],[Total Sales]]-Table3[[#This Row],[Discount]]</f>
        <v>0</v>
      </c>
      <c r="M372" s="58">
        <f>Table3[[#This Row],[Net Sales]]-Table3[[#This Row],[Cost Price]]*Table3[[#This Row],[QTY SOLD]]</f>
        <v>0</v>
      </c>
      <c r="N372" s="25"/>
      <c r="O372" s="25"/>
      <c r="P372" s="25"/>
      <c r="Q372" s="25"/>
      <c r="R372" s="25"/>
      <c r="S372" s="25"/>
    </row>
    <row r="373" spans="1:19" x14ac:dyDescent="0.25">
      <c r="A373" s="65"/>
      <c r="B373" s="50"/>
      <c r="C373" s="50"/>
      <c r="D373" s="50"/>
      <c r="E373" s="50" t="str">
        <f>IF(D373="","",VLOOKUP(D373,'Product Master'!$B:$C,2,FALSE))</f>
        <v/>
      </c>
      <c r="F373" s="50" t="str">
        <f>IF(D373="","",IFERROR(VLOOKUP(D373,'Product Master'!$B:$G,3,FALSE),""))</f>
        <v/>
      </c>
      <c r="G373" s="51"/>
      <c r="H373" s="52" t="str">
        <f>IF(D373="","",VLOOKUP(D373,'Product Master'!$B:$F,5,FALSE))</f>
        <v/>
      </c>
      <c r="I373" s="52">
        <f>IFERROR(VLOOKUP(D373,'Product Master'!B:E,4,FALSE),0)</f>
        <v>0</v>
      </c>
      <c r="J373" s="53">
        <f>IFERROR(Table3[[#This Row],[QTY SOLD]]*Table3[[#This Row],[Selling Price]],0)</f>
        <v>0</v>
      </c>
      <c r="K373" s="50"/>
      <c r="L373" s="50">
        <f>Table3[[#This Row],[Total Sales]]-Table3[[#This Row],[Discount]]</f>
        <v>0</v>
      </c>
      <c r="M373" s="58">
        <f>Table3[[#This Row],[Net Sales]]-Table3[[#This Row],[Cost Price]]*Table3[[#This Row],[QTY SOLD]]</f>
        <v>0</v>
      </c>
      <c r="N373" s="25"/>
      <c r="O373" s="25"/>
      <c r="P373" s="25"/>
      <c r="Q373" s="25"/>
      <c r="R373" s="25"/>
      <c r="S373" s="25"/>
    </row>
    <row r="374" spans="1:19" x14ac:dyDescent="0.25">
      <c r="A374" s="65"/>
      <c r="B374" s="50"/>
      <c r="C374" s="50"/>
      <c r="D374" s="50"/>
      <c r="E374" s="50" t="str">
        <f>IF(D374="","",VLOOKUP(D374,'Product Master'!$B:$C,2,FALSE))</f>
        <v/>
      </c>
      <c r="F374" s="50" t="str">
        <f>IF(D374="","",IFERROR(VLOOKUP(D374,'Product Master'!$B:$G,3,FALSE),""))</f>
        <v/>
      </c>
      <c r="G374" s="51"/>
      <c r="H374" s="52" t="str">
        <f>IF(D374="","",VLOOKUP(D374,'Product Master'!$B:$F,5,FALSE))</f>
        <v/>
      </c>
      <c r="I374" s="52">
        <f>IFERROR(VLOOKUP(D374,'Product Master'!B:E,4,FALSE),0)</f>
        <v>0</v>
      </c>
      <c r="J374" s="53">
        <f>IFERROR(Table3[[#This Row],[QTY SOLD]]*Table3[[#This Row],[Selling Price]],0)</f>
        <v>0</v>
      </c>
      <c r="K374" s="50"/>
      <c r="L374" s="50">
        <f>Table3[[#This Row],[Total Sales]]-Table3[[#This Row],[Discount]]</f>
        <v>0</v>
      </c>
      <c r="M374" s="58">
        <f>Table3[[#This Row],[Net Sales]]-Table3[[#This Row],[Cost Price]]*Table3[[#This Row],[QTY SOLD]]</f>
        <v>0</v>
      </c>
      <c r="N374" s="25"/>
      <c r="O374" s="25"/>
      <c r="P374" s="25"/>
      <c r="Q374" s="25"/>
      <c r="R374" s="25"/>
      <c r="S374" s="25"/>
    </row>
    <row r="375" spans="1:19" x14ac:dyDescent="0.25">
      <c r="A375" s="65"/>
      <c r="B375" s="50"/>
      <c r="C375" s="50"/>
      <c r="D375" s="50"/>
      <c r="E375" s="50" t="str">
        <f>IF(D375="","",VLOOKUP(D375,'Product Master'!$B:$C,2,FALSE))</f>
        <v/>
      </c>
      <c r="F375" s="50" t="str">
        <f>IF(D375="","",IFERROR(VLOOKUP(D375,'Product Master'!$B:$G,3,FALSE),""))</f>
        <v/>
      </c>
      <c r="G375" s="51"/>
      <c r="H375" s="52" t="str">
        <f>IF(D375="","",VLOOKUP(D375,'Product Master'!$B:$F,5,FALSE))</f>
        <v/>
      </c>
      <c r="I375" s="52">
        <f>IFERROR(VLOOKUP(D375,'Product Master'!B:E,4,FALSE),0)</f>
        <v>0</v>
      </c>
      <c r="J375" s="53">
        <f>IFERROR(Table3[[#This Row],[QTY SOLD]]*Table3[[#This Row],[Selling Price]],0)</f>
        <v>0</v>
      </c>
      <c r="K375" s="50"/>
      <c r="L375" s="50">
        <f>Table3[[#This Row],[Total Sales]]-Table3[[#This Row],[Discount]]</f>
        <v>0</v>
      </c>
      <c r="M375" s="58">
        <f>Table3[[#This Row],[Net Sales]]-Table3[[#This Row],[Cost Price]]*Table3[[#This Row],[QTY SOLD]]</f>
        <v>0</v>
      </c>
      <c r="N375" s="25"/>
      <c r="O375" s="25"/>
      <c r="P375" s="25"/>
      <c r="Q375" s="25"/>
      <c r="R375" s="25"/>
      <c r="S375" s="25"/>
    </row>
    <row r="376" spans="1:19" x14ac:dyDescent="0.25">
      <c r="A376" s="65"/>
      <c r="B376" s="50"/>
      <c r="C376" s="50"/>
      <c r="D376" s="50"/>
      <c r="E376" s="50" t="str">
        <f>IF(D376="","",VLOOKUP(D376,'Product Master'!$B:$C,2,FALSE))</f>
        <v/>
      </c>
      <c r="F376" s="50" t="str">
        <f>IF(D376="","",IFERROR(VLOOKUP(D376,'Product Master'!$B:$G,3,FALSE),""))</f>
        <v/>
      </c>
      <c r="G376" s="51"/>
      <c r="H376" s="52" t="str">
        <f>IF(D376="","",VLOOKUP(D376,'Product Master'!$B:$F,5,FALSE))</f>
        <v/>
      </c>
      <c r="I376" s="52">
        <f>IFERROR(VLOOKUP(D376,'Product Master'!B:E,4,FALSE),0)</f>
        <v>0</v>
      </c>
      <c r="J376" s="53">
        <f>IFERROR(Table3[[#This Row],[QTY SOLD]]*Table3[[#This Row],[Selling Price]],0)</f>
        <v>0</v>
      </c>
      <c r="K376" s="50"/>
      <c r="L376" s="50">
        <f>Table3[[#This Row],[Total Sales]]-Table3[[#This Row],[Discount]]</f>
        <v>0</v>
      </c>
      <c r="M376" s="58">
        <f>Table3[[#This Row],[Net Sales]]-Table3[[#This Row],[Cost Price]]*Table3[[#This Row],[QTY SOLD]]</f>
        <v>0</v>
      </c>
      <c r="N376" s="25"/>
      <c r="O376" s="25"/>
      <c r="P376" s="25"/>
      <c r="Q376" s="25"/>
      <c r="R376" s="25"/>
      <c r="S376" s="25"/>
    </row>
    <row r="377" spans="1:19" x14ac:dyDescent="0.25">
      <c r="A377" s="65"/>
      <c r="B377" s="50"/>
      <c r="C377" s="50"/>
      <c r="D377" s="50"/>
      <c r="E377" s="50" t="str">
        <f>IF(D377="","",VLOOKUP(D377,'Product Master'!$B:$C,2,FALSE))</f>
        <v/>
      </c>
      <c r="F377" s="50" t="str">
        <f>IF(D377="","",IFERROR(VLOOKUP(D377,'Product Master'!$B:$G,3,FALSE),""))</f>
        <v/>
      </c>
      <c r="G377" s="51"/>
      <c r="H377" s="52" t="str">
        <f>IF(D377="","",VLOOKUP(D377,'Product Master'!$B:$F,5,FALSE))</f>
        <v/>
      </c>
      <c r="I377" s="52">
        <f>IFERROR(VLOOKUP(D377,'Product Master'!B:E,4,FALSE),0)</f>
        <v>0</v>
      </c>
      <c r="J377" s="53">
        <f>IFERROR(Table3[[#This Row],[QTY SOLD]]*Table3[[#This Row],[Selling Price]],0)</f>
        <v>0</v>
      </c>
      <c r="K377" s="50"/>
      <c r="L377" s="50">
        <f>Table3[[#This Row],[Total Sales]]-Table3[[#This Row],[Discount]]</f>
        <v>0</v>
      </c>
      <c r="M377" s="58">
        <f>Table3[[#This Row],[Net Sales]]-Table3[[#This Row],[Cost Price]]*Table3[[#This Row],[QTY SOLD]]</f>
        <v>0</v>
      </c>
      <c r="N377" s="25"/>
      <c r="O377" s="25"/>
      <c r="P377" s="25"/>
      <c r="Q377" s="25"/>
      <c r="R377" s="25"/>
      <c r="S377" s="25"/>
    </row>
    <row r="378" spans="1:19" x14ac:dyDescent="0.25">
      <c r="A378" s="65"/>
      <c r="B378" s="50"/>
      <c r="C378" s="50"/>
      <c r="D378" s="50"/>
      <c r="E378" s="50" t="str">
        <f>IF(D378="","",VLOOKUP(D378,'Product Master'!$B:$C,2,FALSE))</f>
        <v/>
      </c>
      <c r="F378" s="50" t="str">
        <f>IF(D378="","",IFERROR(VLOOKUP(D378,'Product Master'!$B:$G,3,FALSE),""))</f>
        <v/>
      </c>
      <c r="G378" s="51"/>
      <c r="H378" s="52" t="str">
        <f>IF(D378="","",VLOOKUP(D378,'Product Master'!$B:$F,5,FALSE))</f>
        <v/>
      </c>
      <c r="I378" s="52">
        <f>IFERROR(VLOOKUP(D378,'Product Master'!B:E,4,FALSE),0)</f>
        <v>0</v>
      </c>
      <c r="J378" s="53">
        <f>IFERROR(Table3[[#This Row],[QTY SOLD]]*Table3[[#This Row],[Selling Price]],0)</f>
        <v>0</v>
      </c>
      <c r="K378" s="50"/>
      <c r="L378" s="50">
        <f>Table3[[#This Row],[Total Sales]]-Table3[[#This Row],[Discount]]</f>
        <v>0</v>
      </c>
      <c r="M378" s="58">
        <f>Table3[[#This Row],[Net Sales]]-Table3[[#This Row],[Cost Price]]*Table3[[#This Row],[QTY SOLD]]</f>
        <v>0</v>
      </c>
      <c r="N378" s="25"/>
      <c r="O378" s="25"/>
      <c r="P378" s="25"/>
      <c r="Q378" s="25"/>
      <c r="R378" s="25"/>
      <c r="S378" s="25"/>
    </row>
    <row r="379" spans="1:19" x14ac:dyDescent="0.25">
      <c r="A379" s="65"/>
      <c r="B379" s="50"/>
      <c r="C379" s="50"/>
      <c r="D379" s="50"/>
      <c r="E379" s="50" t="str">
        <f>IF(D379="","",VLOOKUP(D379,'Product Master'!$B:$C,2,FALSE))</f>
        <v/>
      </c>
      <c r="F379" s="50" t="str">
        <f>IF(D379="","",IFERROR(VLOOKUP(D379,'Product Master'!$B:$G,3,FALSE),""))</f>
        <v/>
      </c>
      <c r="G379" s="51"/>
      <c r="H379" s="52" t="str">
        <f>IF(D379="","",VLOOKUP(D379,'Product Master'!$B:$F,5,FALSE))</f>
        <v/>
      </c>
      <c r="I379" s="52">
        <f>IFERROR(VLOOKUP(D379,'Product Master'!B:E,4,FALSE),0)</f>
        <v>0</v>
      </c>
      <c r="J379" s="53">
        <f>IFERROR(Table3[[#This Row],[QTY SOLD]]*Table3[[#This Row],[Selling Price]],0)</f>
        <v>0</v>
      </c>
      <c r="K379" s="50"/>
      <c r="L379" s="50">
        <f>Table3[[#This Row],[Total Sales]]-Table3[[#This Row],[Discount]]</f>
        <v>0</v>
      </c>
      <c r="M379" s="58">
        <f>Table3[[#This Row],[Net Sales]]-Table3[[#This Row],[Cost Price]]*Table3[[#This Row],[QTY SOLD]]</f>
        <v>0</v>
      </c>
      <c r="N379" s="25"/>
      <c r="O379" s="25"/>
      <c r="P379" s="25"/>
      <c r="Q379" s="25"/>
      <c r="R379" s="25"/>
      <c r="S379" s="25"/>
    </row>
    <row r="380" spans="1:19" x14ac:dyDescent="0.25">
      <c r="A380" s="65"/>
      <c r="B380" s="50"/>
      <c r="C380" s="50"/>
      <c r="D380" s="50"/>
      <c r="E380" s="50" t="str">
        <f>IF(D380="","",VLOOKUP(D380,'Product Master'!$B:$C,2,FALSE))</f>
        <v/>
      </c>
      <c r="F380" s="50" t="str">
        <f>IF(D380="","",IFERROR(VLOOKUP(D380,'Product Master'!$B:$G,3,FALSE),""))</f>
        <v/>
      </c>
      <c r="G380" s="51"/>
      <c r="H380" s="52" t="str">
        <f>IF(D380="","",VLOOKUP(D380,'Product Master'!$B:$F,5,FALSE))</f>
        <v/>
      </c>
      <c r="I380" s="52">
        <f>IFERROR(VLOOKUP(D380,'Product Master'!B:E,4,FALSE),0)</f>
        <v>0</v>
      </c>
      <c r="J380" s="53">
        <f>IFERROR(Table3[[#This Row],[QTY SOLD]]*Table3[[#This Row],[Selling Price]],0)</f>
        <v>0</v>
      </c>
      <c r="K380" s="50"/>
      <c r="L380" s="50">
        <f>Table3[[#This Row],[Total Sales]]-Table3[[#This Row],[Discount]]</f>
        <v>0</v>
      </c>
      <c r="M380" s="58">
        <f>Table3[[#This Row],[Net Sales]]-Table3[[#This Row],[Cost Price]]*Table3[[#This Row],[QTY SOLD]]</f>
        <v>0</v>
      </c>
      <c r="N380" s="25"/>
      <c r="O380" s="25"/>
      <c r="P380" s="25"/>
      <c r="Q380" s="25"/>
      <c r="R380" s="25"/>
      <c r="S380" s="25"/>
    </row>
    <row r="381" spans="1:19" x14ac:dyDescent="0.25">
      <c r="A381" s="65"/>
      <c r="B381" s="50"/>
      <c r="C381" s="50"/>
      <c r="D381" s="50"/>
      <c r="E381" s="50" t="str">
        <f>IF(D381="","",VLOOKUP(D381,'Product Master'!$B:$C,2,FALSE))</f>
        <v/>
      </c>
      <c r="F381" s="50" t="str">
        <f>IF(D381="","",IFERROR(VLOOKUP(D381,'Product Master'!$B:$G,3,FALSE),""))</f>
        <v/>
      </c>
      <c r="G381" s="51"/>
      <c r="H381" s="52" t="str">
        <f>IF(D381="","",VLOOKUP(D381,'Product Master'!$B:$F,5,FALSE))</f>
        <v/>
      </c>
      <c r="I381" s="52">
        <f>IFERROR(VLOOKUP(D381,'Product Master'!B:E,4,FALSE),0)</f>
        <v>0</v>
      </c>
      <c r="J381" s="53">
        <f>IFERROR(Table3[[#This Row],[QTY SOLD]]*Table3[[#This Row],[Selling Price]],0)</f>
        <v>0</v>
      </c>
      <c r="K381" s="50"/>
      <c r="L381" s="50">
        <f>Table3[[#This Row],[Total Sales]]-Table3[[#This Row],[Discount]]</f>
        <v>0</v>
      </c>
      <c r="M381" s="58">
        <f>Table3[[#This Row],[Net Sales]]-Table3[[#This Row],[Cost Price]]*Table3[[#This Row],[QTY SOLD]]</f>
        <v>0</v>
      </c>
      <c r="N381" s="25"/>
      <c r="O381" s="25"/>
      <c r="P381" s="25"/>
      <c r="Q381" s="25"/>
      <c r="R381" s="25"/>
      <c r="S381" s="25"/>
    </row>
    <row r="382" spans="1:19" x14ac:dyDescent="0.25">
      <c r="A382" s="65"/>
      <c r="B382" s="50"/>
      <c r="C382" s="50"/>
      <c r="D382" s="50"/>
      <c r="E382" s="50" t="str">
        <f>IF(D382="","",VLOOKUP(D382,'Product Master'!$B:$C,2,FALSE))</f>
        <v/>
      </c>
      <c r="F382" s="50" t="str">
        <f>IF(D382="","",IFERROR(VLOOKUP(D382,'Product Master'!$B:$G,3,FALSE),""))</f>
        <v/>
      </c>
      <c r="G382" s="51"/>
      <c r="H382" s="52" t="str">
        <f>IF(D382="","",VLOOKUP(D382,'Product Master'!$B:$F,5,FALSE))</f>
        <v/>
      </c>
      <c r="I382" s="52">
        <f>IFERROR(VLOOKUP(D382,'Product Master'!B:E,4,FALSE),0)</f>
        <v>0</v>
      </c>
      <c r="J382" s="53">
        <f>IFERROR(Table3[[#This Row],[QTY SOLD]]*Table3[[#This Row],[Selling Price]],0)</f>
        <v>0</v>
      </c>
      <c r="K382" s="50"/>
      <c r="L382" s="50">
        <f>Table3[[#This Row],[Total Sales]]-Table3[[#This Row],[Discount]]</f>
        <v>0</v>
      </c>
      <c r="M382" s="58">
        <f>Table3[[#This Row],[Net Sales]]-Table3[[#This Row],[Cost Price]]*Table3[[#This Row],[QTY SOLD]]</f>
        <v>0</v>
      </c>
      <c r="N382" s="25"/>
      <c r="O382" s="25"/>
      <c r="P382" s="25"/>
      <c r="Q382" s="25"/>
      <c r="R382" s="25"/>
      <c r="S382" s="25"/>
    </row>
    <row r="383" spans="1:19" x14ac:dyDescent="0.25">
      <c r="A383" s="65"/>
      <c r="B383" s="50"/>
      <c r="C383" s="50"/>
      <c r="D383" s="50"/>
      <c r="E383" s="50" t="str">
        <f>IF(D383="","",VLOOKUP(D383,'Product Master'!$B:$C,2,FALSE))</f>
        <v/>
      </c>
      <c r="F383" s="50" t="str">
        <f>IF(D383="","",IFERROR(VLOOKUP(D383,'Product Master'!$B:$G,3,FALSE),""))</f>
        <v/>
      </c>
      <c r="G383" s="51"/>
      <c r="H383" s="52" t="str">
        <f>IF(D383="","",VLOOKUP(D383,'Product Master'!$B:$F,5,FALSE))</f>
        <v/>
      </c>
      <c r="I383" s="52">
        <f>IFERROR(VLOOKUP(D383,'Product Master'!B:E,4,FALSE),0)</f>
        <v>0</v>
      </c>
      <c r="J383" s="53">
        <f>IFERROR(Table3[[#This Row],[QTY SOLD]]*Table3[[#This Row],[Selling Price]],0)</f>
        <v>0</v>
      </c>
      <c r="K383" s="50"/>
      <c r="L383" s="50">
        <f>Table3[[#This Row],[Total Sales]]-Table3[[#This Row],[Discount]]</f>
        <v>0</v>
      </c>
      <c r="M383" s="58">
        <f>Table3[[#This Row],[Net Sales]]-Table3[[#This Row],[Cost Price]]*Table3[[#This Row],[QTY SOLD]]</f>
        <v>0</v>
      </c>
      <c r="N383" s="25"/>
      <c r="O383" s="25"/>
      <c r="P383" s="25"/>
      <c r="Q383" s="25"/>
      <c r="R383" s="25"/>
      <c r="S383" s="25"/>
    </row>
    <row r="384" spans="1:19" x14ac:dyDescent="0.25">
      <c r="A384" s="65"/>
      <c r="B384" s="50"/>
      <c r="C384" s="50"/>
      <c r="D384" s="50"/>
      <c r="E384" s="50" t="str">
        <f>IF(D384="","",VLOOKUP(D384,'Product Master'!$B:$C,2,FALSE))</f>
        <v/>
      </c>
      <c r="F384" s="50" t="str">
        <f>IF(D384="","",IFERROR(VLOOKUP(D384,'Product Master'!$B:$G,3,FALSE),""))</f>
        <v/>
      </c>
      <c r="G384" s="51"/>
      <c r="H384" s="52" t="str">
        <f>IF(D384="","",VLOOKUP(D384,'Product Master'!$B:$F,5,FALSE))</f>
        <v/>
      </c>
      <c r="I384" s="52">
        <f>IFERROR(VLOOKUP(D384,'Product Master'!B:E,4,FALSE),0)</f>
        <v>0</v>
      </c>
      <c r="J384" s="53">
        <f>IFERROR(Table3[[#This Row],[QTY SOLD]]*Table3[[#This Row],[Selling Price]],0)</f>
        <v>0</v>
      </c>
      <c r="K384" s="50"/>
      <c r="L384" s="50">
        <f>Table3[[#This Row],[Total Sales]]-Table3[[#This Row],[Discount]]</f>
        <v>0</v>
      </c>
      <c r="M384" s="58">
        <f>Table3[[#This Row],[Net Sales]]-Table3[[#This Row],[Cost Price]]*Table3[[#This Row],[QTY SOLD]]</f>
        <v>0</v>
      </c>
      <c r="N384" s="25"/>
      <c r="O384" s="25"/>
      <c r="P384" s="25"/>
      <c r="Q384" s="25"/>
      <c r="R384" s="25"/>
      <c r="S384" s="25"/>
    </row>
    <row r="385" spans="1:19" x14ac:dyDescent="0.25">
      <c r="A385" s="65"/>
      <c r="B385" s="50"/>
      <c r="C385" s="50"/>
      <c r="D385" s="50"/>
      <c r="E385" s="50" t="str">
        <f>IF(D385="","",VLOOKUP(D385,'Product Master'!$B:$C,2,FALSE))</f>
        <v/>
      </c>
      <c r="F385" s="50" t="str">
        <f>IF(D385="","",IFERROR(VLOOKUP(D385,'Product Master'!$B:$G,3,FALSE),""))</f>
        <v/>
      </c>
      <c r="G385" s="51"/>
      <c r="H385" s="52" t="str">
        <f>IF(D385="","",VLOOKUP(D385,'Product Master'!$B:$F,5,FALSE))</f>
        <v/>
      </c>
      <c r="I385" s="52">
        <f>IFERROR(VLOOKUP(D385,'Product Master'!B:E,4,FALSE),0)</f>
        <v>0</v>
      </c>
      <c r="J385" s="53">
        <f>IFERROR(Table3[[#This Row],[QTY SOLD]]*Table3[[#This Row],[Selling Price]],0)</f>
        <v>0</v>
      </c>
      <c r="K385" s="50"/>
      <c r="L385" s="50">
        <f>Table3[[#This Row],[Total Sales]]-Table3[[#This Row],[Discount]]</f>
        <v>0</v>
      </c>
      <c r="M385" s="58">
        <f>Table3[[#This Row],[Net Sales]]-Table3[[#This Row],[Cost Price]]*Table3[[#This Row],[QTY SOLD]]</f>
        <v>0</v>
      </c>
      <c r="N385" s="25"/>
      <c r="O385" s="25"/>
      <c r="P385" s="25"/>
      <c r="Q385" s="25"/>
      <c r="R385" s="25"/>
      <c r="S385" s="25"/>
    </row>
    <row r="386" spans="1:19" x14ac:dyDescent="0.25">
      <c r="A386" s="65"/>
      <c r="B386" s="50"/>
      <c r="C386" s="50"/>
      <c r="D386" s="50"/>
      <c r="E386" s="50" t="str">
        <f>IF(D386="","",VLOOKUP(D386,'Product Master'!$B:$C,2,FALSE))</f>
        <v/>
      </c>
      <c r="F386" s="50" t="str">
        <f>IF(D386="","",IFERROR(VLOOKUP(D386,'Product Master'!$B:$G,3,FALSE),""))</f>
        <v/>
      </c>
      <c r="G386" s="51"/>
      <c r="H386" s="52" t="str">
        <f>IF(D386="","",VLOOKUP(D386,'Product Master'!$B:$F,5,FALSE))</f>
        <v/>
      </c>
      <c r="I386" s="52">
        <f>IFERROR(VLOOKUP(D386,'Product Master'!B:E,4,FALSE),0)</f>
        <v>0</v>
      </c>
      <c r="J386" s="53">
        <f>IFERROR(Table3[[#This Row],[QTY SOLD]]*Table3[[#This Row],[Selling Price]],0)</f>
        <v>0</v>
      </c>
      <c r="K386" s="50"/>
      <c r="L386" s="50">
        <f>Table3[[#This Row],[Total Sales]]-Table3[[#This Row],[Discount]]</f>
        <v>0</v>
      </c>
      <c r="M386" s="58">
        <f>Table3[[#This Row],[Net Sales]]-Table3[[#This Row],[Cost Price]]*Table3[[#This Row],[QTY SOLD]]</f>
        <v>0</v>
      </c>
      <c r="N386" s="25"/>
      <c r="O386" s="25"/>
      <c r="P386" s="25"/>
      <c r="Q386" s="25"/>
      <c r="R386" s="25"/>
      <c r="S386" s="25"/>
    </row>
    <row r="387" spans="1:19" x14ac:dyDescent="0.25">
      <c r="A387" s="65"/>
      <c r="B387" s="50"/>
      <c r="C387" s="50"/>
      <c r="D387" s="50"/>
      <c r="E387" s="50" t="str">
        <f>IF(D387="","",VLOOKUP(D387,'Product Master'!$B:$C,2,FALSE))</f>
        <v/>
      </c>
      <c r="F387" s="50" t="str">
        <f>IF(D387="","",IFERROR(VLOOKUP(D387,'Product Master'!$B:$G,3,FALSE),""))</f>
        <v/>
      </c>
      <c r="G387" s="51"/>
      <c r="H387" s="52" t="str">
        <f>IF(D387="","",VLOOKUP(D387,'Product Master'!$B:$F,5,FALSE))</f>
        <v/>
      </c>
      <c r="I387" s="52">
        <f>IFERROR(VLOOKUP(D387,'Product Master'!B:E,4,FALSE),0)</f>
        <v>0</v>
      </c>
      <c r="J387" s="53">
        <f>IFERROR(Table3[[#This Row],[QTY SOLD]]*Table3[[#This Row],[Selling Price]],0)</f>
        <v>0</v>
      </c>
      <c r="K387" s="50"/>
      <c r="L387" s="50">
        <f>Table3[[#This Row],[Total Sales]]-Table3[[#This Row],[Discount]]</f>
        <v>0</v>
      </c>
      <c r="M387" s="58">
        <f>Table3[[#This Row],[Net Sales]]-Table3[[#This Row],[Cost Price]]*Table3[[#This Row],[QTY SOLD]]</f>
        <v>0</v>
      </c>
      <c r="N387" s="25"/>
      <c r="O387" s="25"/>
      <c r="P387" s="25"/>
      <c r="Q387" s="25"/>
      <c r="R387" s="25"/>
      <c r="S387" s="25"/>
    </row>
    <row r="388" spans="1:19" x14ac:dyDescent="0.25">
      <c r="A388" s="65"/>
      <c r="B388" s="50"/>
      <c r="C388" s="50"/>
      <c r="D388" s="50"/>
      <c r="E388" s="50" t="str">
        <f>IF(D388="","",VLOOKUP(D388,'Product Master'!$B:$C,2,FALSE))</f>
        <v/>
      </c>
      <c r="F388" s="50" t="str">
        <f>IF(D388="","",IFERROR(VLOOKUP(D388,'Product Master'!$B:$G,3,FALSE),""))</f>
        <v/>
      </c>
      <c r="G388" s="51"/>
      <c r="H388" s="52" t="str">
        <f>IF(D388="","",VLOOKUP(D388,'Product Master'!$B:$F,5,FALSE))</f>
        <v/>
      </c>
      <c r="I388" s="52">
        <f>IFERROR(VLOOKUP(D388,'Product Master'!B:E,4,FALSE),0)</f>
        <v>0</v>
      </c>
      <c r="J388" s="53">
        <f>IFERROR(Table3[[#This Row],[QTY SOLD]]*Table3[[#This Row],[Selling Price]],0)</f>
        <v>0</v>
      </c>
      <c r="K388" s="50"/>
      <c r="L388" s="50">
        <f>Table3[[#This Row],[Total Sales]]-Table3[[#This Row],[Discount]]</f>
        <v>0</v>
      </c>
      <c r="M388" s="58">
        <f>Table3[[#This Row],[Net Sales]]-Table3[[#This Row],[Cost Price]]*Table3[[#This Row],[QTY SOLD]]</f>
        <v>0</v>
      </c>
      <c r="N388" s="25"/>
      <c r="O388" s="25"/>
      <c r="P388" s="25"/>
      <c r="Q388" s="25"/>
      <c r="R388" s="25"/>
      <c r="S388" s="25"/>
    </row>
    <row r="389" spans="1:19" x14ac:dyDescent="0.25">
      <c r="A389" s="65"/>
      <c r="B389" s="50"/>
      <c r="C389" s="50"/>
      <c r="D389" s="50"/>
      <c r="E389" s="50" t="str">
        <f>IF(D389="","",VLOOKUP(D389,'Product Master'!$B:$C,2,FALSE))</f>
        <v/>
      </c>
      <c r="F389" s="50" t="str">
        <f>IF(D389="","",IFERROR(VLOOKUP(D389,'Product Master'!$B:$G,3,FALSE),""))</f>
        <v/>
      </c>
      <c r="G389" s="51"/>
      <c r="H389" s="52" t="str">
        <f>IF(D389="","",VLOOKUP(D389,'Product Master'!$B:$F,5,FALSE))</f>
        <v/>
      </c>
      <c r="I389" s="52">
        <f>IFERROR(VLOOKUP(D389,'Product Master'!B:E,4,FALSE),0)</f>
        <v>0</v>
      </c>
      <c r="J389" s="53">
        <f>IFERROR(Table3[[#This Row],[QTY SOLD]]*Table3[[#This Row],[Selling Price]],0)</f>
        <v>0</v>
      </c>
      <c r="K389" s="50"/>
      <c r="L389" s="50">
        <f>Table3[[#This Row],[Total Sales]]-Table3[[#This Row],[Discount]]</f>
        <v>0</v>
      </c>
      <c r="M389" s="58">
        <f>Table3[[#This Row],[Net Sales]]-Table3[[#This Row],[Cost Price]]*Table3[[#This Row],[QTY SOLD]]</f>
        <v>0</v>
      </c>
      <c r="N389" s="25"/>
      <c r="O389" s="25"/>
      <c r="P389" s="25"/>
      <c r="Q389" s="25"/>
      <c r="R389" s="25"/>
      <c r="S389" s="25"/>
    </row>
    <row r="390" spans="1:19" x14ac:dyDescent="0.25">
      <c r="A390" s="65"/>
      <c r="B390" s="50"/>
      <c r="C390" s="50"/>
      <c r="D390" s="50"/>
      <c r="E390" s="50" t="str">
        <f>IF(D390="","",VLOOKUP(D390,'Product Master'!$B:$C,2,FALSE))</f>
        <v/>
      </c>
      <c r="F390" s="50" t="str">
        <f>IF(D390="","",IFERROR(VLOOKUP(D390,'Product Master'!$B:$G,3,FALSE),""))</f>
        <v/>
      </c>
      <c r="G390" s="51"/>
      <c r="H390" s="52" t="str">
        <f>IF(D390="","",VLOOKUP(D390,'Product Master'!$B:$F,5,FALSE))</f>
        <v/>
      </c>
      <c r="I390" s="52">
        <f>IFERROR(VLOOKUP(D390,'Product Master'!B:E,4,FALSE),0)</f>
        <v>0</v>
      </c>
      <c r="J390" s="53">
        <f>IFERROR(Table3[[#This Row],[QTY SOLD]]*Table3[[#This Row],[Selling Price]],0)</f>
        <v>0</v>
      </c>
      <c r="K390" s="50"/>
      <c r="L390" s="50">
        <f>Table3[[#This Row],[Total Sales]]-Table3[[#This Row],[Discount]]</f>
        <v>0</v>
      </c>
      <c r="M390" s="58">
        <f>Table3[[#This Row],[Net Sales]]-Table3[[#This Row],[Cost Price]]*Table3[[#This Row],[QTY SOLD]]</f>
        <v>0</v>
      </c>
      <c r="N390" s="25"/>
      <c r="O390" s="25"/>
      <c r="P390" s="25"/>
      <c r="Q390" s="25"/>
      <c r="R390" s="25"/>
      <c r="S390" s="25"/>
    </row>
    <row r="391" spans="1:19" x14ac:dyDescent="0.25">
      <c r="A391" s="65"/>
      <c r="B391" s="50"/>
      <c r="C391" s="50"/>
      <c r="D391" s="50"/>
      <c r="E391" s="50" t="str">
        <f>IF(D391="","",VLOOKUP(D391,'Product Master'!$B:$C,2,FALSE))</f>
        <v/>
      </c>
      <c r="F391" s="50" t="str">
        <f>IF(D391="","",IFERROR(VLOOKUP(D391,'Product Master'!$B:$G,3,FALSE),""))</f>
        <v/>
      </c>
      <c r="G391" s="51"/>
      <c r="H391" s="52" t="str">
        <f>IF(D391="","",VLOOKUP(D391,'Product Master'!$B:$F,5,FALSE))</f>
        <v/>
      </c>
      <c r="I391" s="52">
        <f>IFERROR(VLOOKUP(D391,'Product Master'!B:E,4,FALSE),0)</f>
        <v>0</v>
      </c>
      <c r="J391" s="53">
        <f>IFERROR(Table3[[#This Row],[QTY SOLD]]*Table3[[#This Row],[Selling Price]],0)</f>
        <v>0</v>
      </c>
      <c r="K391" s="50"/>
      <c r="L391" s="50">
        <f>Table3[[#This Row],[Total Sales]]-Table3[[#This Row],[Discount]]</f>
        <v>0</v>
      </c>
      <c r="M391" s="58">
        <f>Table3[[#This Row],[Net Sales]]-Table3[[#This Row],[Cost Price]]*Table3[[#This Row],[QTY SOLD]]</f>
        <v>0</v>
      </c>
      <c r="N391" s="25"/>
      <c r="O391" s="25"/>
      <c r="P391" s="25"/>
      <c r="Q391" s="25"/>
      <c r="R391" s="25"/>
      <c r="S391" s="25"/>
    </row>
    <row r="392" spans="1:19" x14ac:dyDescent="0.25">
      <c r="A392" s="65"/>
      <c r="B392" s="50"/>
      <c r="C392" s="50"/>
      <c r="D392" s="50"/>
      <c r="E392" s="50" t="str">
        <f>IF(D392="","",VLOOKUP(D392,'Product Master'!$B:$C,2,FALSE))</f>
        <v/>
      </c>
      <c r="F392" s="50" t="str">
        <f>IF(D392="","",IFERROR(VLOOKUP(D392,'Product Master'!$B:$G,3,FALSE),""))</f>
        <v/>
      </c>
      <c r="G392" s="51"/>
      <c r="H392" s="52" t="str">
        <f>IF(D392="","",VLOOKUP(D392,'Product Master'!$B:$F,5,FALSE))</f>
        <v/>
      </c>
      <c r="I392" s="52">
        <f>IFERROR(VLOOKUP(D392,'Product Master'!B:E,4,FALSE),0)</f>
        <v>0</v>
      </c>
      <c r="J392" s="53">
        <f>IFERROR(Table3[[#This Row],[QTY SOLD]]*Table3[[#This Row],[Selling Price]],0)</f>
        <v>0</v>
      </c>
      <c r="K392" s="50"/>
      <c r="L392" s="50">
        <f>Table3[[#This Row],[Total Sales]]-Table3[[#This Row],[Discount]]</f>
        <v>0</v>
      </c>
      <c r="M392" s="58">
        <f>Table3[[#This Row],[Net Sales]]-Table3[[#This Row],[Cost Price]]*Table3[[#This Row],[QTY SOLD]]</f>
        <v>0</v>
      </c>
      <c r="N392" s="25"/>
      <c r="O392" s="25"/>
      <c r="P392" s="25"/>
      <c r="Q392" s="25"/>
      <c r="R392" s="25"/>
      <c r="S392" s="25"/>
    </row>
    <row r="393" spans="1:19" x14ac:dyDescent="0.25">
      <c r="A393" s="65"/>
      <c r="B393" s="50"/>
      <c r="C393" s="50"/>
      <c r="D393" s="50"/>
      <c r="E393" s="50" t="str">
        <f>IF(D393="","",VLOOKUP(D393,'Product Master'!$B:$C,2,FALSE))</f>
        <v/>
      </c>
      <c r="F393" s="50" t="str">
        <f>IF(D393="","",IFERROR(VLOOKUP(D393,'Product Master'!$B:$G,3,FALSE),""))</f>
        <v/>
      </c>
      <c r="G393" s="51"/>
      <c r="H393" s="52" t="str">
        <f>IF(D393="","",VLOOKUP(D393,'Product Master'!$B:$F,5,FALSE))</f>
        <v/>
      </c>
      <c r="I393" s="52">
        <f>IFERROR(VLOOKUP(D393,'Product Master'!B:E,4,FALSE),0)</f>
        <v>0</v>
      </c>
      <c r="J393" s="53">
        <f>IFERROR(Table3[[#This Row],[QTY SOLD]]*Table3[[#This Row],[Selling Price]],0)</f>
        <v>0</v>
      </c>
      <c r="K393" s="50"/>
      <c r="L393" s="50">
        <f>Table3[[#This Row],[Total Sales]]-Table3[[#This Row],[Discount]]</f>
        <v>0</v>
      </c>
      <c r="M393" s="58">
        <f>Table3[[#This Row],[Net Sales]]-Table3[[#This Row],[Cost Price]]*Table3[[#This Row],[QTY SOLD]]</f>
        <v>0</v>
      </c>
      <c r="N393" s="25"/>
      <c r="O393" s="25"/>
      <c r="P393" s="25"/>
      <c r="Q393" s="25"/>
      <c r="R393" s="25"/>
      <c r="S393" s="25"/>
    </row>
    <row r="394" spans="1:19" x14ac:dyDescent="0.25">
      <c r="A394" s="65"/>
      <c r="B394" s="50"/>
      <c r="C394" s="50"/>
      <c r="D394" s="50"/>
      <c r="E394" s="50" t="str">
        <f>IF(D394="","",VLOOKUP(D394,'Product Master'!$B:$C,2,FALSE))</f>
        <v/>
      </c>
      <c r="F394" s="50" t="str">
        <f>IF(D394="","",IFERROR(VLOOKUP(D394,'Product Master'!$B:$G,3,FALSE),""))</f>
        <v/>
      </c>
      <c r="G394" s="51"/>
      <c r="H394" s="52" t="str">
        <f>IF(D394="","",VLOOKUP(D394,'Product Master'!$B:$F,5,FALSE))</f>
        <v/>
      </c>
      <c r="I394" s="52">
        <f>IFERROR(VLOOKUP(D394,'Product Master'!B:E,4,FALSE),0)</f>
        <v>0</v>
      </c>
      <c r="J394" s="53">
        <f>IFERROR(Table3[[#This Row],[QTY SOLD]]*Table3[[#This Row],[Selling Price]],0)</f>
        <v>0</v>
      </c>
      <c r="K394" s="50"/>
      <c r="L394" s="50">
        <f>Table3[[#This Row],[Total Sales]]-Table3[[#This Row],[Discount]]</f>
        <v>0</v>
      </c>
      <c r="M394" s="58">
        <f>Table3[[#This Row],[Net Sales]]-Table3[[#This Row],[Cost Price]]*Table3[[#This Row],[QTY SOLD]]</f>
        <v>0</v>
      </c>
      <c r="N394" s="25"/>
      <c r="O394" s="25"/>
      <c r="P394" s="25"/>
      <c r="Q394" s="25"/>
      <c r="R394" s="25"/>
      <c r="S394" s="25"/>
    </row>
    <row r="395" spans="1:19" x14ac:dyDescent="0.25">
      <c r="A395" s="65"/>
      <c r="B395" s="50"/>
      <c r="C395" s="50"/>
      <c r="D395" s="50"/>
      <c r="E395" s="50" t="str">
        <f>IF(D395="","",VLOOKUP(D395,'Product Master'!$B:$C,2,FALSE))</f>
        <v/>
      </c>
      <c r="F395" s="50" t="str">
        <f>IF(D395="","",IFERROR(VLOOKUP(D395,'Product Master'!$B:$G,3,FALSE),""))</f>
        <v/>
      </c>
      <c r="G395" s="51"/>
      <c r="H395" s="52" t="str">
        <f>IF(D395="","",VLOOKUP(D395,'Product Master'!$B:$F,5,FALSE))</f>
        <v/>
      </c>
      <c r="I395" s="52">
        <f>IFERROR(VLOOKUP(D395,'Product Master'!B:E,4,FALSE),0)</f>
        <v>0</v>
      </c>
      <c r="J395" s="53">
        <f>IFERROR(Table3[[#This Row],[QTY SOLD]]*Table3[[#This Row],[Selling Price]],0)</f>
        <v>0</v>
      </c>
      <c r="K395" s="50"/>
      <c r="L395" s="50">
        <f>Table3[[#This Row],[Total Sales]]-Table3[[#This Row],[Discount]]</f>
        <v>0</v>
      </c>
      <c r="M395" s="58">
        <f>Table3[[#This Row],[Net Sales]]-Table3[[#This Row],[Cost Price]]*Table3[[#This Row],[QTY SOLD]]</f>
        <v>0</v>
      </c>
      <c r="N395" s="25"/>
      <c r="O395" s="25"/>
      <c r="P395" s="25"/>
      <c r="Q395" s="25"/>
      <c r="R395" s="25"/>
      <c r="S395" s="25"/>
    </row>
    <row r="396" spans="1:19" x14ac:dyDescent="0.25">
      <c r="A396" s="65"/>
      <c r="B396" s="50"/>
      <c r="C396" s="50"/>
      <c r="D396" s="50"/>
      <c r="E396" s="50" t="str">
        <f>IF(D396="","",VLOOKUP(D396,'Product Master'!$B:$C,2,FALSE))</f>
        <v/>
      </c>
      <c r="F396" s="50" t="str">
        <f>IF(D396="","",IFERROR(VLOOKUP(D396,'Product Master'!$B:$G,3,FALSE),""))</f>
        <v/>
      </c>
      <c r="G396" s="51"/>
      <c r="H396" s="52" t="str">
        <f>IF(D396="","",VLOOKUP(D396,'Product Master'!$B:$F,5,FALSE))</f>
        <v/>
      </c>
      <c r="I396" s="52">
        <f>IFERROR(VLOOKUP(D396,'Product Master'!B:E,4,FALSE),0)</f>
        <v>0</v>
      </c>
      <c r="J396" s="53">
        <f>IFERROR(Table3[[#This Row],[QTY SOLD]]*Table3[[#This Row],[Selling Price]],0)</f>
        <v>0</v>
      </c>
      <c r="K396" s="50"/>
      <c r="L396" s="50">
        <f>Table3[[#This Row],[Total Sales]]-Table3[[#This Row],[Discount]]</f>
        <v>0</v>
      </c>
      <c r="M396" s="58">
        <f>Table3[[#This Row],[Net Sales]]-Table3[[#This Row],[Cost Price]]*Table3[[#This Row],[QTY SOLD]]</f>
        <v>0</v>
      </c>
      <c r="N396" s="25"/>
      <c r="O396" s="25"/>
      <c r="P396" s="25"/>
      <c r="Q396" s="25"/>
      <c r="R396" s="25"/>
      <c r="S396" s="25"/>
    </row>
    <row r="397" spans="1:19" x14ac:dyDescent="0.25">
      <c r="A397" s="65"/>
      <c r="B397" s="50"/>
      <c r="C397" s="50"/>
      <c r="D397" s="50"/>
      <c r="E397" s="50" t="str">
        <f>IF(D397="","",VLOOKUP(D397,'Product Master'!$B:$C,2,FALSE))</f>
        <v/>
      </c>
      <c r="F397" s="50" t="str">
        <f>IF(D397="","",IFERROR(VLOOKUP(D397,'Product Master'!$B:$G,3,FALSE),""))</f>
        <v/>
      </c>
      <c r="G397" s="51"/>
      <c r="H397" s="52" t="str">
        <f>IF(D397="","",VLOOKUP(D397,'Product Master'!$B:$F,5,FALSE))</f>
        <v/>
      </c>
      <c r="I397" s="52">
        <f>IFERROR(VLOOKUP(D397,'Product Master'!B:E,4,FALSE),0)</f>
        <v>0</v>
      </c>
      <c r="J397" s="53">
        <f>IFERROR(Table3[[#This Row],[QTY SOLD]]*Table3[[#This Row],[Selling Price]],0)</f>
        <v>0</v>
      </c>
      <c r="K397" s="50"/>
      <c r="L397" s="50">
        <f>Table3[[#This Row],[Total Sales]]-Table3[[#This Row],[Discount]]</f>
        <v>0</v>
      </c>
      <c r="M397" s="58">
        <f>Table3[[#This Row],[Net Sales]]-Table3[[#This Row],[Cost Price]]*Table3[[#This Row],[QTY SOLD]]</f>
        <v>0</v>
      </c>
      <c r="N397" s="25"/>
      <c r="O397" s="25"/>
      <c r="P397" s="25"/>
      <c r="Q397" s="25"/>
      <c r="R397" s="25"/>
      <c r="S397" s="25"/>
    </row>
    <row r="398" spans="1:19" x14ac:dyDescent="0.25">
      <c r="A398" s="65"/>
      <c r="B398" s="50"/>
      <c r="C398" s="50"/>
      <c r="D398" s="50"/>
      <c r="E398" s="50" t="str">
        <f>IF(D398="","",VLOOKUP(D398,'Product Master'!$B:$C,2,FALSE))</f>
        <v/>
      </c>
      <c r="F398" s="50" t="str">
        <f>IF(D398="","",IFERROR(VLOOKUP(D398,'Product Master'!$B:$G,3,FALSE),""))</f>
        <v/>
      </c>
      <c r="G398" s="51"/>
      <c r="H398" s="52" t="str">
        <f>IF(D398="","",VLOOKUP(D398,'Product Master'!$B:$F,5,FALSE))</f>
        <v/>
      </c>
      <c r="I398" s="52">
        <f>IFERROR(VLOOKUP(D398,'Product Master'!B:E,4,FALSE),0)</f>
        <v>0</v>
      </c>
      <c r="J398" s="53">
        <f>IFERROR(Table3[[#This Row],[QTY SOLD]]*Table3[[#This Row],[Selling Price]],0)</f>
        <v>0</v>
      </c>
      <c r="K398" s="50"/>
      <c r="L398" s="50">
        <f>Table3[[#This Row],[Total Sales]]-Table3[[#This Row],[Discount]]</f>
        <v>0</v>
      </c>
      <c r="M398" s="58">
        <f>Table3[[#This Row],[Net Sales]]-Table3[[#This Row],[Cost Price]]*Table3[[#This Row],[QTY SOLD]]</f>
        <v>0</v>
      </c>
      <c r="N398" s="25"/>
      <c r="O398" s="25"/>
      <c r="P398" s="25"/>
      <c r="Q398" s="25"/>
      <c r="R398" s="25"/>
      <c r="S398" s="25"/>
    </row>
    <row r="399" spans="1:19" x14ac:dyDescent="0.25">
      <c r="A399" s="65"/>
      <c r="B399" s="50"/>
      <c r="C399" s="50"/>
      <c r="D399" s="50"/>
      <c r="E399" s="50" t="str">
        <f>IF(D399="","",VLOOKUP(D399,'Product Master'!$B:$C,2,FALSE))</f>
        <v/>
      </c>
      <c r="F399" s="50" t="str">
        <f>IF(D399="","",IFERROR(VLOOKUP(D399,'Product Master'!$B:$G,3,FALSE),""))</f>
        <v/>
      </c>
      <c r="G399" s="51"/>
      <c r="H399" s="52" t="str">
        <f>IF(D399="","",VLOOKUP(D399,'Product Master'!$B:$F,5,FALSE))</f>
        <v/>
      </c>
      <c r="I399" s="52">
        <f>IFERROR(VLOOKUP(D399,'Product Master'!B:E,4,FALSE),0)</f>
        <v>0</v>
      </c>
      <c r="J399" s="53">
        <f>IFERROR(Table3[[#This Row],[QTY SOLD]]*Table3[[#This Row],[Selling Price]],0)</f>
        <v>0</v>
      </c>
      <c r="K399" s="50"/>
      <c r="L399" s="50">
        <f>Table3[[#This Row],[Total Sales]]-Table3[[#This Row],[Discount]]</f>
        <v>0</v>
      </c>
      <c r="M399" s="58">
        <f>Table3[[#This Row],[Net Sales]]-Table3[[#This Row],[Cost Price]]*Table3[[#This Row],[QTY SOLD]]</f>
        <v>0</v>
      </c>
      <c r="N399" s="25"/>
      <c r="O399" s="25"/>
      <c r="P399" s="25"/>
      <c r="Q399" s="25"/>
      <c r="R399" s="25"/>
      <c r="S399" s="25"/>
    </row>
    <row r="400" spans="1:19" x14ac:dyDescent="0.25">
      <c r="A400" s="65"/>
      <c r="B400" s="50"/>
      <c r="C400" s="50"/>
      <c r="D400" s="50"/>
      <c r="E400" s="50" t="str">
        <f>IF(D400="","",VLOOKUP(D400,'Product Master'!$B:$C,2,FALSE))</f>
        <v/>
      </c>
      <c r="F400" s="50" t="str">
        <f>IF(D400="","",IFERROR(VLOOKUP(D400,'Product Master'!$B:$G,3,FALSE),""))</f>
        <v/>
      </c>
      <c r="G400" s="51"/>
      <c r="H400" s="52" t="str">
        <f>IF(D400="","",VLOOKUP(D400,'Product Master'!$B:$F,5,FALSE))</f>
        <v/>
      </c>
      <c r="I400" s="52">
        <f>IFERROR(VLOOKUP(D400,'Product Master'!B:E,4,FALSE),0)</f>
        <v>0</v>
      </c>
      <c r="J400" s="53">
        <f>IFERROR(Table3[[#This Row],[QTY SOLD]]*Table3[[#This Row],[Selling Price]],0)</f>
        <v>0</v>
      </c>
      <c r="K400" s="50"/>
      <c r="L400" s="50">
        <f>Table3[[#This Row],[Total Sales]]-Table3[[#This Row],[Discount]]</f>
        <v>0</v>
      </c>
      <c r="M400" s="58">
        <f>Table3[[#This Row],[Net Sales]]-Table3[[#This Row],[Cost Price]]*Table3[[#This Row],[QTY SOLD]]</f>
        <v>0</v>
      </c>
      <c r="N400" s="25"/>
      <c r="O400" s="25"/>
      <c r="P400" s="25"/>
      <c r="Q400" s="25"/>
      <c r="R400" s="25"/>
      <c r="S400" s="25"/>
    </row>
    <row r="401" spans="1:19" x14ac:dyDescent="0.25">
      <c r="A401" s="65"/>
      <c r="B401" s="50"/>
      <c r="C401" s="50"/>
      <c r="D401" s="50"/>
      <c r="E401" s="50" t="str">
        <f>IF(D401="","",VLOOKUP(D401,'Product Master'!$B:$C,2,FALSE))</f>
        <v/>
      </c>
      <c r="F401" s="50" t="str">
        <f>IF(D401="","",IFERROR(VLOOKUP(D401,'Product Master'!$B:$G,3,FALSE),""))</f>
        <v/>
      </c>
      <c r="G401" s="51"/>
      <c r="H401" s="52" t="str">
        <f>IF(D401="","",VLOOKUP(D401,'Product Master'!$B:$F,5,FALSE))</f>
        <v/>
      </c>
      <c r="I401" s="52">
        <f>IFERROR(VLOOKUP(D401,'Product Master'!B:E,4,FALSE),0)</f>
        <v>0</v>
      </c>
      <c r="J401" s="53">
        <f>IFERROR(Table3[[#This Row],[QTY SOLD]]*Table3[[#This Row],[Selling Price]],0)</f>
        <v>0</v>
      </c>
      <c r="K401" s="50"/>
      <c r="L401" s="50">
        <f>Table3[[#This Row],[Total Sales]]-Table3[[#This Row],[Discount]]</f>
        <v>0</v>
      </c>
      <c r="M401" s="58">
        <f>Table3[[#This Row],[Net Sales]]-Table3[[#This Row],[Cost Price]]*Table3[[#This Row],[QTY SOLD]]</f>
        <v>0</v>
      </c>
      <c r="N401" s="25"/>
      <c r="O401" s="25"/>
      <c r="P401" s="25"/>
      <c r="Q401" s="25"/>
      <c r="R401" s="25"/>
      <c r="S401" s="25"/>
    </row>
    <row r="402" spans="1:19" x14ac:dyDescent="0.25">
      <c r="A402" s="65"/>
      <c r="B402" s="50"/>
      <c r="C402" s="50"/>
      <c r="D402" s="50"/>
      <c r="E402" s="50" t="str">
        <f>IF(D402="","",VLOOKUP(D402,'Product Master'!$B:$C,2,FALSE))</f>
        <v/>
      </c>
      <c r="F402" s="50" t="str">
        <f>IF(D402="","",IFERROR(VLOOKUP(D402,'Product Master'!$B:$G,3,FALSE),""))</f>
        <v/>
      </c>
      <c r="G402" s="51"/>
      <c r="H402" s="52" t="str">
        <f>IF(D402="","",VLOOKUP(D402,'Product Master'!$B:$F,5,FALSE))</f>
        <v/>
      </c>
      <c r="I402" s="52">
        <f>IFERROR(VLOOKUP(D402,'Product Master'!B:E,4,FALSE),0)</f>
        <v>0</v>
      </c>
      <c r="J402" s="53">
        <f>IFERROR(Table3[[#This Row],[QTY SOLD]]*Table3[[#This Row],[Selling Price]],0)</f>
        <v>0</v>
      </c>
      <c r="K402" s="50"/>
      <c r="L402" s="50">
        <f>Table3[[#This Row],[Total Sales]]-Table3[[#This Row],[Discount]]</f>
        <v>0</v>
      </c>
      <c r="M402" s="58">
        <f>Table3[[#This Row],[Net Sales]]-Table3[[#This Row],[Cost Price]]*Table3[[#This Row],[QTY SOLD]]</f>
        <v>0</v>
      </c>
      <c r="N402" s="25"/>
      <c r="O402" s="25"/>
      <c r="P402" s="25"/>
      <c r="Q402" s="25"/>
      <c r="R402" s="25"/>
      <c r="S402" s="25"/>
    </row>
    <row r="403" spans="1:19" x14ac:dyDescent="0.25">
      <c r="A403" s="65"/>
      <c r="B403" s="50"/>
      <c r="C403" s="50"/>
      <c r="D403" s="50"/>
      <c r="E403" s="50" t="str">
        <f>IF(D403="","",VLOOKUP(D403,'Product Master'!$B:$C,2,FALSE))</f>
        <v/>
      </c>
      <c r="F403" s="50" t="str">
        <f>IF(D403="","",IFERROR(VLOOKUP(D403,'Product Master'!$B:$G,3,FALSE),""))</f>
        <v/>
      </c>
      <c r="G403" s="51"/>
      <c r="H403" s="52" t="str">
        <f>IF(D403="","",VLOOKUP(D403,'Product Master'!$B:$F,5,FALSE))</f>
        <v/>
      </c>
      <c r="I403" s="52">
        <f>IFERROR(VLOOKUP(D403,'Product Master'!B:E,4,FALSE),0)</f>
        <v>0</v>
      </c>
      <c r="J403" s="53">
        <f>IFERROR(Table3[[#This Row],[QTY SOLD]]*Table3[[#This Row],[Selling Price]],0)</f>
        <v>0</v>
      </c>
      <c r="K403" s="50"/>
      <c r="L403" s="50">
        <f>Table3[[#This Row],[Total Sales]]-Table3[[#This Row],[Discount]]</f>
        <v>0</v>
      </c>
      <c r="M403" s="58">
        <f>Table3[[#This Row],[Net Sales]]-Table3[[#This Row],[Cost Price]]*Table3[[#This Row],[QTY SOLD]]</f>
        <v>0</v>
      </c>
      <c r="N403" s="25"/>
      <c r="O403" s="25"/>
      <c r="P403" s="25"/>
      <c r="Q403" s="25"/>
      <c r="R403" s="25"/>
      <c r="S403" s="25"/>
    </row>
    <row r="404" spans="1:19" x14ac:dyDescent="0.25">
      <c r="A404" s="65"/>
      <c r="B404" s="50"/>
      <c r="C404" s="50"/>
      <c r="D404" s="50"/>
      <c r="E404" s="50" t="str">
        <f>IF(D404="","",VLOOKUP(D404,'Product Master'!$B:$C,2,FALSE))</f>
        <v/>
      </c>
      <c r="F404" s="50" t="str">
        <f>IF(D404="","",IFERROR(VLOOKUP(D404,'Product Master'!$B:$G,3,FALSE),""))</f>
        <v/>
      </c>
      <c r="G404" s="51"/>
      <c r="H404" s="52" t="str">
        <f>IF(D404="","",VLOOKUP(D404,'Product Master'!$B:$F,5,FALSE))</f>
        <v/>
      </c>
      <c r="I404" s="52">
        <f>IFERROR(VLOOKUP(D404,'Product Master'!B:E,4,FALSE),0)</f>
        <v>0</v>
      </c>
      <c r="J404" s="53">
        <f>IFERROR(Table3[[#This Row],[QTY SOLD]]*Table3[[#This Row],[Selling Price]],0)</f>
        <v>0</v>
      </c>
      <c r="K404" s="50"/>
      <c r="L404" s="50">
        <f>Table3[[#This Row],[Total Sales]]-Table3[[#This Row],[Discount]]</f>
        <v>0</v>
      </c>
      <c r="M404" s="58">
        <f>Table3[[#This Row],[Net Sales]]-Table3[[#This Row],[Cost Price]]*Table3[[#This Row],[QTY SOLD]]</f>
        <v>0</v>
      </c>
      <c r="N404" s="25"/>
      <c r="O404" s="25"/>
      <c r="P404" s="25"/>
      <c r="Q404" s="25"/>
      <c r="R404" s="25"/>
      <c r="S404" s="25"/>
    </row>
    <row r="405" spans="1:19" x14ac:dyDescent="0.25">
      <c r="A405" s="65"/>
      <c r="B405" s="50"/>
      <c r="C405" s="50"/>
      <c r="D405" s="50"/>
      <c r="E405" s="50" t="str">
        <f>IF(D405="","",VLOOKUP(D405,'Product Master'!$B:$C,2,FALSE))</f>
        <v/>
      </c>
      <c r="F405" s="50" t="str">
        <f>IF(D405="","",IFERROR(VLOOKUP(D405,'Product Master'!$B:$G,3,FALSE),""))</f>
        <v/>
      </c>
      <c r="G405" s="51"/>
      <c r="H405" s="52" t="str">
        <f>IF(D405="","",VLOOKUP(D405,'Product Master'!$B:$F,5,FALSE))</f>
        <v/>
      </c>
      <c r="I405" s="52">
        <f>IFERROR(VLOOKUP(D405,'Product Master'!B:E,4,FALSE),0)</f>
        <v>0</v>
      </c>
      <c r="J405" s="53">
        <f>IFERROR(Table3[[#This Row],[QTY SOLD]]*Table3[[#This Row],[Selling Price]],0)</f>
        <v>0</v>
      </c>
      <c r="K405" s="50"/>
      <c r="L405" s="50">
        <f>Table3[[#This Row],[Total Sales]]-Table3[[#This Row],[Discount]]</f>
        <v>0</v>
      </c>
      <c r="M405" s="58">
        <f>Table3[[#This Row],[Net Sales]]-Table3[[#This Row],[Cost Price]]*Table3[[#This Row],[QTY SOLD]]</f>
        <v>0</v>
      </c>
      <c r="N405" s="25"/>
      <c r="O405" s="25"/>
      <c r="P405" s="25"/>
      <c r="Q405" s="25"/>
      <c r="R405" s="25"/>
      <c r="S405" s="25"/>
    </row>
    <row r="406" spans="1:19" x14ac:dyDescent="0.25">
      <c r="A406" s="65"/>
      <c r="B406" s="50"/>
      <c r="C406" s="50"/>
      <c r="D406" s="50"/>
      <c r="E406" s="50" t="str">
        <f>IF(D406="","",VLOOKUP(D406,'Product Master'!$B:$C,2,FALSE))</f>
        <v/>
      </c>
      <c r="F406" s="50" t="str">
        <f>IF(D406="","",IFERROR(VLOOKUP(D406,'Product Master'!$B:$G,3,FALSE),""))</f>
        <v/>
      </c>
      <c r="G406" s="51"/>
      <c r="H406" s="52" t="str">
        <f>IF(D406="","",VLOOKUP(D406,'Product Master'!$B:$F,5,FALSE))</f>
        <v/>
      </c>
      <c r="I406" s="52">
        <f>IFERROR(VLOOKUP(D406,'Product Master'!B:E,4,FALSE),0)</f>
        <v>0</v>
      </c>
      <c r="J406" s="53">
        <f>IFERROR(Table3[[#This Row],[QTY SOLD]]*Table3[[#This Row],[Selling Price]],0)</f>
        <v>0</v>
      </c>
      <c r="K406" s="50"/>
      <c r="L406" s="50">
        <f>Table3[[#This Row],[Total Sales]]-Table3[[#This Row],[Discount]]</f>
        <v>0</v>
      </c>
      <c r="M406" s="58">
        <f>Table3[[#This Row],[Net Sales]]-Table3[[#This Row],[Cost Price]]*Table3[[#This Row],[QTY SOLD]]</f>
        <v>0</v>
      </c>
      <c r="N406" s="25"/>
      <c r="O406" s="25"/>
      <c r="P406" s="25"/>
      <c r="Q406" s="25"/>
      <c r="R406" s="25"/>
      <c r="S406" s="25"/>
    </row>
    <row r="407" spans="1:19" x14ac:dyDescent="0.25">
      <c r="A407" s="65"/>
      <c r="B407" s="50"/>
      <c r="C407" s="50"/>
      <c r="D407" s="50"/>
      <c r="E407" s="50" t="str">
        <f>IF(D407="","",VLOOKUP(D407,'Product Master'!$B:$C,2,FALSE))</f>
        <v/>
      </c>
      <c r="F407" s="50" t="str">
        <f>IF(D407="","",IFERROR(VLOOKUP(D407,'Product Master'!$B:$G,3,FALSE),""))</f>
        <v/>
      </c>
      <c r="G407" s="51"/>
      <c r="H407" s="52" t="str">
        <f>IF(D407="","",VLOOKUP(D407,'Product Master'!$B:$F,5,FALSE))</f>
        <v/>
      </c>
      <c r="I407" s="52">
        <f>IFERROR(VLOOKUP(D407,'Product Master'!B:E,4,FALSE),0)</f>
        <v>0</v>
      </c>
      <c r="J407" s="53">
        <f>IFERROR(Table3[[#This Row],[QTY SOLD]]*Table3[[#This Row],[Selling Price]],0)</f>
        <v>0</v>
      </c>
      <c r="K407" s="50"/>
      <c r="L407" s="50">
        <f>Table3[[#This Row],[Total Sales]]-Table3[[#This Row],[Discount]]</f>
        <v>0</v>
      </c>
      <c r="M407" s="58">
        <f>Table3[[#This Row],[Net Sales]]-Table3[[#This Row],[Cost Price]]*Table3[[#This Row],[QTY SOLD]]</f>
        <v>0</v>
      </c>
      <c r="N407" s="25"/>
      <c r="O407" s="25"/>
      <c r="P407" s="25"/>
      <c r="Q407" s="25"/>
      <c r="R407" s="25"/>
      <c r="S407" s="25"/>
    </row>
    <row r="408" spans="1:19" x14ac:dyDescent="0.25">
      <c r="A408" s="65"/>
      <c r="B408" s="50"/>
      <c r="C408" s="50"/>
      <c r="D408" s="50"/>
      <c r="E408" s="50" t="str">
        <f>IF(D408="","",VLOOKUP(D408,'Product Master'!$B:$C,2,FALSE))</f>
        <v/>
      </c>
      <c r="F408" s="50" t="str">
        <f>IF(D408="","",IFERROR(VLOOKUP(D408,'Product Master'!$B:$G,3,FALSE),""))</f>
        <v/>
      </c>
      <c r="G408" s="51"/>
      <c r="H408" s="52" t="str">
        <f>IF(D408="","",VLOOKUP(D408,'Product Master'!$B:$F,5,FALSE))</f>
        <v/>
      </c>
      <c r="I408" s="52">
        <f>IFERROR(VLOOKUP(D408,'Product Master'!B:E,4,FALSE),0)</f>
        <v>0</v>
      </c>
      <c r="J408" s="53">
        <f>IFERROR(Table3[[#This Row],[QTY SOLD]]*Table3[[#This Row],[Selling Price]],0)</f>
        <v>0</v>
      </c>
      <c r="K408" s="50"/>
      <c r="L408" s="50">
        <f>Table3[[#This Row],[Total Sales]]-Table3[[#This Row],[Discount]]</f>
        <v>0</v>
      </c>
      <c r="M408" s="58">
        <f>Table3[[#This Row],[Net Sales]]-Table3[[#This Row],[Cost Price]]*Table3[[#This Row],[QTY SOLD]]</f>
        <v>0</v>
      </c>
      <c r="N408" s="25"/>
      <c r="O408" s="25"/>
      <c r="P408" s="25"/>
      <c r="Q408" s="25"/>
      <c r="R408" s="25"/>
      <c r="S408" s="25"/>
    </row>
    <row r="409" spans="1:19" x14ac:dyDescent="0.25">
      <c r="A409" s="65"/>
      <c r="B409" s="50"/>
      <c r="C409" s="50"/>
      <c r="D409" s="50"/>
      <c r="E409" s="50" t="str">
        <f>IF(D409="","",VLOOKUP(D409,'Product Master'!$B:$C,2,FALSE))</f>
        <v/>
      </c>
      <c r="F409" s="50" t="str">
        <f>IF(D409="","",IFERROR(VLOOKUP(D409,'Product Master'!$B:$G,3,FALSE),""))</f>
        <v/>
      </c>
      <c r="G409" s="51"/>
      <c r="H409" s="52" t="str">
        <f>IF(D409="","",VLOOKUP(D409,'Product Master'!$B:$F,5,FALSE))</f>
        <v/>
      </c>
      <c r="I409" s="52">
        <f>IFERROR(VLOOKUP(D409,'Product Master'!B:E,4,FALSE),0)</f>
        <v>0</v>
      </c>
      <c r="J409" s="53">
        <f>IFERROR(Table3[[#This Row],[QTY SOLD]]*Table3[[#This Row],[Selling Price]],0)</f>
        <v>0</v>
      </c>
      <c r="K409" s="50"/>
      <c r="L409" s="50">
        <f>Table3[[#This Row],[Total Sales]]-Table3[[#This Row],[Discount]]</f>
        <v>0</v>
      </c>
      <c r="M409" s="58">
        <f>Table3[[#This Row],[Net Sales]]-Table3[[#This Row],[Cost Price]]*Table3[[#This Row],[QTY SOLD]]</f>
        <v>0</v>
      </c>
      <c r="N409" s="25"/>
      <c r="O409" s="25"/>
      <c r="P409" s="25"/>
      <c r="Q409" s="25"/>
      <c r="R409" s="25"/>
      <c r="S409" s="25"/>
    </row>
    <row r="410" spans="1:19" x14ac:dyDescent="0.25">
      <c r="A410" s="65"/>
      <c r="B410" s="50"/>
      <c r="C410" s="50"/>
      <c r="D410" s="50"/>
      <c r="E410" s="50" t="str">
        <f>IF(D410="","",VLOOKUP(D410,'Product Master'!$B:$C,2,FALSE))</f>
        <v/>
      </c>
      <c r="F410" s="50" t="str">
        <f>IF(D410="","",IFERROR(VLOOKUP(D410,'Product Master'!$B:$G,3,FALSE),""))</f>
        <v/>
      </c>
      <c r="G410" s="51"/>
      <c r="H410" s="52" t="str">
        <f>IF(D410="","",VLOOKUP(D410,'Product Master'!$B:$F,5,FALSE))</f>
        <v/>
      </c>
      <c r="I410" s="52">
        <f>IFERROR(VLOOKUP(D410,'Product Master'!B:E,4,FALSE),0)</f>
        <v>0</v>
      </c>
      <c r="J410" s="53">
        <f>IFERROR(Table3[[#This Row],[QTY SOLD]]*Table3[[#This Row],[Selling Price]],0)</f>
        <v>0</v>
      </c>
      <c r="K410" s="50"/>
      <c r="L410" s="50">
        <f>Table3[[#This Row],[Total Sales]]-Table3[[#This Row],[Discount]]</f>
        <v>0</v>
      </c>
      <c r="M410" s="58">
        <f>Table3[[#This Row],[Net Sales]]-Table3[[#This Row],[Cost Price]]*Table3[[#This Row],[QTY SOLD]]</f>
        <v>0</v>
      </c>
      <c r="N410" s="25"/>
      <c r="O410" s="25"/>
      <c r="P410" s="25"/>
      <c r="Q410" s="25"/>
      <c r="R410" s="25"/>
      <c r="S410" s="25"/>
    </row>
    <row r="411" spans="1:19" x14ac:dyDescent="0.25">
      <c r="A411" s="65"/>
      <c r="B411" s="50"/>
      <c r="C411" s="50"/>
      <c r="D411" s="50"/>
      <c r="E411" s="50" t="str">
        <f>IF(D411="","",VLOOKUP(D411,'Product Master'!$B:$C,2,FALSE))</f>
        <v/>
      </c>
      <c r="F411" s="50" t="str">
        <f>IF(D411="","",IFERROR(VLOOKUP(D411,'Product Master'!$B:$G,3,FALSE),""))</f>
        <v/>
      </c>
      <c r="G411" s="51"/>
      <c r="H411" s="52" t="str">
        <f>IF(D411="","",VLOOKUP(D411,'Product Master'!$B:$F,5,FALSE))</f>
        <v/>
      </c>
      <c r="I411" s="52">
        <f>IFERROR(VLOOKUP(D411,'Product Master'!B:E,4,FALSE),0)</f>
        <v>0</v>
      </c>
      <c r="J411" s="53">
        <f>IFERROR(Table3[[#This Row],[QTY SOLD]]*Table3[[#This Row],[Selling Price]],0)</f>
        <v>0</v>
      </c>
      <c r="K411" s="50"/>
      <c r="L411" s="50">
        <f>Table3[[#This Row],[Total Sales]]-Table3[[#This Row],[Discount]]</f>
        <v>0</v>
      </c>
      <c r="M411" s="58">
        <f>Table3[[#This Row],[Net Sales]]-Table3[[#This Row],[Cost Price]]*Table3[[#This Row],[QTY SOLD]]</f>
        <v>0</v>
      </c>
      <c r="N411" s="25"/>
      <c r="O411" s="25"/>
      <c r="P411" s="25"/>
      <c r="Q411" s="25"/>
      <c r="R411" s="25"/>
      <c r="S411" s="25"/>
    </row>
    <row r="412" spans="1:19" x14ac:dyDescent="0.25">
      <c r="A412" s="65"/>
      <c r="B412" s="50"/>
      <c r="C412" s="50"/>
      <c r="D412" s="50"/>
      <c r="E412" s="50" t="str">
        <f>IF(D412="","",VLOOKUP(D412,'Product Master'!$B:$C,2,FALSE))</f>
        <v/>
      </c>
      <c r="F412" s="50" t="str">
        <f>IF(D412="","",IFERROR(VLOOKUP(D412,'Product Master'!$B:$G,3,FALSE),""))</f>
        <v/>
      </c>
      <c r="G412" s="51"/>
      <c r="H412" s="52" t="str">
        <f>IF(D412="","",VLOOKUP(D412,'Product Master'!$B:$F,5,FALSE))</f>
        <v/>
      </c>
      <c r="I412" s="52">
        <f>IFERROR(VLOOKUP(D412,'Product Master'!B:E,4,FALSE),0)</f>
        <v>0</v>
      </c>
      <c r="J412" s="53">
        <f>IFERROR(Table3[[#This Row],[QTY SOLD]]*Table3[[#This Row],[Selling Price]],0)</f>
        <v>0</v>
      </c>
      <c r="K412" s="50"/>
      <c r="L412" s="50">
        <f>Table3[[#This Row],[Total Sales]]-Table3[[#This Row],[Discount]]</f>
        <v>0</v>
      </c>
      <c r="M412" s="58">
        <f>Table3[[#This Row],[Net Sales]]-Table3[[#This Row],[Cost Price]]*Table3[[#This Row],[QTY SOLD]]</f>
        <v>0</v>
      </c>
      <c r="N412" s="25"/>
      <c r="O412" s="25"/>
      <c r="P412" s="25"/>
      <c r="Q412" s="25"/>
      <c r="R412" s="25"/>
      <c r="S412" s="25"/>
    </row>
    <row r="413" spans="1:19" x14ac:dyDescent="0.25">
      <c r="A413" s="65"/>
      <c r="B413" s="50"/>
      <c r="C413" s="50"/>
      <c r="D413" s="50"/>
      <c r="E413" s="50" t="str">
        <f>IF(D413="","",VLOOKUP(D413,'Product Master'!$B:$C,2,FALSE))</f>
        <v/>
      </c>
      <c r="F413" s="50" t="str">
        <f>IF(D413="","",IFERROR(VLOOKUP(D413,'Product Master'!$B:$G,3,FALSE),""))</f>
        <v/>
      </c>
      <c r="G413" s="51"/>
      <c r="H413" s="52" t="str">
        <f>IF(D413="","",VLOOKUP(D413,'Product Master'!$B:$F,5,FALSE))</f>
        <v/>
      </c>
      <c r="I413" s="52">
        <f>IFERROR(VLOOKUP(D413,'Product Master'!B:E,4,FALSE),0)</f>
        <v>0</v>
      </c>
      <c r="J413" s="53">
        <f>IFERROR(Table3[[#This Row],[QTY SOLD]]*Table3[[#This Row],[Selling Price]],0)</f>
        <v>0</v>
      </c>
      <c r="K413" s="50"/>
      <c r="L413" s="50">
        <f>Table3[[#This Row],[Total Sales]]-Table3[[#This Row],[Discount]]</f>
        <v>0</v>
      </c>
      <c r="M413" s="58">
        <f>Table3[[#This Row],[Net Sales]]-Table3[[#This Row],[Cost Price]]*Table3[[#This Row],[QTY SOLD]]</f>
        <v>0</v>
      </c>
      <c r="N413" s="25"/>
      <c r="O413" s="25"/>
      <c r="P413" s="25"/>
      <c r="Q413" s="25"/>
      <c r="R413" s="25"/>
      <c r="S413" s="25"/>
    </row>
    <row r="414" spans="1:19" x14ac:dyDescent="0.25">
      <c r="A414" s="65"/>
      <c r="B414" s="50"/>
      <c r="C414" s="50"/>
      <c r="D414" s="50"/>
      <c r="E414" s="50" t="str">
        <f>IF(D414="","",VLOOKUP(D414,'Product Master'!$B:$C,2,FALSE))</f>
        <v/>
      </c>
      <c r="F414" s="50" t="str">
        <f>IF(D414="","",IFERROR(VLOOKUP(D414,'Product Master'!$B:$G,3,FALSE),""))</f>
        <v/>
      </c>
      <c r="G414" s="51"/>
      <c r="H414" s="52" t="str">
        <f>IF(D414="","",VLOOKUP(D414,'Product Master'!$B:$F,5,FALSE))</f>
        <v/>
      </c>
      <c r="I414" s="52">
        <f>IFERROR(VLOOKUP(D414,'Product Master'!B:E,4,FALSE),0)</f>
        <v>0</v>
      </c>
      <c r="J414" s="53">
        <f>IFERROR(Table3[[#This Row],[QTY SOLD]]*Table3[[#This Row],[Selling Price]],0)</f>
        <v>0</v>
      </c>
      <c r="K414" s="50"/>
      <c r="L414" s="50">
        <f>Table3[[#This Row],[Total Sales]]-Table3[[#This Row],[Discount]]</f>
        <v>0</v>
      </c>
      <c r="M414" s="58">
        <f>Table3[[#This Row],[Net Sales]]-Table3[[#This Row],[Cost Price]]*Table3[[#This Row],[QTY SOLD]]</f>
        <v>0</v>
      </c>
      <c r="N414" s="25"/>
      <c r="O414" s="25"/>
      <c r="P414" s="25"/>
      <c r="Q414" s="25"/>
      <c r="R414" s="25"/>
      <c r="S414" s="25"/>
    </row>
    <row r="415" spans="1:19" x14ac:dyDescent="0.25">
      <c r="A415" s="65"/>
      <c r="B415" s="50"/>
      <c r="C415" s="50"/>
      <c r="D415" s="50"/>
      <c r="E415" s="50" t="str">
        <f>IF(D415="","",VLOOKUP(D415,'Product Master'!$B:$C,2,FALSE))</f>
        <v/>
      </c>
      <c r="F415" s="50" t="str">
        <f>IF(D415="","",IFERROR(VLOOKUP(D415,'Product Master'!$B:$G,3,FALSE),""))</f>
        <v/>
      </c>
      <c r="G415" s="51"/>
      <c r="H415" s="52" t="str">
        <f>IF(D415="","",VLOOKUP(D415,'Product Master'!$B:$F,5,FALSE))</f>
        <v/>
      </c>
      <c r="I415" s="52">
        <f>IFERROR(VLOOKUP(D415,'Product Master'!B:E,4,FALSE),0)</f>
        <v>0</v>
      </c>
      <c r="J415" s="53">
        <f>IFERROR(Table3[[#This Row],[QTY SOLD]]*Table3[[#This Row],[Selling Price]],0)</f>
        <v>0</v>
      </c>
      <c r="K415" s="50"/>
      <c r="L415" s="50">
        <f>Table3[[#This Row],[Total Sales]]-Table3[[#This Row],[Discount]]</f>
        <v>0</v>
      </c>
      <c r="M415" s="58">
        <f>Table3[[#This Row],[Net Sales]]-Table3[[#This Row],[Cost Price]]*Table3[[#This Row],[QTY SOLD]]</f>
        <v>0</v>
      </c>
      <c r="N415" s="25"/>
      <c r="O415" s="25"/>
      <c r="P415" s="25"/>
      <c r="Q415" s="25"/>
      <c r="R415" s="25"/>
      <c r="S415" s="25"/>
    </row>
    <row r="416" spans="1:19" x14ac:dyDescent="0.25">
      <c r="A416" s="65"/>
      <c r="B416" s="50"/>
      <c r="C416" s="50"/>
      <c r="D416" s="50"/>
      <c r="E416" s="50" t="str">
        <f>IF(D416="","",VLOOKUP(D416,'Product Master'!$B:$C,2,FALSE))</f>
        <v/>
      </c>
      <c r="F416" s="50" t="str">
        <f>IF(D416="","",IFERROR(VLOOKUP(D416,'Product Master'!$B:$G,3,FALSE),""))</f>
        <v/>
      </c>
      <c r="G416" s="51"/>
      <c r="H416" s="52" t="str">
        <f>IF(D416="","",VLOOKUP(D416,'Product Master'!$B:$F,5,FALSE))</f>
        <v/>
      </c>
      <c r="I416" s="52">
        <f>IFERROR(VLOOKUP(D416,'Product Master'!B:E,4,FALSE),0)</f>
        <v>0</v>
      </c>
      <c r="J416" s="53">
        <f>IFERROR(Table3[[#This Row],[QTY SOLD]]*Table3[[#This Row],[Selling Price]],0)</f>
        <v>0</v>
      </c>
      <c r="K416" s="50"/>
      <c r="L416" s="50">
        <f>Table3[[#This Row],[Total Sales]]-Table3[[#This Row],[Discount]]</f>
        <v>0</v>
      </c>
      <c r="M416" s="58">
        <f>Table3[[#This Row],[Net Sales]]-Table3[[#This Row],[Cost Price]]*Table3[[#This Row],[QTY SOLD]]</f>
        <v>0</v>
      </c>
      <c r="N416" s="25"/>
      <c r="O416" s="25"/>
      <c r="P416" s="25"/>
      <c r="Q416" s="25"/>
      <c r="R416" s="25"/>
      <c r="S416" s="25"/>
    </row>
    <row r="417" spans="1:19" x14ac:dyDescent="0.25">
      <c r="A417" s="65"/>
      <c r="B417" s="50"/>
      <c r="C417" s="50"/>
      <c r="D417" s="50"/>
      <c r="E417" s="50" t="str">
        <f>IF(D417="","",VLOOKUP(D417,'Product Master'!$B:$C,2,FALSE))</f>
        <v/>
      </c>
      <c r="F417" s="50" t="str">
        <f>IF(D417="","",IFERROR(VLOOKUP(D417,'Product Master'!$B:$G,3,FALSE),""))</f>
        <v/>
      </c>
      <c r="G417" s="51"/>
      <c r="H417" s="52" t="str">
        <f>IF(D417="","",VLOOKUP(D417,'Product Master'!$B:$F,5,FALSE))</f>
        <v/>
      </c>
      <c r="I417" s="52">
        <f>IFERROR(VLOOKUP(D417,'Product Master'!B:E,4,FALSE),0)</f>
        <v>0</v>
      </c>
      <c r="J417" s="53">
        <f>IFERROR(Table3[[#This Row],[QTY SOLD]]*Table3[[#This Row],[Selling Price]],0)</f>
        <v>0</v>
      </c>
      <c r="K417" s="50"/>
      <c r="L417" s="50">
        <f>Table3[[#This Row],[Total Sales]]-Table3[[#This Row],[Discount]]</f>
        <v>0</v>
      </c>
      <c r="M417" s="58">
        <f>Table3[[#This Row],[Net Sales]]-Table3[[#This Row],[Cost Price]]*Table3[[#This Row],[QTY SOLD]]</f>
        <v>0</v>
      </c>
      <c r="N417" s="25"/>
      <c r="O417" s="25"/>
      <c r="P417" s="25"/>
      <c r="Q417" s="25"/>
      <c r="R417" s="25"/>
      <c r="S417" s="25"/>
    </row>
    <row r="418" spans="1:19" x14ac:dyDescent="0.25">
      <c r="A418" s="65"/>
      <c r="B418" s="50"/>
      <c r="C418" s="50"/>
      <c r="D418" s="50"/>
      <c r="E418" s="50" t="str">
        <f>IF(D418="","",VLOOKUP(D418,'Product Master'!$B:$C,2,FALSE))</f>
        <v/>
      </c>
      <c r="F418" s="50" t="str">
        <f>IF(D418="","",IFERROR(VLOOKUP(D418,'Product Master'!$B:$G,3,FALSE),""))</f>
        <v/>
      </c>
      <c r="G418" s="51"/>
      <c r="H418" s="52" t="str">
        <f>IF(D418="","",VLOOKUP(D418,'Product Master'!$B:$F,5,FALSE))</f>
        <v/>
      </c>
      <c r="I418" s="52">
        <f>IFERROR(VLOOKUP(D418,'Product Master'!B:E,4,FALSE),0)</f>
        <v>0</v>
      </c>
      <c r="J418" s="53">
        <f>IFERROR(Table3[[#This Row],[QTY SOLD]]*Table3[[#This Row],[Selling Price]],0)</f>
        <v>0</v>
      </c>
      <c r="K418" s="50"/>
      <c r="L418" s="50">
        <f>Table3[[#This Row],[Total Sales]]-Table3[[#This Row],[Discount]]</f>
        <v>0</v>
      </c>
      <c r="M418" s="58">
        <f>Table3[[#This Row],[Net Sales]]-Table3[[#This Row],[Cost Price]]*Table3[[#This Row],[QTY SOLD]]</f>
        <v>0</v>
      </c>
      <c r="N418" s="25"/>
      <c r="O418" s="25"/>
      <c r="P418" s="25"/>
      <c r="Q418" s="25"/>
      <c r="R418" s="25"/>
      <c r="S418" s="25"/>
    </row>
    <row r="419" spans="1:19" x14ac:dyDescent="0.25">
      <c r="A419" s="65"/>
      <c r="B419" s="50"/>
      <c r="C419" s="50"/>
      <c r="D419" s="50"/>
      <c r="E419" s="50" t="str">
        <f>IF(D419="","",VLOOKUP(D419,'Product Master'!$B:$C,2,FALSE))</f>
        <v/>
      </c>
      <c r="F419" s="50" t="str">
        <f>IF(D419="","",IFERROR(VLOOKUP(D419,'Product Master'!$B:$G,3,FALSE),""))</f>
        <v/>
      </c>
      <c r="G419" s="51"/>
      <c r="H419" s="52" t="str">
        <f>IF(D419="","",VLOOKUP(D419,'Product Master'!$B:$F,5,FALSE))</f>
        <v/>
      </c>
      <c r="I419" s="52">
        <f>IFERROR(VLOOKUP(D419,'Product Master'!B:E,4,FALSE),0)</f>
        <v>0</v>
      </c>
      <c r="J419" s="53">
        <f>IFERROR(Table3[[#This Row],[QTY SOLD]]*Table3[[#This Row],[Selling Price]],0)</f>
        <v>0</v>
      </c>
      <c r="K419" s="50"/>
      <c r="L419" s="50">
        <f>Table3[[#This Row],[Total Sales]]-Table3[[#This Row],[Discount]]</f>
        <v>0</v>
      </c>
      <c r="M419" s="58">
        <f>Table3[[#This Row],[Net Sales]]-Table3[[#This Row],[Cost Price]]*Table3[[#This Row],[QTY SOLD]]</f>
        <v>0</v>
      </c>
      <c r="N419" s="25"/>
      <c r="O419" s="25"/>
      <c r="P419" s="25"/>
      <c r="Q419" s="25"/>
      <c r="R419" s="25"/>
      <c r="S419" s="25"/>
    </row>
    <row r="420" spans="1:19" x14ac:dyDescent="0.25">
      <c r="A420" s="65"/>
      <c r="B420" s="50"/>
      <c r="C420" s="50"/>
      <c r="D420" s="50"/>
      <c r="E420" s="50" t="str">
        <f>IF(D420="","",VLOOKUP(D420,'Product Master'!$B:$C,2,FALSE))</f>
        <v/>
      </c>
      <c r="F420" s="50" t="str">
        <f>IF(D420="","",IFERROR(VLOOKUP(D420,'Product Master'!$B:$G,3,FALSE),""))</f>
        <v/>
      </c>
      <c r="G420" s="51"/>
      <c r="H420" s="52" t="str">
        <f>IF(D420="","",VLOOKUP(D420,'Product Master'!$B:$F,5,FALSE))</f>
        <v/>
      </c>
      <c r="I420" s="52">
        <f>IFERROR(VLOOKUP(D420,'Product Master'!B:E,4,FALSE),0)</f>
        <v>0</v>
      </c>
      <c r="J420" s="53">
        <f>IFERROR(Table3[[#This Row],[QTY SOLD]]*Table3[[#This Row],[Selling Price]],0)</f>
        <v>0</v>
      </c>
      <c r="K420" s="50"/>
      <c r="L420" s="50">
        <f>Table3[[#This Row],[Total Sales]]-Table3[[#This Row],[Discount]]</f>
        <v>0</v>
      </c>
      <c r="M420" s="58">
        <f>Table3[[#This Row],[Net Sales]]-Table3[[#This Row],[Cost Price]]*Table3[[#This Row],[QTY SOLD]]</f>
        <v>0</v>
      </c>
      <c r="N420" s="25"/>
      <c r="O420" s="25"/>
      <c r="P420" s="25"/>
      <c r="Q420" s="25"/>
      <c r="R420" s="25"/>
      <c r="S420" s="25"/>
    </row>
    <row r="421" spans="1:19" x14ac:dyDescent="0.25">
      <c r="A421" s="65"/>
      <c r="B421" s="50"/>
      <c r="C421" s="50"/>
      <c r="D421" s="50"/>
      <c r="E421" s="50" t="str">
        <f>IF(D421="","",VLOOKUP(D421,'Product Master'!$B:$C,2,FALSE))</f>
        <v/>
      </c>
      <c r="F421" s="50" t="str">
        <f>IF(D421="","",IFERROR(VLOOKUP(D421,'Product Master'!$B:$G,3,FALSE),""))</f>
        <v/>
      </c>
      <c r="G421" s="51"/>
      <c r="H421" s="52" t="str">
        <f>IF(D421="","",VLOOKUP(D421,'Product Master'!$B:$F,5,FALSE))</f>
        <v/>
      </c>
      <c r="I421" s="52">
        <f>IFERROR(VLOOKUP(D421,'Product Master'!B:E,4,FALSE),0)</f>
        <v>0</v>
      </c>
      <c r="J421" s="53">
        <f>IFERROR(Table3[[#This Row],[QTY SOLD]]*Table3[[#This Row],[Selling Price]],0)</f>
        <v>0</v>
      </c>
      <c r="K421" s="50"/>
      <c r="L421" s="50">
        <f>Table3[[#This Row],[Total Sales]]-Table3[[#This Row],[Discount]]</f>
        <v>0</v>
      </c>
      <c r="M421" s="58">
        <f>Table3[[#This Row],[Net Sales]]-Table3[[#This Row],[Cost Price]]*Table3[[#This Row],[QTY SOLD]]</f>
        <v>0</v>
      </c>
      <c r="N421" s="25"/>
      <c r="O421" s="25"/>
      <c r="P421" s="25"/>
      <c r="Q421" s="25"/>
      <c r="R421" s="25"/>
      <c r="S421" s="25"/>
    </row>
    <row r="422" spans="1:19" x14ac:dyDescent="0.25">
      <c r="A422" s="65"/>
      <c r="B422" s="50"/>
      <c r="C422" s="50"/>
      <c r="D422" s="50"/>
      <c r="E422" s="50" t="str">
        <f>IF(D422="","",VLOOKUP(D422,'Product Master'!$B:$C,2,FALSE))</f>
        <v/>
      </c>
      <c r="F422" s="50" t="str">
        <f>IF(D422="","",IFERROR(VLOOKUP(D422,'Product Master'!$B:$G,3,FALSE),""))</f>
        <v/>
      </c>
      <c r="G422" s="51"/>
      <c r="H422" s="52" t="str">
        <f>IF(D422="","",VLOOKUP(D422,'Product Master'!$B:$F,5,FALSE))</f>
        <v/>
      </c>
      <c r="I422" s="52">
        <f>IFERROR(VLOOKUP(D422,'Product Master'!B:E,4,FALSE),0)</f>
        <v>0</v>
      </c>
      <c r="J422" s="53">
        <f>IFERROR(Table3[[#This Row],[QTY SOLD]]*Table3[[#This Row],[Selling Price]],0)</f>
        <v>0</v>
      </c>
      <c r="K422" s="50"/>
      <c r="L422" s="50">
        <f>Table3[[#This Row],[Total Sales]]-Table3[[#This Row],[Discount]]</f>
        <v>0</v>
      </c>
      <c r="M422" s="58">
        <f>Table3[[#This Row],[Net Sales]]-Table3[[#This Row],[Cost Price]]*Table3[[#This Row],[QTY SOLD]]</f>
        <v>0</v>
      </c>
      <c r="N422" s="25"/>
      <c r="O422" s="25"/>
      <c r="P422" s="25"/>
      <c r="Q422" s="25"/>
      <c r="R422" s="25"/>
      <c r="S422" s="25"/>
    </row>
    <row r="423" spans="1:19" x14ac:dyDescent="0.25">
      <c r="A423" s="65"/>
      <c r="B423" s="50"/>
      <c r="C423" s="50"/>
      <c r="D423" s="50"/>
      <c r="E423" s="50" t="str">
        <f>IF(D423="","",VLOOKUP(D423,'Product Master'!$B:$C,2,FALSE))</f>
        <v/>
      </c>
      <c r="F423" s="50" t="str">
        <f>IF(D423="","",IFERROR(VLOOKUP(D423,'Product Master'!$B:$G,3,FALSE),""))</f>
        <v/>
      </c>
      <c r="G423" s="51"/>
      <c r="H423" s="52" t="str">
        <f>IF(D423="","",VLOOKUP(D423,'Product Master'!$B:$F,5,FALSE))</f>
        <v/>
      </c>
      <c r="I423" s="52">
        <f>IFERROR(VLOOKUP(D423,'Product Master'!B:E,4,FALSE),0)</f>
        <v>0</v>
      </c>
      <c r="J423" s="53">
        <f>IFERROR(Table3[[#This Row],[QTY SOLD]]*Table3[[#This Row],[Selling Price]],0)</f>
        <v>0</v>
      </c>
      <c r="K423" s="50"/>
      <c r="L423" s="50">
        <f>Table3[[#This Row],[Total Sales]]-Table3[[#This Row],[Discount]]</f>
        <v>0</v>
      </c>
      <c r="M423" s="58">
        <f>Table3[[#This Row],[Net Sales]]-Table3[[#This Row],[Cost Price]]*Table3[[#This Row],[QTY SOLD]]</f>
        <v>0</v>
      </c>
      <c r="N423" s="25"/>
      <c r="O423" s="25"/>
      <c r="P423" s="25"/>
      <c r="Q423" s="25"/>
      <c r="R423" s="25"/>
      <c r="S423" s="25"/>
    </row>
    <row r="424" spans="1:19" x14ac:dyDescent="0.25">
      <c r="A424" s="65"/>
      <c r="B424" s="50"/>
      <c r="C424" s="50"/>
      <c r="D424" s="50"/>
      <c r="E424" s="50" t="str">
        <f>IF(D424="","",VLOOKUP(D424,'Product Master'!$B:$C,2,FALSE))</f>
        <v/>
      </c>
      <c r="F424" s="50" t="str">
        <f>IF(D424="","",IFERROR(VLOOKUP(D424,'Product Master'!$B:$G,3,FALSE),""))</f>
        <v/>
      </c>
      <c r="G424" s="51"/>
      <c r="H424" s="52" t="str">
        <f>IF(D424="","",VLOOKUP(D424,'Product Master'!$B:$F,5,FALSE))</f>
        <v/>
      </c>
      <c r="I424" s="52">
        <f>IFERROR(VLOOKUP(D424,'Product Master'!B:E,4,FALSE),0)</f>
        <v>0</v>
      </c>
      <c r="J424" s="53">
        <f>IFERROR(Table3[[#This Row],[QTY SOLD]]*Table3[[#This Row],[Selling Price]],0)</f>
        <v>0</v>
      </c>
      <c r="K424" s="50"/>
      <c r="L424" s="50">
        <f>Table3[[#This Row],[Total Sales]]-Table3[[#This Row],[Discount]]</f>
        <v>0</v>
      </c>
      <c r="M424" s="58">
        <f>Table3[[#This Row],[Net Sales]]-Table3[[#This Row],[Cost Price]]*Table3[[#This Row],[QTY SOLD]]</f>
        <v>0</v>
      </c>
      <c r="N424" s="25"/>
      <c r="O424" s="25"/>
      <c r="P424" s="25"/>
      <c r="Q424" s="25"/>
      <c r="R424" s="25"/>
      <c r="S424" s="25"/>
    </row>
    <row r="425" spans="1:19" x14ac:dyDescent="0.25">
      <c r="A425" s="65"/>
      <c r="B425" s="50"/>
      <c r="C425" s="50"/>
      <c r="D425" s="50"/>
      <c r="E425" s="50" t="str">
        <f>IF(D425="","",VLOOKUP(D425,'Product Master'!$B:$C,2,FALSE))</f>
        <v/>
      </c>
      <c r="F425" s="50" t="str">
        <f>IF(D425="","",IFERROR(VLOOKUP(D425,'Product Master'!$B:$G,3,FALSE),""))</f>
        <v/>
      </c>
      <c r="G425" s="51"/>
      <c r="H425" s="52" t="str">
        <f>IF(D425="","",VLOOKUP(D425,'Product Master'!$B:$F,5,FALSE))</f>
        <v/>
      </c>
      <c r="I425" s="52">
        <f>IFERROR(VLOOKUP(D425,'Product Master'!B:E,4,FALSE),0)</f>
        <v>0</v>
      </c>
      <c r="J425" s="53">
        <f>IFERROR(Table3[[#This Row],[QTY SOLD]]*Table3[[#This Row],[Selling Price]],0)</f>
        <v>0</v>
      </c>
      <c r="K425" s="50"/>
      <c r="L425" s="50">
        <f>Table3[[#This Row],[Total Sales]]-Table3[[#This Row],[Discount]]</f>
        <v>0</v>
      </c>
      <c r="M425" s="58">
        <f>Table3[[#This Row],[Net Sales]]-Table3[[#This Row],[Cost Price]]*Table3[[#This Row],[QTY SOLD]]</f>
        <v>0</v>
      </c>
      <c r="N425" s="25"/>
      <c r="O425" s="25"/>
      <c r="P425" s="25"/>
      <c r="Q425" s="25"/>
      <c r="R425" s="25"/>
      <c r="S425" s="25"/>
    </row>
    <row r="426" spans="1:19" x14ac:dyDescent="0.25">
      <c r="A426" s="65"/>
      <c r="B426" s="50"/>
      <c r="C426" s="50"/>
      <c r="D426" s="50"/>
      <c r="E426" s="50" t="str">
        <f>IF(D426="","",VLOOKUP(D426,'Product Master'!$B:$C,2,FALSE))</f>
        <v/>
      </c>
      <c r="F426" s="50" t="str">
        <f>IF(D426="","",IFERROR(VLOOKUP(D426,'Product Master'!$B:$G,3,FALSE),""))</f>
        <v/>
      </c>
      <c r="G426" s="51"/>
      <c r="H426" s="52" t="str">
        <f>IF(D426="","",VLOOKUP(D426,'Product Master'!$B:$F,5,FALSE))</f>
        <v/>
      </c>
      <c r="I426" s="52">
        <f>IFERROR(VLOOKUP(D426,'Product Master'!B:E,4,FALSE),0)</f>
        <v>0</v>
      </c>
      <c r="J426" s="53">
        <f>IFERROR(Table3[[#This Row],[QTY SOLD]]*Table3[[#This Row],[Selling Price]],0)</f>
        <v>0</v>
      </c>
      <c r="K426" s="50"/>
      <c r="L426" s="50">
        <f>Table3[[#This Row],[Total Sales]]-Table3[[#This Row],[Discount]]</f>
        <v>0</v>
      </c>
      <c r="M426" s="58">
        <f>Table3[[#This Row],[Net Sales]]-Table3[[#This Row],[Cost Price]]*Table3[[#This Row],[QTY SOLD]]</f>
        <v>0</v>
      </c>
      <c r="N426" s="25"/>
      <c r="O426" s="25"/>
      <c r="P426" s="25"/>
      <c r="Q426" s="25"/>
      <c r="R426" s="25"/>
      <c r="S426" s="25"/>
    </row>
    <row r="427" spans="1:19" x14ac:dyDescent="0.25">
      <c r="A427" s="65"/>
      <c r="B427" s="50"/>
      <c r="C427" s="50"/>
      <c r="D427" s="50"/>
      <c r="E427" s="50" t="str">
        <f>IF(D427="","",VLOOKUP(D427,'Product Master'!$B:$C,2,FALSE))</f>
        <v/>
      </c>
      <c r="F427" s="50" t="str">
        <f>IF(D427="","",IFERROR(VLOOKUP(D427,'Product Master'!$B:$G,3,FALSE),""))</f>
        <v/>
      </c>
      <c r="G427" s="51"/>
      <c r="H427" s="52" t="str">
        <f>IF(D427="","",VLOOKUP(D427,'Product Master'!$B:$F,5,FALSE))</f>
        <v/>
      </c>
      <c r="I427" s="52">
        <f>IFERROR(VLOOKUP(D427,'Product Master'!B:E,4,FALSE),0)</f>
        <v>0</v>
      </c>
      <c r="J427" s="53">
        <f>IFERROR(Table3[[#This Row],[QTY SOLD]]*Table3[[#This Row],[Selling Price]],0)</f>
        <v>0</v>
      </c>
      <c r="K427" s="50"/>
      <c r="L427" s="50">
        <f>Table3[[#This Row],[Total Sales]]-Table3[[#This Row],[Discount]]</f>
        <v>0</v>
      </c>
      <c r="M427" s="58">
        <f>Table3[[#This Row],[Net Sales]]-Table3[[#This Row],[Cost Price]]*Table3[[#This Row],[QTY SOLD]]</f>
        <v>0</v>
      </c>
      <c r="N427" s="25"/>
      <c r="O427" s="25"/>
      <c r="P427" s="25"/>
      <c r="Q427" s="25"/>
      <c r="R427" s="25"/>
      <c r="S427" s="25"/>
    </row>
    <row r="428" spans="1:19" x14ac:dyDescent="0.25">
      <c r="A428" s="65"/>
      <c r="B428" s="50"/>
      <c r="C428" s="50"/>
      <c r="D428" s="50"/>
      <c r="E428" s="50" t="str">
        <f>IF(D428="","",VLOOKUP(D428,'Product Master'!$B:$C,2,FALSE))</f>
        <v/>
      </c>
      <c r="F428" s="50" t="str">
        <f>IF(D428="","",IFERROR(VLOOKUP(D428,'Product Master'!$B:$G,3,FALSE),""))</f>
        <v/>
      </c>
      <c r="G428" s="51"/>
      <c r="H428" s="52" t="str">
        <f>IF(D428="","",VLOOKUP(D428,'Product Master'!$B:$F,5,FALSE))</f>
        <v/>
      </c>
      <c r="I428" s="52">
        <f>IFERROR(VLOOKUP(D428,'Product Master'!B:E,4,FALSE),0)</f>
        <v>0</v>
      </c>
      <c r="J428" s="53">
        <f>IFERROR(Table3[[#This Row],[QTY SOLD]]*Table3[[#This Row],[Selling Price]],0)</f>
        <v>0</v>
      </c>
      <c r="K428" s="50"/>
      <c r="L428" s="50">
        <f>Table3[[#This Row],[Total Sales]]-Table3[[#This Row],[Discount]]</f>
        <v>0</v>
      </c>
      <c r="M428" s="58">
        <f>Table3[[#This Row],[Net Sales]]-Table3[[#This Row],[Cost Price]]*Table3[[#This Row],[QTY SOLD]]</f>
        <v>0</v>
      </c>
      <c r="N428" s="25"/>
      <c r="O428" s="25"/>
      <c r="P428" s="25"/>
      <c r="Q428" s="25"/>
      <c r="R428" s="25"/>
      <c r="S428" s="25"/>
    </row>
    <row r="429" spans="1:19" x14ac:dyDescent="0.25">
      <c r="A429" s="65"/>
      <c r="B429" s="50"/>
      <c r="C429" s="50"/>
      <c r="D429" s="50"/>
      <c r="E429" s="50" t="str">
        <f>IF(D429="","",VLOOKUP(D429,'Product Master'!$B:$C,2,FALSE))</f>
        <v/>
      </c>
      <c r="F429" s="50" t="str">
        <f>IF(D429="","",IFERROR(VLOOKUP(D429,'Product Master'!$B:$G,3,FALSE),""))</f>
        <v/>
      </c>
      <c r="G429" s="51"/>
      <c r="H429" s="52" t="str">
        <f>IF(D429="","",VLOOKUP(D429,'Product Master'!$B:$F,5,FALSE))</f>
        <v/>
      </c>
      <c r="I429" s="52">
        <f>IFERROR(VLOOKUP(D429,'Product Master'!B:E,4,FALSE),0)</f>
        <v>0</v>
      </c>
      <c r="J429" s="53">
        <f>IFERROR(Table3[[#This Row],[QTY SOLD]]*Table3[[#This Row],[Selling Price]],0)</f>
        <v>0</v>
      </c>
      <c r="K429" s="50"/>
      <c r="L429" s="50">
        <f>Table3[[#This Row],[Total Sales]]-Table3[[#This Row],[Discount]]</f>
        <v>0</v>
      </c>
      <c r="M429" s="58">
        <f>Table3[[#This Row],[Net Sales]]-Table3[[#This Row],[Cost Price]]*Table3[[#This Row],[QTY SOLD]]</f>
        <v>0</v>
      </c>
      <c r="N429" s="25"/>
      <c r="O429" s="25"/>
      <c r="P429" s="25"/>
      <c r="Q429" s="25"/>
      <c r="R429" s="25"/>
      <c r="S429" s="25"/>
    </row>
    <row r="430" spans="1:19" x14ac:dyDescent="0.25">
      <c r="A430" s="65"/>
      <c r="B430" s="50"/>
      <c r="C430" s="50"/>
      <c r="D430" s="50"/>
      <c r="E430" s="50" t="str">
        <f>IF(D430="","",VLOOKUP(D430,'Product Master'!$B:$C,2,FALSE))</f>
        <v/>
      </c>
      <c r="F430" s="50" t="str">
        <f>IF(D430="","",IFERROR(VLOOKUP(D430,'Product Master'!$B:$G,3,FALSE),""))</f>
        <v/>
      </c>
      <c r="G430" s="51"/>
      <c r="H430" s="52" t="str">
        <f>IF(D430="","",VLOOKUP(D430,'Product Master'!$B:$F,5,FALSE))</f>
        <v/>
      </c>
      <c r="I430" s="52">
        <f>IFERROR(VLOOKUP(D430,'Product Master'!B:E,4,FALSE),0)</f>
        <v>0</v>
      </c>
      <c r="J430" s="53">
        <f>IFERROR(Table3[[#This Row],[QTY SOLD]]*Table3[[#This Row],[Selling Price]],0)</f>
        <v>0</v>
      </c>
      <c r="K430" s="50"/>
      <c r="L430" s="50">
        <f>Table3[[#This Row],[Total Sales]]-Table3[[#This Row],[Discount]]</f>
        <v>0</v>
      </c>
      <c r="M430" s="58">
        <f>Table3[[#This Row],[Net Sales]]-Table3[[#This Row],[Cost Price]]*Table3[[#This Row],[QTY SOLD]]</f>
        <v>0</v>
      </c>
      <c r="N430" s="25"/>
      <c r="O430" s="25"/>
      <c r="P430" s="25"/>
      <c r="Q430" s="25"/>
      <c r="R430" s="25"/>
      <c r="S430" s="25"/>
    </row>
    <row r="431" spans="1:19" x14ac:dyDescent="0.25">
      <c r="A431" s="65"/>
      <c r="B431" s="50"/>
      <c r="C431" s="50"/>
      <c r="D431" s="50"/>
      <c r="E431" s="50" t="str">
        <f>IF(D431="","",VLOOKUP(D431,'Product Master'!$B:$C,2,FALSE))</f>
        <v/>
      </c>
      <c r="F431" s="50" t="str">
        <f>IF(D431="","",IFERROR(VLOOKUP(D431,'Product Master'!$B:$G,3,FALSE),""))</f>
        <v/>
      </c>
      <c r="G431" s="51"/>
      <c r="H431" s="52" t="str">
        <f>IF(D431="","",VLOOKUP(D431,'Product Master'!$B:$F,5,FALSE))</f>
        <v/>
      </c>
      <c r="I431" s="52">
        <f>IFERROR(VLOOKUP(D431,'Product Master'!B:E,4,FALSE),0)</f>
        <v>0</v>
      </c>
      <c r="J431" s="53">
        <f>IFERROR(Table3[[#This Row],[QTY SOLD]]*Table3[[#This Row],[Selling Price]],0)</f>
        <v>0</v>
      </c>
      <c r="K431" s="50"/>
      <c r="L431" s="50">
        <f>Table3[[#This Row],[Total Sales]]-Table3[[#This Row],[Discount]]</f>
        <v>0</v>
      </c>
      <c r="M431" s="58">
        <f>Table3[[#This Row],[Net Sales]]-Table3[[#This Row],[Cost Price]]*Table3[[#This Row],[QTY SOLD]]</f>
        <v>0</v>
      </c>
      <c r="N431" s="25"/>
      <c r="O431" s="25"/>
      <c r="P431" s="25"/>
      <c r="Q431" s="25"/>
      <c r="R431" s="25"/>
      <c r="S431" s="25"/>
    </row>
    <row r="432" spans="1:19" x14ac:dyDescent="0.25">
      <c r="A432" s="65"/>
      <c r="B432" s="50"/>
      <c r="C432" s="50"/>
      <c r="D432" s="50"/>
      <c r="E432" s="50" t="str">
        <f>IF(D432="","",VLOOKUP(D432,'Product Master'!$B:$C,2,FALSE))</f>
        <v/>
      </c>
      <c r="F432" s="50" t="str">
        <f>IF(D432="","",IFERROR(VLOOKUP(D432,'Product Master'!$B:$G,3,FALSE),""))</f>
        <v/>
      </c>
      <c r="G432" s="51"/>
      <c r="H432" s="52" t="str">
        <f>IF(D432="","",VLOOKUP(D432,'Product Master'!$B:$F,5,FALSE))</f>
        <v/>
      </c>
      <c r="I432" s="52">
        <f>IFERROR(VLOOKUP(D432,'Product Master'!B:E,4,FALSE),0)</f>
        <v>0</v>
      </c>
      <c r="J432" s="53">
        <f>IFERROR(Table3[[#This Row],[QTY SOLD]]*Table3[[#This Row],[Selling Price]],0)</f>
        <v>0</v>
      </c>
      <c r="K432" s="50"/>
      <c r="L432" s="50">
        <f>Table3[[#This Row],[Total Sales]]-Table3[[#This Row],[Discount]]</f>
        <v>0</v>
      </c>
      <c r="M432" s="58">
        <f>Table3[[#This Row],[Net Sales]]-Table3[[#This Row],[Cost Price]]*Table3[[#This Row],[QTY SOLD]]</f>
        <v>0</v>
      </c>
      <c r="N432" s="25"/>
      <c r="O432" s="25"/>
      <c r="P432" s="25"/>
      <c r="Q432" s="25"/>
      <c r="R432" s="25"/>
      <c r="S432" s="25"/>
    </row>
    <row r="433" spans="1:19" x14ac:dyDescent="0.25">
      <c r="A433" s="65"/>
      <c r="B433" s="50"/>
      <c r="C433" s="50"/>
      <c r="D433" s="50"/>
      <c r="E433" s="50" t="str">
        <f>IF(D433="","",VLOOKUP(D433,'Product Master'!$B:$C,2,FALSE))</f>
        <v/>
      </c>
      <c r="F433" s="50" t="str">
        <f>IF(D433="","",IFERROR(VLOOKUP(D433,'Product Master'!$B:$G,3,FALSE),""))</f>
        <v/>
      </c>
      <c r="G433" s="51"/>
      <c r="H433" s="52" t="str">
        <f>IF(D433="","",VLOOKUP(D433,'Product Master'!$B:$F,5,FALSE))</f>
        <v/>
      </c>
      <c r="I433" s="52">
        <f>IFERROR(VLOOKUP(D433,'Product Master'!B:E,4,FALSE),0)</f>
        <v>0</v>
      </c>
      <c r="J433" s="53">
        <f>IFERROR(Table3[[#This Row],[QTY SOLD]]*Table3[[#This Row],[Selling Price]],0)</f>
        <v>0</v>
      </c>
      <c r="K433" s="50"/>
      <c r="L433" s="50">
        <f>Table3[[#This Row],[Total Sales]]-Table3[[#This Row],[Discount]]</f>
        <v>0</v>
      </c>
      <c r="M433" s="58">
        <f>Table3[[#This Row],[Net Sales]]-Table3[[#This Row],[Cost Price]]*Table3[[#This Row],[QTY SOLD]]</f>
        <v>0</v>
      </c>
      <c r="N433" s="25"/>
      <c r="O433" s="25"/>
      <c r="P433" s="25"/>
      <c r="Q433" s="25"/>
      <c r="R433" s="25"/>
      <c r="S433" s="25"/>
    </row>
    <row r="434" spans="1:19" x14ac:dyDescent="0.25">
      <c r="A434" s="65"/>
      <c r="B434" s="50"/>
      <c r="C434" s="50"/>
      <c r="D434" s="50"/>
      <c r="E434" s="50" t="str">
        <f>IF(D434="","",VLOOKUP(D434,'Product Master'!$B:$C,2,FALSE))</f>
        <v/>
      </c>
      <c r="F434" s="50" t="str">
        <f>IF(D434="","",IFERROR(VLOOKUP(D434,'Product Master'!$B:$G,3,FALSE),""))</f>
        <v/>
      </c>
      <c r="G434" s="51"/>
      <c r="H434" s="52" t="str">
        <f>IF(D434="","",VLOOKUP(D434,'Product Master'!$B:$F,5,FALSE))</f>
        <v/>
      </c>
      <c r="I434" s="52">
        <f>IFERROR(VLOOKUP(D434,'Product Master'!B:E,4,FALSE),0)</f>
        <v>0</v>
      </c>
      <c r="J434" s="53">
        <f>IFERROR(Table3[[#This Row],[QTY SOLD]]*Table3[[#This Row],[Selling Price]],0)</f>
        <v>0</v>
      </c>
      <c r="K434" s="50"/>
      <c r="L434" s="50">
        <f>Table3[[#This Row],[Total Sales]]-Table3[[#This Row],[Discount]]</f>
        <v>0</v>
      </c>
      <c r="M434" s="58">
        <f>Table3[[#This Row],[Net Sales]]-Table3[[#This Row],[Cost Price]]*Table3[[#This Row],[QTY SOLD]]</f>
        <v>0</v>
      </c>
      <c r="N434" s="25"/>
      <c r="O434" s="25"/>
      <c r="P434" s="25"/>
      <c r="Q434" s="25"/>
      <c r="R434" s="25"/>
      <c r="S434" s="25"/>
    </row>
    <row r="435" spans="1:19" x14ac:dyDescent="0.25">
      <c r="A435" s="65"/>
      <c r="B435" s="50"/>
      <c r="C435" s="50"/>
      <c r="D435" s="50"/>
      <c r="E435" s="50" t="str">
        <f>IF(D435="","",VLOOKUP(D435,'Product Master'!$B:$C,2,FALSE))</f>
        <v/>
      </c>
      <c r="F435" s="50" t="str">
        <f>IF(D435="","",IFERROR(VLOOKUP(D435,'Product Master'!$B:$G,3,FALSE),""))</f>
        <v/>
      </c>
      <c r="G435" s="51"/>
      <c r="H435" s="52" t="str">
        <f>IF(D435="","",VLOOKUP(D435,'Product Master'!$B:$F,5,FALSE))</f>
        <v/>
      </c>
      <c r="I435" s="52">
        <f>IFERROR(VLOOKUP(D435,'Product Master'!B:E,4,FALSE),0)</f>
        <v>0</v>
      </c>
      <c r="J435" s="53">
        <f>IFERROR(Table3[[#This Row],[QTY SOLD]]*Table3[[#This Row],[Selling Price]],0)</f>
        <v>0</v>
      </c>
      <c r="K435" s="50"/>
      <c r="L435" s="50">
        <f>Table3[[#This Row],[Total Sales]]-Table3[[#This Row],[Discount]]</f>
        <v>0</v>
      </c>
      <c r="M435" s="58">
        <f>Table3[[#This Row],[Net Sales]]-Table3[[#This Row],[Cost Price]]*Table3[[#This Row],[QTY SOLD]]</f>
        <v>0</v>
      </c>
      <c r="N435" s="25"/>
      <c r="O435" s="25"/>
      <c r="P435" s="25"/>
      <c r="Q435" s="25"/>
      <c r="R435" s="25"/>
      <c r="S435" s="25"/>
    </row>
    <row r="436" spans="1:19" x14ac:dyDescent="0.25">
      <c r="A436" s="65"/>
      <c r="B436" s="50"/>
      <c r="C436" s="50"/>
      <c r="D436" s="50"/>
      <c r="E436" s="50" t="str">
        <f>IF(D436="","",VLOOKUP(D436,'Product Master'!$B:$C,2,FALSE))</f>
        <v/>
      </c>
      <c r="F436" s="50" t="str">
        <f>IF(D436="","",IFERROR(VLOOKUP(D436,'Product Master'!$B:$G,3,FALSE),""))</f>
        <v/>
      </c>
      <c r="G436" s="51"/>
      <c r="H436" s="52" t="str">
        <f>IF(D436="","",VLOOKUP(D436,'Product Master'!$B:$F,5,FALSE))</f>
        <v/>
      </c>
      <c r="I436" s="52">
        <f>IFERROR(VLOOKUP(D436,'Product Master'!B:E,4,FALSE),0)</f>
        <v>0</v>
      </c>
      <c r="J436" s="53">
        <f>IFERROR(Table3[[#This Row],[QTY SOLD]]*Table3[[#This Row],[Selling Price]],0)</f>
        <v>0</v>
      </c>
      <c r="K436" s="50"/>
      <c r="L436" s="50">
        <f>Table3[[#This Row],[Total Sales]]-Table3[[#This Row],[Discount]]</f>
        <v>0</v>
      </c>
      <c r="M436" s="58">
        <f>Table3[[#This Row],[Net Sales]]-Table3[[#This Row],[Cost Price]]*Table3[[#This Row],[QTY SOLD]]</f>
        <v>0</v>
      </c>
      <c r="N436" s="25"/>
      <c r="O436" s="25"/>
      <c r="P436" s="25"/>
      <c r="Q436" s="25"/>
      <c r="R436" s="25"/>
      <c r="S436" s="25"/>
    </row>
    <row r="437" spans="1:19" x14ac:dyDescent="0.25">
      <c r="A437" s="65"/>
      <c r="B437" s="50"/>
      <c r="C437" s="50"/>
      <c r="D437" s="50"/>
      <c r="E437" s="50" t="str">
        <f>IF(D437="","",VLOOKUP(D437,'Product Master'!$B:$C,2,FALSE))</f>
        <v/>
      </c>
      <c r="F437" s="50" t="str">
        <f>IF(D437="","",IFERROR(VLOOKUP(D437,'Product Master'!$B:$G,3,FALSE),""))</f>
        <v/>
      </c>
      <c r="G437" s="51"/>
      <c r="H437" s="52" t="str">
        <f>IF(D437="","",VLOOKUP(D437,'Product Master'!$B:$F,5,FALSE))</f>
        <v/>
      </c>
      <c r="I437" s="52">
        <f>IFERROR(VLOOKUP(D437,'Product Master'!B:E,4,FALSE),0)</f>
        <v>0</v>
      </c>
      <c r="J437" s="53">
        <f>IFERROR(Table3[[#This Row],[QTY SOLD]]*Table3[[#This Row],[Selling Price]],0)</f>
        <v>0</v>
      </c>
      <c r="K437" s="50"/>
      <c r="L437" s="50">
        <f>Table3[[#This Row],[Total Sales]]-Table3[[#This Row],[Discount]]</f>
        <v>0</v>
      </c>
      <c r="M437" s="58">
        <f>Table3[[#This Row],[Net Sales]]-Table3[[#This Row],[Cost Price]]*Table3[[#This Row],[QTY SOLD]]</f>
        <v>0</v>
      </c>
      <c r="N437" s="25"/>
      <c r="O437" s="25"/>
      <c r="P437" s="25"/>
      <c r="Q437" s="25"/>
      <c r="R437" s="25"/>
      <c r="S437" s="25"/>
    </row>
    <row r="438" spans="1:19" x14ac:dyDescent="0.25">
      <c r="A438" s="65"/>
      <c r="B438" s="50"/>
      <c r="C438" s="50"/>
      <c r="D438" s="50"/>
      <c r="E438" s="50" t="str">
        <f>IF(D438="","",VLOOKUP(D438,'Product Master'!$B:$C,2,FALSE))</f>
        <v/>
      </c>
      <c r="F438" s="50" t="str">
        <f>IF(D438="","",IFERROR(VLOOKUP(D438,'Product Master'!$B:$G,3,FALSE),""))</f>
        <v/>
      </c>
      <c r="G438" s="51"/>
      <c r="H438" s="52" t="str">
        <f>IF(D438="","",VLOOKUP(D438,'Product Master'!$B:$F,5,FALSE))</f>
        <v/>
      </c>
      <c r="I438" s="52">
        <f>IFERROR(VLOOKUP(D438,'Product Master'!B:E,4,FALSE),0)</f>
        <v>0</v>
      </c>
      <c r="J438" s="53">
        <f>IFERROR(Table3[[#This Row],[QTY SOLD]]*Table3[[#This Row],[Selling Price]],0)</f>
        <v>0</v>
      </c>
      <c r="K438" s="50"/>
      <c r="L438" s="50">
        <f>Table3[[#This Row],[Total Sales]]-Table3[[#This Row],[Discount]]</f>
        <v>0</v>
      </c>
      <c r="M438" s="58">
        <f>Table3[[#This Row],[Net Sales]]-Table3[[#This Row],[Cost Price]]*Table3[[#This Row],[QTY SOLD]]</f>
        <v>0</v>
      </c>
      <c r="N438" s="25"/>
      <c r="O438" s="25"/>
      <c r="P438" s="25"/>
      <c r="Q438" s="25"/>
      <c r="R438" s="25"/>
      <c r="S438" s="25"/>
    </row>
    <row r="439" spans="1:19" x14ac:dyDescent="0.25">
      <c r="A439" s="65"/>
      <c r="B439" s="50"/>
      <c r="C439" s="50"/>
      <c r="D439" s="50"/>
      <c r="E439" s="50" t="str">
        <f>IF(D439="","",VLOOKUP(D439,'Product Master'!$B:$C,2,FALSE))</f>
        <v/>
      </c>
      <c r="F439" s="50" t="str">
        <f>IF(D439="","",IFERROR(VLOOKUP(D439,'Product Master'!$B:$G,3,FALSE),""))</f>
        <v/>
      </c>
      <c r="G439" s="51"/>
      <c r="H439" s="52" t="str">
        <f>IF(D439="","",VLOOKUP(D439,'Product Master'!$B:$F,5,FALSE))</f>
        <v/>
      </c>
      <c r="I439" s="52">
        <f>IFERROR(VLOOKUP(D439,'Product Master'!B:E,4,FALSE),0)</f>
        <v>0</v>
      </c>
      <c r="J439" s="53">
        <f>IFERROR(Table3[[#This Row],[QTY SOLD]]*Table3[[#This Row],[Selling Price]],0)</f>
        <v>0</v>
      </c>
      <c r="K439" s="50"/>
      <c r="L439" s="50">
        <f>Table3[[#This Row],[Total Sales]]-Table3[[#This Row],[Discount]]</f>
        <v>0</v>
      </c>
      <c r="M439" s="58">
        <f>Table3[[#This Row],[Net Sales]]-Table3[[#This Row],[Cost Price]]*Table3[[#This Row],[QTY SOLD]]</f>
        <v>0</v>
      </c>
      <c r="N439" s="25"/>
      <c r="O439" s="25"/>
      <c r="P439" s="25"/>
      <c r="Q439" s="25"/>
      <c r="R439" s="25"/>
      <c r="S439" s="25"/>
    </row>
    <row r="440" spans="1:19" x14ac:dyDescent="0.25">
      <c r="A440" s="65"/>
      <c r="B440" s="50"/>
      <c r="C440" s="50"/>
      <c r="D440" s="50"/>
      <c r="E440" s="50" t="str">
        <f>IF(D440="","",VLOOKUP(D440,'Product Master'!$B:$C,2,FALSE))</f>
        <v/>
      </c>
      <c r="F440" s="50" t="str">
        <f>IF(D440="","",IFERROR(VLOOKUP(D440,'Product Master'!$B:$G,3,FALSE),""))</f>
        <v/>
      </c>
      <c r="G440" s="51"/>
      <c r="H440" s="52" t="str">
        <f>IF(D440="","",VLOOKUP(D440,'Product Master'!$B:$F,5,FALSE))</f>
        <v/>
      </c>
      <c r="I440" s="52">
        <f>IFERROR(VLOOKUP(D440,'Product Master'!B:E,4,FALSE),0)</f>
        <v>0</v>
      </c>
      <c r="J440" s="53">
        <f>IFERROR(Table3[[#This Row],[QTY SOLD]]*Table3[[#This Row],[Selling Price]],0)</f>
        <v>0</v>
      </c>
      <c r="K440" s="50"/>
      <c r="L440" s="50">
        <f>Table3[[#This Row],[Total Sales]]-Table3[[#This Row],[Discount]]</f>
        <v>0</v>
      </c>
      <c r="M440" s="58">
        <f>Table3[[#This Row],[Net Sales]]-Table3[[#This Row],[Cost Price]]*Table3[[#This Row],[QTY SOLD]]</f>
        <v>0</v>
      </c>
      <c r="N440" s="25"/>
      <c r="O440" s="25"/>
      <c r="P440" s="25"/>
      <c r="Q440" s="25"/>
      <c r="R440" s="25"/>
      <c r="S440" s="25"/>
    </row>
    <row r="441" spans="1:19" x14ac:dyDescent="0.25">
      <c r="A441" s="65"/>
      <c r="B441" s="50"/>
      <c r="C441" s="50"/>
      <c r="D441" s="50"/>
      <c r="E441" s="50" t="str">
        <f>IF(D441="","",VLOOKUP(D441,'Product Master'!$B:$C,2,FALSE))</f>
        <v/>
      </c>
      <c r="F441" s="50" t="str">
        <f>IF(D441="","",IFERROR(VLOOKUP(D441,'Product Master'!$B:$G,3,FALSE),""))</f>
        <v/>
      </c>
      <c r="G441" s="51"/>
      <c r="H441" s="52" t="str">
        <f>IF(D441="","",VLOOKUP(D441,'Product Master'!$B:$F,5,FALSE))</f>
        <v/>
      </c>
      <c r="I441" s="52">
        <f>IFERROR(VLOOKUP(D441,'Product Master'!B:E,4,FALSE),0)</f>
        <v>0</v>
      </c>
      <c r="J441" s="53">
        <f>IFERROR(Table3[[#This Row],[QTY SOLD]]*Table3[[#This Row],[Selling Price]],0)</f>
        <v>0</v>
      </c>
      <c r="K441" s="50"/>
      <c r="L441" s="50">
        <f>Table3[[#This Row],[Total Sales]]-Table3[[#This Row],[Discount]]</f>
        <v>0</v>
      </c>
      <c r="M441" s="58">
        <f>Table3[[#This Row],[Net Sales]]-Table3[[#This Row],[Cost Price]]*Table3[[#This Row],[QTY SOLD]]</f>
        <v>0</v>
      </c>
      <c r="N441" s="25"/>
      <c r="O441" s="25"/>
      <c r="P441" s="25"/>
      <c r="Q441" s="25"/>
      <c r="R441" s="25"/>
      <c r="S441" s="25"/>
    </row>
    <row r="442" spans="1:19" x14ac:dyDescent="0.25">
      <c r="A442" s="65"/>
      <c r="B442" s="50"/>
      <c r="C442" s="50"/>
      <c r="D442" s="50"/>
      <c r="E442" s="50" t="str">
        <f>IF(D442="","",VLOOKUP(D442,'Product Master'!$B:$C,2,FALSE))</f>
        <v/>
      </c>
      <c r="F442" s="50" t="str">
        <f>IF(D442="","",IFERROR(VLOOKUP(D442,'Product Master'!$B:$G,3,FALSE),""))</f>
        <v/>
      </c>
      <c r="G442" s="51"/>
      <c r="H442" s="52" t="str">
        <f>IF(D442="","",VLOOKUP(D442,'Product Master'!$B:$F,5,FALSE))</f>
        <v/>
      </c>
      <c r="I442" s="52">
        <f>IFERROR(VLOOKUP(D442,'Product Master'!B:E,4,FALSE),0)</f>
        <v>0</v>
      </c>
      <c r="J442" s="53">
        <f>IFERROR(Table3[[#This Row],[QTY SOLD]]*Table3[[#This Row],[Selling Price]],0)</f>
        <v>0</v>
      </c>
      <c r="K442" s="50"/>
      <c r="L442" s="50">
        <f>Table3[[#This Row],[Total Sales]]-Table3[[#This Row],[Discount]]</f>
        <v>0</v>
      </c>
      <c r="M442" s="58">
        <f>Table3[[#This Row],[Net Sales]]-Table3[[#This Row],[Cost Price]]*Table3[[#This Row],[QTY SOLD]]</f>
        <v>0</v>
      </c>
      <c r="N442" s="25"/>
      <c r="O442" s="25"/>
      <c r="P442" s="25"/>
      <c r="Q442" s="25"/>
      <c r="R442" s="25"/>
      <c r="S442" s="25"/>
    </row>
    <row r="443" spans="1:19" x14ac:dyDescent="0.25">
      <c r="A443" s="65"/>
      <c r="B443" s="50"/>
      <c r="C443" s="50"/>
      <c r="D443" s="50"/>
      <c r="E443" s="50" t="str">
        <f>IF(D443="","",VLOOKUP(D443,'Product Master'!$B:$C,2,FALSE))</f>
        <v/>
      </c>
      <c r="F443" s="50" t="str">
        <f>IF(D443="","",IFERROR(VLOOKUP(D443,'Product Master'!$B:$G,3,FALSE),""))</f>
        <v/>
      </c>
      <c r="G443" s="51"/>
      <c r="H443" s="52" t="str">
        <f>IF(D443="","",VLOOKUP(D443,'Product Master'!$B:$F,5,FALSE))</f>
        <v/>
      </c>
      <c r="I443" s="52">
        <f>IFERROR(VLOOKUP(D443,'Product Master'!B:E,4,FALSE),0)</f>
        <v>0</v>
      </c>
      <c r="J443" s="53">
        <f>IFERROR(Table3[[#This Row],[QTY SOLD]]*Table3[[#This Row],[Selling Price]],0)</f>
        <v>0</v>
      </c>
      <c r="K443" s="50"/>
      <c r="L443" s="50">
        <f>Table3[[#This Row],[Total Sales]]-Table3[[#This Row],[Discount]]</f>
        <v>0</v>
      </c>
      <c r="M443" s="58">
        <f>Table3[[#This Row],[Net Sales]]-Table3[[#This Row],[Cost Price]]*Table3[[#This Row],[QTY SOLD]]</f>
        <v>0</v>
      </c>
      <c r="N443" s="25"/>
      <c r="O443" s="25"/>
      <c r="P443" s="25"/>
      <c r="Q443" s="25"/>
      <c r="R443" s="25"/>
      <c r="S443" s="25"/>
    </row>
    <row r="444" spans="1:19" x14ac:dyDescent="0.25">
      <c r="A444" s="65"/>
      <c r="B444" s="50"/>
      <c r="C444" s="50"/>
      <c r="D444" s="50"/>
      <c r="E444" s="50" t="str">
        <f>IF(D444="","",VLOOKUP(D444,'Product Master'!$B:$C,2,FALSE))</f>
        <v/>
      </c>
      <c r="F444" s="50" t="str">
        <f>IF(D444="","",IFERROR(VLOOKUP(D444,'Product Master'!$B:$G,3,FALSE),""))</f>
        <v/>
      </c>
      <c r="G444" s="51"/>
      <c r="H444" s="52" t="str">
        <f>IF(D444="","",VLOOKUP(D444,'Product Master'!$B:$F,5,FALSE))</f>
        <v/>
      </c>
      <c r="I444" s="52">
        <f>IFERROR(VLOOKUP(D444,'Product Master'!B:E,4,FALSE),0)</f>
        <v>0</v>
      </c>
      <c r="J444" s="53">
        <f>IFERROR(Table3[[#This Row],[QTY SOLD]]*Table3[[#This Row],[Selling Price]],0)</f>
        <v>0</v>
      </c>
      <c r="K444" s="50"/>
      <c r="L444" s="50">
        <f>Table3[[#This Row],[Total Sales]]-Table3[[#This Row],[Discount]]</f>
        <v>0</v>
      </c>
      <c r="M444" s="58">
        <f>Table3[[#This Row],[Net Sales]]-Table3[[#This Row],[Cost Price]]*Table3[[#This Row],[QTY SOLD]]</f>
        <v>0</v>
      </c>
      <c r="N444" s="25"/>
      <c r="O444" s="25"/>
      <c r="P444" s="25"/>
      <c r="Q444" s="25"/>
      <c r="R444" s="25"/>
      <c r="S444" s="25"/>
    </row>
    <row r="445" spans="1:19" x14ac:dyDescent="0.25">
      <c r="A445" s="65"/>
      <c r="B445" s="50"/>
      <c r="C445" s="50"/>
      <c r="D445" s="50"/>
      <c r="E445" s="50" t="str">
        <f>IF(D445="","",VLOOKUP(D445,'Product Master'!$B:$C,2,FALSE))</f>
        <v/>
      </c>
      <c r="F445" s="50" t="str">
        <f>IF(D445="","",IFERROR(VLOOKUP(D445,'Product Master'!$B:$G,3,FALSE),""))</f>
        <v/>
      </c>
      <c r="G445" s="51"/>
      <c r="H445" s="52" t="str">
        <f>IF(D445="","",VLOOKUP(D445,'Product Master'!$B:$F,5,FALSE))</f>
        <v/>
      </c>
      <c r="I445" s="52">
        <f>IFERROR(VLOOKUP(D445,'Product Master'!B:E,4,FALSE),0)</f>
        <v>0</v>
      </c>
      <c r="J445" s="53">
        <f>IFERROR(Table3[[#This Row],[QTY SOLD]]*Table3[[#This Row],[Selling Price]],0)</f>
        <v>0</v>
      </c>
      <c r="K445" s="50"/>
      <c r="L445" s="50">
        <f>Table3[[#This Row],[Total Sales]]-Table3[[#This Row],[Discount]]</f>
        <v>0</v>
      </c>
      <c r="M445" s="58">
        <f>Table3[[#This Row],[Net Sales]]-Table3[[#This Row],[Cost Price]]*Table3[[#This Row],[QTY SOLD]]</f>
        <v>0</v>
      </c>
      <c r="N445" s="25"/>
      <c r="O445" s="25"/>
      <c r="P445" s="25"/>
      <c r="Q445" s="25"/>
      <c r="R445" s="25"/>
      <c r="S445" s="25"/>
    </row>
    <row r="446" spans="1:19" x14ac:dyDescent="0.25">
      <c r="A446" s="65"/>
      <c r="B446" s="50"/>
      <c r="C446" s="50"/>
      <c r="D446" s="50"/>
      <c r="E446" s="50" t="str">
        <f>IF(D446="","",VLOOKUP(D446,'Product Master'!$B:$C,2,FALSE))</f>
        <v/>
      </c>
      <c r="F446" s="50" t="str">
        <f>IF(D446="","",IFERROR(VLOOKUP(D446,'Product Master'!$B:$G,3,FALSE),""))</f>
        <v/>
      </c>
      <c r="G446" s="51"/>
      <c r="H446" s="52" t="str">
        <f>IF(D446="","",VLOOKUP(D446,'Product Master'!$B:$F,5,FALSE))</f>
        <v/>
      </c>
      <c r="I446" s="52">
        <f>IFERROR(VLOOKUP(D446,'Product Master'!B:E,4,FALSE),0)</f>
        <v>0</v>
      </c>
      <c r="J446" s="53">
        <f>IFERROR(Table3[[#This Row],[QTY SOLD]]*Table3[[#This Row],[Selling Price]],0)</f>
        <v>0</v>
      </c>
      <c r="K446" s="50"/>
      <c r="L446" s="50">
        <f>Table3[[#This Row],[Total Sales]]-Table3[[#This Row],[Discount]]</f>
        <v>0</v>
      </c>
      <c r="M446" s="58">
        <f>Table3[[#This Row],[Net Sales]]-Table3[[#This Row],[Cost Price]]*Table3[[#This Row],[QTY SOLD]]</f>
        <v>0</v>
      </c>
      <c r="N446" s="25"/>
      <c r="O446" s="25"/>
      <c r="P446" s="25"/>
      <c r="Q446" s="25"/>
      <c r="R446" s="25"/>
      <c r="S446" s="25"/>
    </row>
    <row r="447" spans="1:19" x14ac:dyDescent="0.25">
      <c r="A447" s="65"/>
      <c r="B447" s="50"/>
      <c r="C447" s="50"/>
      <c r="D447" s="50"/>
      <c r="E447" s="50" t="str">
        <f>IF(D447="","",VLOOKUP(D447,'Product Master'!$B:$C,2,FALSE))</f>
        <v/>
      </c>
      <c r="F447" s="50" t="str">
        <f>IF(D447="","",IFERROR(VLOOKUP(D447,'Product Master'!$B:$G,3,FALSE),""))</f>
        <v/>
      </c>
      <c r="G447" s="51"/>
      <c r="H447" s="52" t="str">
        <f>IF(D447="","",VLOOKUP(D447,'Product Master'!$B:$F,5,FALSE))</f>
        <v/>
      </c>
      <c r="I447" s="52">
        <f>IFERROR(VLOOKUP(D447,'Product Master'!B:E,4,FALSE),0)</f>
        <v>0</v>
      </c>
      <c r="J447" s="53">
        <f>IFERROR(Table3[[#This Row],[QTY SOLD]]*Table3[[#This Row],[Selling Price]],0)</f>
        <v>0</v>
      </c>
      <c r="K447" s="50"/>
      <c r="L447" s="50">
        <f>Table3[[#This Row],[Total Sales]]-Table3[[#This Row],[Discount]]</f>
        <v>0</v>
      </c>
      <c r="M447" s="58">
        <f>Table3[[#This Row],[Net Sales]]-Table3[[#This Row],[Cost Price]]*Table3[[#This Row],[QTY SOLD]]</f>
        <v>0</v>
      </c>
      <c r="N447" s="25"/>
      <c r="O447" s="25"/>
      <c r="P447" s="25"/>
      <c r="Q447" s="25"/>
      <c r="R447" s="25"/>
      <c r="S447" s="25"/>
    </row>
    <row r="448" spans="1:19" x14ac:dyDescent="0.25">
      <c r="A448" s="65"/>
      <c r="B448" s="50"/>
      <c r="C448" s="50"/>
      <c r="D448" s="50"/>
      <c r="E448" s="50" t="str">
        <f>IF(D448="","",VLOOKUP(D448,'Product Master'!$B:$C,2,FALSE))</f>
        <v/>
      </c>
      <c r="F448" s="50" t="str">
        <f>IF(D448="","",IFERROR(VLOOKUP(D448,'Product Master'!$B:$G,3,FALSE),""))</f>
        <v/>
      </c>
      <c r="G448" s="51"/>
      <c r="H448" s="52" t="str">
        <f>IF(D448="","",VLOOKUP(D448,'Product Master'!$B:$F,5,FALSE))</f>
        <v/>
      </c>
      <c r="I448" s="52">
        <f>IFERROR(VLOOKUP(D448,'Product Master'!B:E,4,FALSE),0)</f>
        <v>0</v>
      </c>
      <c r="J448" s="53">
        <f>IFERROR(Table3[[#This Row],[QTY SOLD]]*Table3[[#This Row],[Selling Price]],0)</f>
        <v>0</v>
      </c>
      <c r="K448" s="50"/>
      <c r="L448" s="50">
        <f>Table3[[#This Row],[Total Sales]]-Table3[[#This Row],[Discount]]</f>
        <v>0</v>
      </c>
      <c r="M448" s="58">
        <f>Table3[[#This Row],[Net Sales]]-Table3[[#This Row],[Cost Price]]*Table3[[#This Row],[QTY SOLD]]</f>
        <v>0</v>
      </c>
      <c r="N448" s="25"/>
      <c r="O448" s="25"/>
      <c r="P448" s="25"/>
      <c r="Q448" s="25"/>
      <c r="R448" s="25"/>
      <c r="S448" s="25"/>
    </row>
    <row r="449" spans="1:19" x14ac:dyDescent="0.25">
      <c r="A449" s="65"/>
      <c r="B449" s="50"/>
      <c r="C449" s="50"/>
      <c r="D449" s="50"/>
      <c r="E449" s="50" t="str">
        <f>IF(D449="","",VLOOKUP(D449,'Product Master'!$B:$C,2,FALSE))</f>
        <v/>
      </c>
      <c r="F449" s="50" t="str">
        <f>IF(D449="","",IFERROR(VLOOKUP(D449,'Product Master'!$B:$G,3,FALSE),""))</f>
        <v/>
      </c>
      <c r="G449" s="51"/>
      <c r="H449" s="52" t="str">
        <f>IF(D449="","",VLOOKUP(D449,'Product Master'!$B:$F,5,FALSE))</f>
        <v/>
      </c>
      <c r="I449" s="52">
        <f>IFERROR(VLOOKUP(D449,'Product Master'!B:E,4,FALSE),0)</f>
        <v>0</v>
      </c>
      <c r="J449" s="53">
        <f>IFERROR(Table3[[#This Row],[QTY SOLD]]*Table3[[#This Row],[Selling Price]],0)</f>
        <v>0</v>
      </c>
      <c r="K449" s="50"/>
      <c r="L449" s="50">
        <f>Table3[[#This Row],[Total Sales]]-Table3[[#This Row],[Discount]]</f>
        <v>0</v>
      </c>
      <c r="M449" s="58">
        <f>Table3[[#This Row],[Net Sales]]-Table3[[#This Row],[Cost Price]]*Table3[[#This Row],[QTY SOLD]]</f>
        <v>0</v>
      </c>
      <c r="N449" s="25"/>
      <c r="O449" s="25"/>
      <c r="P449" s="25"/>
      <c r="Q449" s="25"/>
      <c r="R449" s="25"/>
      <c r="S449" s="25"/>
    </row>
    <row r="450" spans="1:19" x14ac:dyDescent="0.25">
      <c r="A450" s="65"/>
      <c r="B450" s="50"/>
      <c r="C450" s="50"/>
      <c r="D450" s="50"/>
      <c r="E450" s="50" t="str">
        <f>IF(D450="","",VLOOKUP(D450,'Product Master'!$B:$C,2,FALSE))</f>
        <v/>
      </c>
      <c r="F450" s="50" t="str">
        <f>IF(D450="","",IFERROR(VLOOKUP(D450,'Product Master'!$B:$G,3,FALSE),""))</f>
        <v/>
      </c>
      <c r="G450" s="51"/>
      <c r="H450" s="52" t="str">
        <f>IF(D450="","",VLOOKUP(D450,'Product Master'!$B:$F,5,FALSE))</f>
        <v/>
      </c>
      <c r="I450" s="52">
        <f>IFERROR(VLOOKUP(D450,'Product Master'!B:E,4,FALSE),0)</f>
        <v>0</v>
      </c>
      <c r="J450" s="53">
        <f>IFERROR(Table3[[#This Row],[QTY SOLD]]*Table3[[#This Row],[Selling Price]],0)</f>
        <v>0</v>
      </c>
      <c r="K450" s="50"/>
      <c r="L450" s="50">
        <f>Table3[[#This Row],[Total Sales]]-Table3[[#This Row],[Discount]]</f>
        <v>0</v>
      </c>
      <c r="M450" s="58">
        <f>Table3[[#This Row],[Net Sales]]-Table3[[#This Row],[Cost Price]]*Table3[[#This Row],[QTY SOLD]]</f>
        <v>0</v>
      </c>
      <c r="N450" s="25"/>
      <c r="O450" s="25"/>
      <c r="P450" s="25"/>
      <c r="Q450" s="25"/>
      <c r="R450" s="25"/>
      <c r="S450" s="25"/>
    </row>
    <row r="451" spans="1:19" x14ac:dyDescent="0.25">
      <c r="A451" s="65"/>
      <c r="B451" s="50"/>
      <c r="C451" s="50"/>
      <c r="D451" s="50"/>
      <c r="E451" s="50" t="str">
        <f>IF(D451="","",VLOOKUP(D451,'Product Master'!$B:$C,2,FALSE))</f>
        <v/>
      </c>
      <c r="F451" s="50" t="str">
        <f>IF(D451="","",IFERROR(VLOOKUP(D451,'Product Master'!$B:$G,3,FALSE),""))</f>
        <v/>
      </c>
      <c r="G451" s="51"/>
      <c r="H451" s="52" t="str">
        <f>IF(D451="","",VLOOKUP(D451,'Product Master'!$B:$F,5,FALSE))</f>
        <v/>
      </c>
      <c r="I451" s="52">
        <f>IFERROR(VLOOKUP(D451,'Product Master'!B:E,4,FALSE),0)</f>
        <v>0</v>
      </c>
      <c r="J451" s="53">
        <f>IFERROR(Table3[[#This Row],[QTY SOLD]]*Table3[[#This Row],[Selling Price]],0)</f>
        <v>0</v>
      </c>
      <c r="K451" s="50"/>
      <c r="L451" s="50">
        <f>Table3[[#This Row],[Total Sales]]-Table3[[#This Row],[Discount]]</f>
        <v>0</v>
      </c>
      <c r="M451" s="58">
        <f>Table3[[#This Row],[Net Sales]]-Table3[[#This Row],[Cost Price]]*Table3[[#This Row],[QTY SOLD]]</f>
        <v>0</v>
      </c>
      <c r="N451" s="25"/>
      <c r="O451" s="25"/>
      <c r="P451" s="25"/>
      <c r="Q451" s="25"/>
      <c r="R451" s="25"/>
      <c r="S451" s="25"/>
    </row>
    <row r="452" spans="1:19" x14ac:dyDescent="0.25">
      <c r="A452" s="65"/>
      <c r="B452" s="50"/>
      <c r="C452" s="50"/>
      <c r="D452" s="50"/>
      <c r="E452" s="50" t="str">
        <f>IF(D452="","",VLOOKUP(D452,'Product Master'!$B:$C,2,FALSE))</f>
        <v/>
      </c>
      <c r="F452" s="50" t="str">
        <f>IF(D452="","",IFERROR(VLOOKUP(D452,'Product Master'!$B:$G,3,FALSE),""))</f>
        <v/>
      </c>
      <c r="G452" s="51"/>
      <c r="H452" s="52" t="str">
        <f>IF(D452="","",VLOOKUP(D452,'Product Master'!$B:$F,5,FALSE))</f>
        <v/>
      </c>
      <c r="I452" s="52">
        <f>IFERROR(VLOOKUP(D452,'Product Master'!B:E,4,FALSE),0)</f>
        <v>0</v>
      </c>
      <c r="J452" s="53">
        <f>IFERROR(Table3[[#This Row],[QTY SOLD]]*Table3[[#This Row],[Selling Price]],0)</f>
        <v>0</v>
      </c>
      <c r="K452" s="50"/>
      <c r="L452" s="50">
        <f>Table3[[#This Row],[Total Sales]]-Table3[[#This Row],[Discount]]</f>
        <v>0</v>
      </c>
      <c r="M452" s="58">
        <f>Table3[[#This Row],[Net Sales]]-Table3[[#This Row],[Cost Price]]*Table3[[#This Row],[QTY SOLD]]</f>
        <v>0</v>
      </c>
      <c r="N452" s="25"/>
      <c r="O452" s="25"/>
      <c r="P452" s="25"/>
      <c r="Q452" s="25"/>
      <c r="R452" s="25"/>
      <c r="S452" s="25"/>
    </row>
    <row r="453" spans="1:19" x14ac:dyDescent="0.25">
      <c r="A453" s="65"/>
      <c r="B453" s="50"/>
      <c r="C453" s="50"/>
      <c r="D453" s="50"/>
      <c r="E453" s="50" t="str">
        <f>IF(D453="","",VLOOKUP(D453,'Product Master'!$B:$C,2,FALSE))</f>
        <v/>
      </c>
      <c r="F453" s="50" t="str">
        <f>IF(D453="","",IFERROR(VLOOKUP(D453,'Product Master'!$B:$G,3,FALSE),""))</f>
        <v/>
      </c>
      <c r="G453" s="51"/>
      <c r="H453" s="52" t="str">
        <f>IF(D453="","",VLOOKUP(D453,'Product Master'!$B:$F,5,FALSE))</f>
        <v/>
      </c>
      <c r="I453" s="52">
        <f>IFERROR(VLOOKUP(D453,'Product Master'!B:E,4,FALSE),0)</f>
        <v>0</v>
      </c>
      <c r="J453" s="53">
        <f>IFERROR(Table3[[#This Row],[QTY SOLD]]*Table3[[#This Row],[Selling Price]],0)</f>
        <v>0</v>
      </c>
      <c r="K453" s="50"/>
      <c r="L453" s="50">
        <f>Table3[[#This Row],[Total Sales]]-Table3[[#This Row],[Discount]]</f>
        <v>0</v>
      </c>
      <c r="M453" s="58">
        <f>Table3[[#This Row],[Net Sales]]-Table3[[#This Row],[Cost Price]]*Table3[[#This Row],[QTY SOLD]]</f>
        <v>0</v>
      </c>
      <c r="N453" s="25"/>
      <c r="O453" s="25"/>
      <c r="P453" s="25"/>
      <c r="Q453" s="25"/>
      <c r="R453" s="25"/>
      <c r="S453" s="25"/>
    </row>
    <row r="454" spans="1:19" x14ac:dyDescent="0.25">
      <c r="A454" s="65"/>
      <c r="B454" s="50"/>
      <c r="C454" s="50"/>
      <c r="D454" s="50"/>
      <c r="E454" s="50" t="str">
        <f>IF(D454="","",VLOOKUP(D454,'Product Master'!$B:$C,2,FALSE))</f>
        <v/>
      </c>
      <c r="F454" s="50" t="str">
        <f>IF(D454="","",IFERROR(VLOOKUP(D454,'Product Master'!$B:$G,3,FALSE),""))</f>
        <v/>
      </c>
      <c r="G454" s="51"/>
      <c r="H454" s="52" t="str">
        <f>IF(D454="","",VLOOKUP(D454,'Product Master'!$B:$F,5,FALSE))</f>
        <v/>
      </c>
      <c r="I454" s="52">
        <f>IFERROR(VLOOKUP(D454,'Product Master'!B:E,4,FALSE),0)</f>
        <v>0</v>
      </c>
      <c r="J454" s="53">
        <f>IFERROR(Table3[[#This Row],[QTY SOLD]]*Table3[[#This Row],[Selling Price]],0)</f>
        <v>0</v>
      </c>
      <c r="K454" s="50"/>
      <c r="L454" s="50">
        <f>Table3[[#This Row],[Total Sales]]-Table3[[#This Row],[Discount]]</f>
        <v>0</v>
      </c>
      <c r="M454" s="58">
        <f>Table3[[#This Row],[Net Sales]]-Table3[[#This Row],[Cost Price]]*Table3[[#This Row],[QTY SOLD]]</f>
        <v>0</v>
      </c>
      <c r="N454" s="25"/>
      <c r="O454" s="25"/>
      <c r="P454" s="25"/>
      <c r="Q454" s="25"/>
      <c r="R454" s="25"/>
      <c r="S454" s="25"/>
    </row>
    <row r="455" spans="1:19" x14ac:dyDescent="0.25">
      <c r="A455" s="65"/>
      <c r="B455" s="50"/>
      <c r="C455" s="50"/>
      <c r="D455" s="50"/>
      <c r="E455" s="50" t="str">
        <f>IF(D455="","",VLOOKUP(D455,'Product Master'!$B:$C,2,FALSE))</f>
        <v/>
      </c>
      <c r="F455" s="50" t="str">
        <f>IF(D455="","",IFERROR(VLOOKUP(D455,'Product Master'!$B:$G,3,FALSE),""))</f>
        <v/>
      </c>
      <c r="G455" s="51"/>
      <c r="H455" s="52" t="str">
        <f>IF(D455="","",VLOOKUP(D455,'Product Master'!$B:$F,5,FALSE))</f>
        <v/>
      </c>
      <c r="I455" s="52">
        <f>IFERROR(VLOOKUP(D455,'Product Master'!B:E,4,FALSE),0)</f>
        <v>0</v>
      </c>
      <c r="J455" s="53">
        <f>IFERROR(Table3[[#This Row],[QTY SOLD]]*Table3[[#This Row],[Selling Price]],0)</f>
        <v>0</v>
      </c>
      <c r="K455" s="50"/>
      <c r="L455" s="50">
        <f>Table3[[#This Row],[Total Sales]]-Table3[[#This Row],[Discount]]</f>
        <v>0</v>
      </c>
      <c r="M455" s="58">
        <f>Table3[[#This Row],[Net Sales]]-Table3[[#This Row],[Cost Price]]*Table3[[#This Row],[QTY SOLD]]</f>
        <v>0</v>
      </c>
      <c r="N455" s="25"/>
      <c r="O455" s="25"/>
      <c r="P455" s="25"/>
      <c r="Q455" s="25"/>
      <c r="R455" s="25"/>
      <c r="S455" s="25"/>
    </row>
    <row r="456" spans="1:19" x14ac:dyDescent="0.25">
      <c r="A456" s="65"/>
      <c r="B456" s="50"/>
      <c r="C456" s="50"/>
      <c r="D456" s="50"/>
      <c r="E456" s="50" t="str">
        <f>IF(D456="","",VLOOKUP(D456,'Product Master'!$B:$C,2,FALSE))</f>
        <v/>
      </c>
      <c r="F456" s="50" t="str">
        <f>IF(D456="","",IFERROR(VLOOKUP(D456,'Product Master'!$B:$G,3,FALSE),""))</f>
        <v/>
      </c>
      <c r="G456" s="51"/>
      <c r="H456" s="52" t="str">
        <f>IF(D456="","",VLOOKUP(D456,'Product Master'!$B:$F,5,FALSE))</f>
        <v/>
      </c>
      <c r="I456" s="52">
        <f>IFERROR(VLOOKUP(D456,'Product Master'!B:E,4,FALSE),0)</f>
        <v>0</v>
      </c>
      <c r="J456" s="53">
        <f>IFERROR(Table3[[#This Row],[QTY SOLD]]*Table3[[#This Row],[Selling Price]],0)</f>
        <v>0</v>
      </c>
      <c r="K456" s="50"/>
      <c r="L456" s="50">
        <f>Table3[[#This Row],[Total Sales]]-Table3[[#This Row],[Discount]]</f>
        <v>0</v>
      </c>
      <c r="M456" s="58">
        <f>Table3[[#This Row],[Net Sales]]-Table3[[#This Row],[Cost Price]]*Table3[[#This Row],[QTY SOLD]]</f>
        <v>0</v>
      </c>
      <c r="N456" s="25"/>
      <c r="O456" s="25"/>
      <c r="P456" s="25"/>
      <c r="Q456" s="25"/>
      <c r="R456" s="25"/>
      <c r="S456" s="25"/>
    </row>
    <row r="457" spans="1:19" x14ac:dyDescent="0.25">
      <c r="A457" s="65"/>
      <c r="B457" s="50"/>
      <c r="C457" s="50"/>
      <c r="D457" s="50"/>
      <c r="E457" s="50" t="str">
        <f>IF(D457="","",VLOOKUP(D457,'Product Master'!$B:$C,2,FALSE))</f>
        <v/>
      </c>
      <c r="F457" s="50" t="str">
        <f>IF(D457="","",IFERROR(VLOOKUP(D457,'Product Master'!$B:$G,3,FALSE),""))</f>
        <v/>
      </c>
      <c r="G457" s="51"/>
      <c r="H457" s="52" t="str">
        <f>IF(D457="","",VLOOKUP(D457,'Product Master'!$B:$F,5,FALSE))</f>
        <v/>
      </c>
      <c r="I457" s="52">
        <f>IFERROR(VLOOKUP(D457,'Product Master'!B:E,4,FALSE),0)</f>
        <v>0</v>
      </c>
      <c r="J457" s="53">
        <f>IFERROR(Table3[[#This Row],[QTY SOLD]]*Table3[[#This Row],[Selling Price]],0)</f>
        <v>0</v>
      </c>
      <c r="K457" s="50"/>
      <c r="L457" s="50">
        <f>Table3[[#This Row],[Total Sales]]-Table3[[#This Row],[Discount]]</f>
        <v>0</v>
      </c>
      <c r="M457" s="58">
        <f>Table3[[#This Row],[Net Sales]]-Table3[[#This Row],[Cost Price]]*Table3[[#This Row],[QTY SOLD]]</f>
        <v>0</v>
      </c>
      <c r="N457" s="25"/>
      <c r="O457" s="25"/>
      <c r="P457" s="25"/>
      <c r="Q457" s="25"/>
      <c r="R457" s="25"/>
      <c r="S457" s="25"/>
    </row>
    <row r="458" spans="1:19" x14ac:dyDescent="0.25">
      <c r="A458" s="65"/>
      <c r="B458" s="50"/>
      <c r="C458" s="50"/>
      <c r="D458" s="50"/>
      <c r="E458" s="50" t="str">
        <f>IF(D458="","",VLOOKUP(D458,'Product Master'!$B:$C,2,FALSE))</f>
        <v/>
      </c>
      <c r="F458" s="50" t="str">
        <f>IF(D458="","",IFERROR(VLOOKUP(D458,'Product Master'!$B:$G,3,FALSE),""))</f>
        <v/>
      </c>
      <c r="G458" s="51"/>
      <c r="H458" s="52" t="str">
        <f>IF(D458="","",VLOOKUP(D458,'Product Master'!$B:$F,5,FALSE))</f>
        <v/>
      </c>
      <c r="I458" s="52">
        <f>IFERROR(VLOOKUP(D458,'Product Master'!B:E,4,FALSE),0)</f>
        <v>0</v>
      </c>
      <c r="J458" s="53">
        <f>IFERROR(Table3[[#This Row],[QTY SOLD]]*Table3[[#This Row],[Selling Price]],0)</f>
        <v>0</v>
      </c>
      <c r="K458" s="50"/>
      <c r="L458" s="50">
        <f>Table3[[#This Row],[Total Sales]]-Table3[[#This Row],[Discount]]</f>
        <v>0</v>
      </c>
      <c r="M458" s="58">
        <f>Table3[[#This Row],[Net Sales]]-Table3[[#This Row],[Cost Price]]*Table3[[#This Row],[QTY SOLD]]</f>
        <v>0</v>
      </c>
      <c r="N458" s="25"/>
      <c r="O458" s="25"/>
      <c r="P458" s="25"/>
      <c r="Q458" s="25"/>
      <c r="R458" s="25"/>
      <c r="S458" s="25"/>
    </row>
    <row r="459" spans="1:19" x14ac:dyDescent="0.25">
      <c r="A459" s="65"/>
      <c r="B459" s="50"/>
      <c r="C459" s="50"/>
      <c r="D459" s="50"/>
      <c r="E459" s="50" t="str">
        <f>IF(D459="","",VLOOKUP(D459,'Product Master'!$B:$C,2,FALSE))</f>
        <v/>
      </c>
      <c r="F459" s="50" t="str">
        <f>IF(D459="","",IFERROR(VLOOKUP(D459,'Product Master'!$B:$G,3,FALSE),""))</f>
        <v/>
      </c>
      <c r="G459" s="51"/>
      <c r="H459" s="52" t="str">
        <f>IF(D459="","",VLOOKUP(D459,'Product Master'!$B:$F,5,FALSE))</f>
        <v/>
      </c>
      <c r="I459" s="52">
        <f>IFERROR(VLOOKUP(D459,'Product Master'!B:E,4,FALSE),0)</f>
        <v>0</v>
      </c>
      <c r="J459" s="53">
        <f>IFERROR(Table3[[#This Row],[QTY SOLD]]*Table3[[#This Row],[Selling Price]],0)</f>
        <v>0</v>
      </c>
      <c r="K459" s="50"/>
      <c r="L459" s="50">
        <f>Table3[[#This Row],[Total Sales]]-Table3[[#This Row],[Discount]]</f>
        <v>0</v>
      </c>
      <c r="M459" s="58">
        <f>Table3[[#This Row],[Net Sales]]-Table3[[#This Row],[Cost Price]]*Table3[[#This Row],[QTY SOLD]]</f>
        <v>0</v>
      </c>
      <c r="N459" s="25"/>
      <c r="O459" s="25"/>
      <c r="P459" s="25"/>
      <c r="Q459" s="25"/>
      <c r="R459" s="25"/>
      <c r="S459" s="25"/>
    </row>
    <row r="460" spans="1:19" x14ac:dyDescent="0.25">
      <c r="A460" s="65"/>
      <c r="B460" s="50"/>
      <c r="C460" s="50"/>
      <c r="D460" s="50"/>
      <c r="E460" s="50" t="str">
        <f>IF(D460="","",VLOOKUP(D460,'Product Master'!$B:$C,2,FALSE))</f>
        <v/>
      </c>
      <c r="F460" s="50" t="str">
        <f>IF(D460="","",IFERROR(VLOOKUP(D460,'Product Master'!$B:$G,3,FALSE),""))</f>
        <v/>
      </c>
      <c r="G460" s="51"/>
      <c r="H460" s="52" t="str">
        <f>IF(D460="","",VLOOKUP(D460,'Product Master'!$B:$F,5,FALSE))</f>
        <v/>
      </c>
      <c r="I460" s="52">
        <f>IFERROR(VLOOKUP(D460,'Product Master'!B:E,4,FALSE),0)</f>
        <v>0</v>
      </c>
      <c r="J460" s="53">
        <f>IFERROR(Table3[[#This Row],[QTY SOLD]]*Table3[[#This Row],[Selling Price]],0)</f>
        <v>0</v>
      </c>
      <c r="K460" s="50"/>
      <c r="L460" s="50">
        <f>Table3[[#This Row],[Total Sales]]-Table3[[#This Row],[Discount]]</f>
        <v>0</v>
      </c>
      <c r="M460" s="58">
        <f>Table3[[#This Row],[Net Sales]]-Table3[[#This Row],[Cost Price]]*Table3[[#This Row],[QTY SOLD]]</f>
        <v>0</v>
      </c>
      <c r="N460" s="25"/>
      <c r="O460" s="25"/>
      <c r="P460" s="25"/>
      <c r="Q460" s="25"/>
      <c r="R460" s="25"/>
      <c r="S460" s="25"/>
    </row>
    <row r="461" spans="1:19" x14ac:dyDescent="0.25">
      <c r="A461" s="65"/>
      <c r="B461" s="50"/>
      <c r="C461" s="50"/>
      <c r="D461" s="50"/>
      <c r="E461" s="50" t="str">
        <f>IF(D461="","",VLOOKUP(D461,'Product Master'!$B:$C,2,FALSE))</f>
        <v/>
      </c>
      <c r="F461" s="50" t="str">
        <f>IF(D461="","",IFERROR(VLOOKUP(D461,'Product Master'!$B:$G,3,FALSE),""))</f>
        <v/>
      </c>
      <c r="G461" s="51"/>
      <c r="H461" s="52" t="str">
        <f>IF(D461="","",VLOOKUP(D461,'Product Master'!$B:$F,5,FALSE))</f>
        <v/>
      </c>
      <c r="I461" s="52">
        <f>IFERROR(VLOOKUP(D461,'Product Master'!B:E,4,FALSE),0)</f>
        <v>0</v>
      </c>
      <c r="J461" s="53">
        <f>IFERROR(Table3[[#This Row],[QTY SOLD]]*Table3[[#This Row],[Selling Price]],0)</f>
        <v>0</v>
      </c>
      <c r="K461" s="50"/>
      <c r="L461" s="50">
        <f>Table3[[#This Row],[Total Sales]]-Table3[[#This Row],[Discount]]</f>
        <v>0</v>
      </c>
      <c r="M461" s="58">
        <f>Table3[[#This Row],[Net Sales]]-Table3[[#This Row],[Cost Price]]*Table3[[#This Row],[QTY SOLD]]</f>
        <v>0</v>
      </c>
      <c r="N461" s="25"/>
      <c r="O461" s="25"/>
      <c r="P461" s="25"/>
      <c r="Q461" s="25"/>
      <c r="R461" s="25"/>
      <c r="S461" s="25"/>
    </row>
    <row r="462" spans="1:19" x14ac:dyDescent="0.25">
      <c r="A462" s="65"/>
      <c r="B462" s="50"/>
      <c r="C462" s="50"/>
      <c r="D462" s="50"/>
      <c r="E462" s="50" t="str">
        <f>IF(D462="","",VLOOKUP(D462,'Product Master'!$B:$C,2,FALSE))</f>
        <v/>
      </c>
      <c r="F462" s="50" t="str">
        <f>IF(D462="","",IFERROR(VLOOKUP(D462,'Product Master'!$B:$G,3,FALSE),""))</f>
        <v/>
      </c>
      <c r="G462" s="51"/>
      <c r="H462" s="52" t="str">
        <f>IF(D462="","",VLOOKUP(D462,'Product Master'!$B:$F,5,FALSE))</f>
        <v/>
      </c>
      <c r="I462" s="52">
        <f>IFERROR(VLOOKUP(D462,'Product Master'!B:E,4,FALSE),0)</f>
        <v>0</v>
      </c>
      <c r="J462" s="53">
        <f>IFERROR(Table3[[#This Row],[QTY SOLD]]*Table3[[#This Row],[Selling Price]],0)</f>
        <v>0</v>
      </c>
      <c r="K462" s="50"/>
      <c r="L462" s="50">
        <f>Table3[[#This Row],[Total Sales]]-Table3[[#This Row],[Discount]]</f>
        <v>0</v>
      </c>
      <c r="M462" s="58">
        <f>Table3[[#This Row],[Net Sales]]-Table3[[#This Row],[Cost Price]]*Table3[[#This Row],[QTY SOLD]]</f>
        <v>0</v>
      </c>
      <c r="N462" s="25"/>
      <c r="O462" s="25"/>
      <c r="P462" s="25"/>
      <c r="Q462" s="25"/>
      <c r="R462" s="25"/>
      <c r="S462" s="25"/>
    </row>
    <row r="463" spans="1:19" x14ac:dyDescent="0.25">
      <c r="A463" s="65"/>
      <c r="B463" s="50"/>
      <c r="C463" s="50"/>
      <c r="D463" s="50"/>
      <c r="E463" s="50" t="str">
        <f>IF(D463="","",VLOOKUP(D463,'Product Master'!$B:$C,2,FALSE))</f>
        <v/>
      </c>
      <c r="F463" s="50" t="str">
        <f>IF(D463="","",IFERROR(VLOOKUP(D463,'Product Master'!$B:$G,3,FALSE),""))</f>
        <v/>
      </c>
      <c r="G463" s="51"/>
      <c r="H463" s="52" t="str">
        <f>IF(D463="","",VLOOKUP(D463,'Product Master'!$B:$F,5,FALSE))</f>
        <v/>
      </c>
      <c r="I463" s="52">
        <f>IFERROR(VLOOKUP(D463,'Product Master'!B:E,4,FALSE),0)</f>
        <v>0</v>
      </c>
      <c r="J463" s="53">
        <f>IFERROR(Table3[[#This Row],[QTY SOLD]]*Table3[[#This Row],[Selling Price]],0)</f>
        <v>0</v>
      </c>
      <c r="K463" s="50"/>
      <c r="L463" s="50">
        <f>Table3[[#This Row],[Total Sales]]-Table3[[#This Row],[Discount]]</f>
        <v>0</v>
      </c>
      <c r="M463" s="58">
        <f>Table3[[#This Row],[Net Sales]]-Table3[[#This Row],[Cost Price]]*Table3[[#This Row],[QTY SOLD]]</f>
        <v>0</v>
      </c>
      <c r="N463" s="25"/>
      <c r="O463" s="25"/>
      <c r="P463" s="25"/>
      <c r="Q463" s="25"/>
      <c r="R463" s="25"/>
      <c r="S463" s="25"/>
    </row>
    <row r="464" spans="1:19" x14ac:dyDescent="0.25">
      <c r="A464" s="65"/>
      <c r="B464" s="50"/>
      <c r="C464" s="50"/>
      <c r="D464" s="50"/>
      <c r="E464" s="50" t="str">
        <f>IF(D464="","",VLOOKUP(D464,'Product Master'!$B:$C,2,FALSE))</f>
        <v/>
      </c>
      <c r="F464" s="50" t="str">
        <f>IF(D464="","",IFERROR(VLOOKUP(D464,'Product Master'!$B:$G,3,FALSE),""))</f>
        <v/>
      </c>
      <c r="G464" s="51"/>
      <c r="H464" s="52" t="str">
        <f>IF(D464="","",VLOOKUP(D464,'Product Master'!$B:$F,5,FALSE))</f>
        <v/>
      </c>
      <c r="I464" s="52">
        <f>IFERROR(VLOOKUP(D464,'Product Master'!B:E,4,FALSE),0)</f>
        <v>0</v>
      </c>
      <c r="J464" s="53">
        <f>IFERROR(Table3[[#This Row],[QTY SOLD]]*Table3[[#This Row],[Selling Price]],0)</f>
        <v>0</v>
      </c>
      <c r="K464" s="50"/>
      <c r="L464" s="50">
        <f>Table3[[#This Row],[Total Sales]]-Table3[[#This Row],[Discount]]</f>
        <v>0</v>
      </c>
      <c r="M464" s="58">
        <f>Table3[[#This Row],[Net Sales]]-Table3[[#This Row],[Cost Price]]*Table3[[#This Row],[QTY SOLD]]</f>
        <v>0</v>
      </c>
      <c r="N464" s="25"/>
      <c r="O464" s="25"/>
      <c r="P464" s="25"/>
      <c r="Q464" s="25"/>
      <c r="R464" s="25"/>
      <c r="S464" s="25"/>
    </row>
    <row r="465" spans="1:19" x14ac:dyDescent="0.25">
      <c r="A465" s="65"/>
      <c r="B465" s="50"/>
      <c r="C465" s="50"/>
      <c r="D465" s="50"/>
      <c r="E465" s="50" t="str">
        <f>IF(D465="","",VLOOKUP(D465,'Product Master'!$B:$C,2,FALSE))</f>
        <v/>
      </c>
      <c r="F465" s="50" t="str">
        <f>IF(D465="","",IFERROR(VLOOKUP(D465,'Product Master'!$B:$G,3,FALSE),""))</f>
        <v/>
      </c>
      <c r="G465" s="51"/>
      <c r="H465" s="52" t="str">
        <f>IF(D465="","",VLOOKUP(D465,'Product Master'!$B:$F,5,FALSE))</f>
        <v/>
      </c>
      <c r="I465" s="52">
        <f>IFERROR(VLOOKUP(D465,'Product Master'!B:E,4,FALSE),0)</f>
        <v>0</v>
      </c>
      <c r="J465" s="53">
        <f>IFERROR(Table3[[#This Row],[QTY SOLD]]*Table3[[#This Row],[Selling Price]],0)</f>
        <v>0</v>
      </c>
      <c r="K465" s="50"/>
      <c r="L465" s="50">
        <f>Table3[[#This Row],[Total Sales]]-Table3[[#This Row],[Discount]]</f>
        <v>0</v>
      </c>
      <c r="M465" s="58">
        <f>Table3[[#This Row],[Net Sales]]-Table3[[#This Row],[Cost Price]]*Table3[[#This Row],[QTY SOLD]]</f>
        <v>0</v>
      </c>
      <c r="N465" s="25"/>
      <c r="O465" s="25"/>
      <c r="P465" s="25"/>
      <c r="Q465" s="25"/>
      <c r="R465" s="25"/>
      <c r="S465" s="25"/>
    </row>
    <row r="466" spans="1:19" x14ac:dyDescent="0.25">
      <c r="A466" s="65"/>
      <c r="B466" s="50"/>
      <c r="C466" s="50"/>
      <c r="D466" s="50"/>
      <c r="E466" s="50" t="str">
        <f>IF(D466="","",VLOOKUP(D466,'Product Master'!$B:$C,2,FALSE))</f>
        <v/>
      </c>
      <c r="F466" s="50" t="str">
        <f>IF(D466="","",IFERROR(VLOOKUP(D466,'Product Master'!$B:$G,3,FALSE),""))</f>
        <v/>
      </c>
      <c r="G466" s="51"/>
      <c r="H466" s="52" t="str">
        <f>IF(D466="","",VLOOKUP(D466,'Product Master'!$B:$F,5,FALSE))</f>
        <v/>
      </c>
      <c r="I466" s="52">
        <f>IFERROR(VLOOKUP(D466,'Product Master'!B:E,4,FALSE),0)</f>
        <v>0</v>
      </c>
      <c r="J466" s="53">
        <f>IFERROR(Table3[[#This Row],[QTY SOLD]]*Table3[[#This Row],[Selling Price]],0)</f>
        <v>0</v>
      </c>
      <c r="K466" s="50"/>
      <c r="L466" s="50">
        <f>Table3[[#This Row],[Total Sales]]-Table3[[#This Row],[Discount]]</f>
        <v>0</v>
      </c>
      <c r="M466" s="58">
        <f>Table3[[#This Row],[Net Sales]]-Table3[[#This Row],[Cost Price]]*Table3[[#This Row],[QTY SOLD]]</f>
        <v>0</v>
      </c>
      <c r="N466" s="25"/>
      <c r="O466" s="25"/>
      <c r="P466" s="25"/>
      <c r="Q466" s="25"/>
      <c r="R466" s="25"/>
      <c r="S466" s="25"/>
    </row>
    <row r="467" spans="1:19" x14ac:dyDescent="0.25">
      <c r="A467" s="65"/>
      <c r="B467" s="50"/>
      <c r="C467" s="50"/>
      <c r="D467" s="50"/>
      <c r="E467" s="50" t="str">
        <f>IF(D467="","",VLOOKUP(D467,'Product Master'!$B:$C,2,FALSE))</f>
        <v/>
      </c>
      <c r="F467" s="50" t="str">
        <f>IF(D467="","",IFERROR(VLOOKUP(D467,'Product Master'!$B:$G,3,FALSE),""))</f>
        <v/>
      </c>
      <c r="G467" s="51"/>
      <c r="H467" s="52" t="str">
        <f>IF(D467="","",VLOOKUP(D467,'Product Master'!$B:$F,5,FALSE))</f>
        <v/>
      </c>
      <c r="I467" s="52">
        <f>IFERROR(VLOOKUP(D467,'Product Master'!B:E,4,FALSE),0)</f>
        <v>0</v>
      </c>
      <c r="J467" s="53">
        <f>IFERROR(Table3[[#This Row],[QTY SOLD]]*Table3[[#This Row],[Selling Price]],0)</f>
        <v>0</v>
      </c>
      <c r="K467" s="50"/>
      <c r="L467" s="50">
        <f>Table3[[#This Row],[Total Sales]]-Table3[[#This Row],[Discount]]</f>
        <v>0</v>
      </c>
      <c r="M467" s="58">
        <f>Table3[[#This Row],[Net Sales]]-Table3[[#This Row],[Cost Price]]*Table3[[#This Row],[QTY SOLD]]</f>
        <v>0</v>
      </c>
      <c r="N467" s="25"/>
      <c r="O467" s="25"/>
      <c r="P467" s="25"/>
      <c r="Q467" s="25"/>
      <c r="R467" s="25"/>
      <c r="S467" s="25"/>
    </row>
    <row r="468" spans="1:19" x14ac:dyDescent="0.25">
      <c r="A468" s="65"/>
      <c r="B468" s="50"/>
      <c r="C468" s="50"/>
      <c r="D468" s="50"/>
      <c r="E468" s="50" t="str">
        <f>IF(D468="","",VLOOKUP(D468,'Product Master'!$B:$C,2,FALSE))</f>
        <v/>
      </c>
      <c r="F468" s="50" t="str">
        <f>IF(D468="","",IFERROR(VLOOKUP(D468,'Product Master'!$B:$G,3,FALSE),""))</f>
        <v/>
      </c>
      <c r="G468" s="51"/>
      <c r="H468" s="52" t="str">
        <f>IF(D468="","",VLOOKUP(D468,'Product Master'!$B:$F,5,FALSE))</f>
        <v/>
      </c>
      <c r="I468" s="52">
        <f>IFERROR(VLOOKUP(D468,'Product Master'!B:E,4,FALSE),0)</f>
        <v>0</v>
      </c>
      <c r="J468" s="53">
        <f>IFERROR(Table3[[#This Row],[QTY SOLD]]*Table3[[#This Row],[Selling Price]],0)</f>
        <v>0</v>
      </c>
      <c r="K468" s="50"/>
      <c r="L468" s="50">
        <f>Table3[[#This Row],[Total Sales]]-Table3[[#This Row],[Discount]]</f>
        <v>0</v>
      </c>
      <c r="M468" s="58">
        <f>Table3[[#This Row],[Net Sales]]-Table3[[#This Row],[Cost Price]]*Table3[[#This Row],[QTY SOLD]]</f>
        <v>0</v>
      </c>
      <c r="N468" s="25"/>
      <c r="O468" s="25"/>
      <c r="P468" s="25"/>
      <c r="Q468" s="25"/>
      <c r="R468" s="25"/>
      <c r="S468" s="25"/>
    </row>
    <row r="469" spans="1:19" x14ac:dyDescent="0.25">
      <c r="A469" s="65"/>
      <c r="B469" s="50"/>
      <c r="C469" s="50"/>
      <c r="D469" s="50"/>
      <c r="E469" s="50" t="str">
        <f>IF(D469="","",VLOOKUP(D469,'Product Master'!$B:$C,2,FALSE))</f>
        <v/>
      </c>
      <c r="F469" s="50" t="str">
        <f>IF(D469="","",IFERROR(VLOOKUP(D469,'Product Master'!$B:$G,3,FALSE),""))</f>
        <v/>
      </c>
      <c r="G469" s="51"/>
      <c r="H469" s="52" t="str">
        <f>IF(D469="","",VLOOKUP(D469,'Product Master'!$B:$F,5,FALSE))</f>
        <v/>
      </c>
      <c r="I469" s="52">
        <f>IFERROR(VLOOKUP(D469,'Product Master'!B:E,4,FALSE),0)</f>
        <v>0</v>
      </c>
      <c r="J469" s="53">
        <f>IFERROR(Table3[[#This Row],[QTY SOLD]]*Table3[[#This Row],[Selling Price]],0)</f>
        <v>0</v>
      </c>
      <c r="K469" s="50"/>
      <c r="L469" s="50">
        <f>Table3[[#This Row],[Total Sales]]-Table3[[#This Row],[Discount]]</f>
        <v>0</v>
      </c>
      <c r="M469" s="58">
        <f>Table3[[#This Row],[Net Sales]]-Table3[[#This Row],[Cost Price]]*Table3[[#This Row],[QTY SOLD]]</f>
        <v>0</v>
      </c>
      <c r="N469" s="25"/>
      <c r="O469" s="25"/>
      <c r="P469" s="25"/>
      <c r="Q469" s="25"/>
      <c r="R469" s="25"/>
      <c r="S469" s="25"/>
    </row>
    <row r="470" spans="1:19" x14ac:dyDescent="0.25">
      <c r="A470" s="65"/>
      <c r="B470" s="50"/>
      <c r="C470" s="50"/>
      <c r="D470" s="50"/>
      <c r="E470" s="50" t="str">
        <f>IF(D470="","",VLOOKUP(D470,'Product Master'!$B:$C,2,FALSE))</f>
        <v/>
      </c>
      <c r="F470" s="50" t="str">
        <f>IF(D470="","",IFERROR(VLOOKUP(D470,'Product Master'!$B:$G,3,FALSE),""))</f>
        <v/>
      </c>
      <c r="G470" s="51"/>
      <c r="H470" s="52" t="str">
        <f>IF(D470="","",VLOOKUP(D470,'Product Master'!$B:$F,5,FALSE))</f>
        <v/>
      </c>
      <c r="I470" s="52">
        <f>IFERROR(VLOOKUP(D470,'Product Master'!B:E,4,FALSE),0)</f>
        <v>0</v>
      </c>
      <c r="J470" s="53">
        <f>IFERROR(Table3[[#This Row],[QTY SOLD]]*Table3[[#This Row],[Selling Price]],0)</f>
        <v>0</v>
      </c>
      <c r="K470" s="50"/>
      <c r="L470" s="50">
        <f>Table3[[#This Row],[Total Sales]]-Table3[[#This Row],[Discount]]</f>
        <v>0</v>
      </c>
      <c r="M470" s="58">
        <f>Table3[[#This Row],[Net Sales]]-Table3[[#This Row],[Cost Price]]*Table3[[#This Row],[QTY SOLD]]</f>
        <v>0</v>
      </c>
      <c r="N470" s="25"/>
      <c r="O470" s="25"/>
      <c r="P470" s="25"/>
      <c r="Q470" s="25"/>
      <c r="R470" s="25"/>
      <c r="S470" s="25"/>
    </row>
    <row r="471" spans="1:19" x14ac:dyDescent="0.25">
      <c r="A471" s="65"/>
      <c r="B471" s="50"/>
      <c r="C471" s="50"/>
      <c r="D471" s="50"/>
      <c r="E471" s="50" t="str">
        <f>IF(D471="","",VLOOKUP(D471,'Product Master'!$B:$C,2,FALSE))</f>
        <v/>
      </c>
      <c r="F471" s="50" t="str">
        <f>IF(D471="","",IFERROR(VLOOKUP(D471,'Product Master'!$B:$G,3,FALSE),""))</f>
        <v/>
      </c>
      <c r="G471" s="51"/>
      <c r="H471" s="52" t="str">
        <f>IF(D471="","",VLOOKUP(D471,'Product Master'!$B:$F,5,FALSE))</f>
        <v/>
      </c>
      <c r="I471" s="52">
        <f>IFERROR(VLOOKUP(D471,'Product Master'!B:E,4,FALSE),0)</f>
        <v>0</v>
      </c>
      <c r="J471" s="53">
        <f>IFERROR(Table3[[#This Row],[QTY SOLD]]*Table3[[#This Row],[Selling Price]],0)</f>
        <v>0</v>
      </c>
      <c r="K471" s="50"/>
      <c r="L471" s="50">
        <f>Table3[[#This Row],[Total Sales]]-Table3[[#This Row],[Discount]]</f>
        <v>0</v>
      </c>
      <c r="M471" s="58">
        <f>Table3[[#This Row],[Net Sales]]-Table3[[#This Row],[Cost Price]]*Table3[[#This Row],[QTY SOLD]]</f>
        <v>0</v>
      </c>
      <c r="N471" s="25"/>
      <c r="O471" s="25"/>
      <c r="P471" s="25"/>
      <c r="Q471" s="25"/>
      <c r="R471" s="25"/>
      <c r="S471" s="25"/>
    </row>
    <row r="472" spans="1:19" x14ac:dyDescent="0.25">
      <c r="A472" s="65"/>
      <c r="B472" s="50"/>
      <c r="C472" s="50"/>
      <c r="D472" s="50"/>
      <c r="E472" s="50" t="str">
        <f>IF(D472="","",VLOOKUP(D472,'Product Master'!$B:$C,2,FALSE))</f>
        <v/>
      </c>
      <c r="F472" s="50" t="str">
        <f>IF(D472="","",IFERROR(VLOOKUP(D472,'Product Master'!$B:$G,3,FALSE),""))</f>
        <v/>
      </c>
      <c r="G472" s="51"/>
      <c r="H472" s="52" t="str">
        <f>IF(D472="","",VLOOKUP(D472,'Product Master'!$B:$F,5,FALSE))</f>
        <v/>
      </c>
      <c r="I472" s="52">
        <f>IFERROR(VLOOKUP(D472,'Product Master'!B:E,4,FALSE),0)</f>
        <v>0</v>
      </c>
      <c r="J472" s="53">
        <f>IFERROR(Table3[[#This Row],[QTY SOLD]]*Table3[[#This Row],[Selling Price]],0)</f>
        <v>0</v>
      </c>
      <c r="K472" s="50"/>
      <c r="L472" s="50">
        <f>Table3[[#This Row],[Total Sales]]-Table3[[#This Row],[Discount]]</f>
        <v>0</v>
      </c>
      <c r="M472" s="58">
        <f>Table3[[#This Row],[Net Sales]]-Table3[[#This Row],[Cost Price]]*Table3[[#This Row],[QTY SOLD]]</f>
        <v>0</v>
      </c>
      <c r="N472" s="25"/>
      <c r="O472" s="25"/>
      <c r="P472" s="25"/>
      <c r="Q472" s="25"/>
      <c r="R472" s="25"/>
      <c r="S472" s="25"/>
    </row>
    <row r="473" spans="1:19" x14ac:dyDescent="0.25">
      <c r="A473" s="65"/>
      <c r="B473" s="50"/>
      <c r="C473" s="50"/>
      <c r="D473" s="50"/>
      <c r="E473" s="50" t="str">
        <f>IF(D473="","",VLOOKUP(D473,'Product Master'!$B:$C,2,FALSE))</f>
        <v/>
      </c>
      <c r="F473" s="50" t="str">
        <f>IF(D473="","",IFERROR(VLOOKUP(D473,'Product Master'!$B:$G,3,FALSE),""))</f>
        <v/>
      </c>
      <c r="G473" s="51"/>
      <c r="H473" s="52" t="str">
        <f>IF(D473="","",VLOOKUP(D473,'Product Master'!$B:$F,5,FALSE))</f>
        <v/>
      </c>
      <c r="I473" s="52">
        <f>IFERROR(VLOOKUP(D473,'Product Master'!B:E,4,FALSE),0)</f>
        <v>0</v>
      </c>
      <c r="J473" s="53">
        <f>IFERROR(Table3[[#This Row],[QTY SOLD]]*Table3[[#This Row],[Selling Price]],0)</f>
        <v>0</v>
      </c>
      <c r="K473" s="50"/>
      <c r="L473" s="50">
        <f>Table3[[#This Row],[Total Sales]]-Table3[[#This Row],[Discount]]</f>
        <v>0</v>
      </c>
      <c r="M473" s="58">
        <f>Table3[[#This Row],[Net Sales]]-Table3[[#This Row],[Cost Price]]*Table3[[#This Row],[QTY SOLD]]</f>
        <v>0</v>
      </c>
      <c r="N473" s="25"/>
      <c r="O473" s="25"/>
      <c r="P473" s="25"/>
      <c r="Q473" s="25"/>
      <c r="R473" s="25"/>
      <c r="S473" s="25"/>
    </row>
    <row r="474" spans="1:19" x14ac:dyDescent="0.25">
      <c r="A474" s="65"/>
      <c r="B474" s="50"/>
      <c r="C474" s="50"/>
      <c r="D474" s="50"/>
      <c r="E474" s="50" t="str">
        <f>IF(D474="","",VLOOKUP(D474,'Product Master'!$B:$C,2,FALSE))</f>
        <v/>
      </c>
      <c r="F474" s="50" t="str">
        <f>IF(D474="","",IFERROR(VLOOKUP(D474,'Product Master'!$B:$G,3,FALSE),""))</f>
        <v/>
      </c>
      <c r="G474" s="51"/>
      <c r="H474" s="52" t="str">
        <f>IF(D474="","",VLOOKUP(D474,'Product Master'!$B:$F,5,FALSE))</f>
        <v/>
      </c>
      <c r="I474" s="52">
        <f>IFERROR(VLOOKUP(D474,'Product Master'!B:E,4,FALSE),0)</f>
        <v>0</v>
      </c>
      <c r="J474" s="53">
        <f>IFERROR(Table3[[#This Row],[QTY SOLD]]*Table3[[#This Row],[Selling Price]],0)</f>
        <v>0</v>
      </c>
      <c r="K474" s="50"/>
      <c r="L474" s="50">
        <f>Table3[[#This Row],[Total Sales]]-Table3[[#This Row],[Discount]]</f>
        <v>0</v>
      </c>
      <c r="M474" s="58">
        <f>Table3[[#This Row],[Net Sales]]-Table3[[#This Row],[Cost Price]]*Table3[[#This Row],[QTY SOLD]]</f>
        <v>0</v>
      </c>
      <c r="N474" s="25"/>
      <c r="O474" s="25"/>
      <c r="P474" s="25"/>
      <c r="Q474" s="25"/>
      <c r="R474" s="25"/>
      <c r="S474" s="25"/>
    </row>
    <row r="475" spans="1:19" x14ac:dyDescent="0.25">
      <c r="A475" s="65"/>
      <c r="B475" s="50"/>
      <c r="C475" s="50"/>
      <c r="D475" s="50"/>
      <c r="E475" s="50" t="str">
        <f>IF(D475="","",VLOOKUP(D475,'Product Master'!$B:$C,2,FALSE))</f>
        <v/>
      </c>
      <c r="F475" s="50" t="str">
        <f>IF(D475="","",IFERROR(VLOOKUP(D475,'Product Master'!$B:$G,3,FALSE),""))</f>
        <v/>
      </c>
      <c r="G475" s="51"/>
      <c r="H475" s="52" t="str">
        <f>IF(D475="","",VLOOKUP(D475,'Product Master'!$B:$F,5,FALSE))</f>
        <v/>
      </c>
      <c r="I475" s="52">
        <f>IFERROR(VLOOKUP(D475,'Product Master'!B:E,4,FALSE),0)</f>
        <v>0</v>
      </c>
      <c r="J475" s="53">
        <f>IFERROR(Table3[[#This Row],[QTY SOLD]]*Table3[[#This Row],[Selling Price]],0)</f>
        <v>0</v>
      </c>
      <c r="K475" s="50"/>
      <c r="L475" s="50">
        <f>Table3[[#This Row],[Total Sales]]-Table3[[#This Row],[Discount]]</f>
        <v>0</v>
      </c>
      <c r="M475" s="58">
        <f>Table3[[#This Row],[Net Sales]]-Table3[[#This Row],[Cost Price]]*Table3[[#This Row],[QTY SOLD]]</f>
        <v>0</v>
      </c>
      <c r="N475" s="25"/>
      <c r="O475" s="25"/>
      <c r="P475" s="25"/>
      <c r="Q475" s="25"/>
      <c r="R475" s="25"/>
      <c r="S475" s="25"/>
    </row>
    <row r="476" spans="1:19" x14ac:dyDescent="0.25">
      <c r="A476" s="65"/>
      <c r="B476" s="50"/>
      <c r="C476" s="50"/>
      <c r="D476" s="50"/>
      <c r="E476" s="50" t="str">
        <f>IF(D476="","",VLOOKUP(D476,'Product Master'!$B:$C,2,FALSE))</f>
        <v/>
      </c>
      <c r="F476" s="50" t="str">
        <f>IF(D476="","",IFERROR(VLOOKUP(D476,'Product Master'!$B:$G,3,FALSE),""))</f>
        <v/>
      </c>
      <c r="G476" s="51"/>
      <c r="H476" s="52" t="str">
        <f>IF(D476="","",VLOOKUP(D476,'Product Master'!$B:$F,5,FALSE))</f>
        <v/>
      </c>
      <c r="I476" s="52">
        <f>IFERROR(VLOOKUP(D476,'Product Master'!B:E,4,FALSE),0)</f>
        <v>0</v>
      </c>
      <c r="J476" s="53">
        <f>IFERROR(Table3[[#This Row],[QTY SOLD]]*Table3[[#This Row],[Selling Price]],0)</f>
        <v>0</v>
      </c>
      <c r="K476" s="50"/>
      <c r="L476" s="50">
        <f>Table3[[#This Row],[Total Sales]]-Table3[[#This Row],[Discount]]</f>
        <v>0</v>
      </c>
      <c r="M476" s="58">
        <f>Table3[[#This Row],[Net Sales]]-Table3[[#This Row],[Cost Price]]*Table3[[#This Row],[QTY SOLD]]</f>
        <v>0</v>
      </c>
      <c r="N476" s="25"/>
      <c r="O476" s="25"/>
      <c r="P476" s="25"/>
      <c r="Q476" s="25"/>
      <c r="R476" s="25"/>
      <c r="S476" s="25"/>
    </row>
    <row r="477" spans="1:19" x14ac:dyDescent="0.25">
      <c r="A477" s="65"/>
      <c r="B477" s="50"/>
      <c r="C477" s="50"/>
      <c r="D477" s="50"/>
      <c r="E477" s="50" t="str">
        <f>IF(D477="","",VLOOKUP(D477,'Product Master'!$B:$C,2,FALSE))</f>
        <v/>
      </c>
      <c r="F477" s="50" t="str">
        <f>IF(D477="","",IFERROR(VLOOKUP(D477,'Product Master'!$B:$G,3,FALSE),""))</f>
        <v/>
      </c>
      <c r="G477" s="51"/>
      <c r="H477" s="52" t="str">
        <f>IF(D477="","",VLOOKUP(D477,'Product Master'!$B:$F,5,FALSE))</f>
        <v/>
      </c>
      <c r="I477" s="52">
        <f>IFERROR(VLOOKUP(D477,'Product Master'!B:E,4,FALSE),0)</f>
        <v>0</v>
      </c>
      <c r="J477" s="53">
        <f>IFERROR(Table3[[#This Row],[QTY SOLD]]*Table3[[#This Row],[Selling Price]],0)</f>
        <v>0</v>
      </c>
      <c r="K477" s="50"/>
      <c r="L477" s="50">
        <f>Table3[[#This Row],[Total Sales]]-Table3[[#This Row],[Discount]]</f>
        <v>0</v>
      </c>
      <c r="M477" s="58">
        <f>Table3[[#This Row],[Net Sales]]-Table3[[#This Row],[Cost Price]]*Table3[[#This Row],[QTY SOLD]]</f>
        <v>0</v>
      </c>
      <c r="N477" s="25"/>
      <c r="O477" s="25"/>
      <c r="P477" s="25"/>
      <c r="Q477" s="25"/>
      <c r="R477" s="25"/>
      <c r="S477" s="25"/>
    </row>
    <row r="478" spans="1:19" x14ac:dyDescent="0.25">
      <c r="A478" s="65"/>
      <c r="B478" s="50"/>
      <c r="C478" s="50"/>
      <c r="D478" s="50"/>
      <c r="E478" s="50" t="str">
        <f>IF(D478="","",VLOOKUP(D478,'Product Master'!$B:$C,2,FALSE))</f>
        <v/>
      </c>
      <c r="F478" s="50" t="str">
        <f>IF(D478="","",IFERROR(VLOOKUP(D478,'Product Master'!$B:$G,3,FALSE),""))</f>
        <v/>
      </c>
      <c r="G478" s="51"/>
      <c r="H478" s="52" t="str">
        <f>IF(D478="","",VLOOKUP(D478,'Product Master'!$B:$F,5,FALSE))</f>
        <v/>
      </c>
      <c r="I478" s="52">
        <f>IFERROR(VLOOKUP(D478,'Product Master'!B:E,4,FALSE),0)</f>
        <v>0</v>
      </c>
      <c r="J478" s="53">
        <f>IFERROR(Table3[[#This Row],[QTY SOLD]]*Table3[[#This Row],[Selling Price]],0)</f>
        <v>0</v>
      </c>
      <c r="K478" s="50"/>
      <c r="L478" s="50">
        <f>Table3[[#This Row],[Total Sales]]-Table3[[#This Row],[Discount]]</f>
        <v>0</v>
      </c>
      <c r="M478" s="58">
        <f>Table3[[#This Row],[Net Sales]]-Table3[[#This Row],[Cost Price]]*Table3[[#This Row],[QTY SOLD]]</f>
        <v>0</v>
      </c>
      <c r="N478" s="25"/>
      <c r="O478" s="25"/>
      <c r="P478" s="25"/>
      <c r="Q478" s="25"/>
      <c r="R478" s="25"/>
      <c r="S478" s="25"/>
    </row>
    <row r="479" spans="1:19" x14ac:dyDescent="0.25">
      <c r="A479" s="65"/>
      <c r="B479" s="50"/>
      <c r="C479" s="50"/>
      <c r="D479" s="50"/>
      <c r="E479" s="50" t="str">
        <f>IF(D479="","",VLOOKUP(D479,'Product Master'!$B:$C,2,FALSE))</f>
        <v/>
      </c>
      <c r="F479" s="50" t="str">
        <f>IF(D479="","",IFERROR(VLOOKUP(D479,'Product Master'!$B:$G,3,FALSE),""))</f>
        <v/>
      </c>
      <c r="G479" s="51"/>
      <c r="H479" s="52" t="str">
        <f>IF(D479="","",VLOOKUP(D479,'Product Master'!$B:$F,5,FALSE))</f>
        <v/>
      </c>
      <c r="I479" s="52">
        <f>IFERROR(VLOOKUP(D479,'Product Master'!B:E,4,FALSE),0)</f>
        <v>0</v>
      </c>
      <c r="J479" s="53">
        <f>IFERROR(Table3[[#This Row],[QTY SOLD]]*Table3[[#This Row],[Selling Price]],0)</f>
        <v>0</v>
      </c>
      <c r="K479" s="50"/>
      <c r="L479" s="50">
        <f>Table3[[#This Row],[Total Sales]]-Table3[[#This Row],[Discount]]</f>
        <v>0</v>
      </c>
      <c r="M479" s="58">
        <f>Table3[[#This Row],[Net Sales]]-Table3[[#This Row],[Cost Price]]*Table3[[#This Row],[QTY SOLD]]</f>
        <v>0</v>
      </c>
      <c r="N479" s="25"/>
      <c r="O479" s="25"/>
      <c r="P479" s="25"/>
      <c r="Q479" s="25"/>
      <c r="R479" s="25"/>
      <c r="S479" s="25"/>
    </row>
    <row r="480" spans="1:19" x14ac:dyDescent="0.25">
      <c r="A480" s="65"/>
      <c r="B480" s="50"/>
      <c r="C480" s="50"/>
      <c r="D480" s="50"/>
      <c r="E480" s="50" t="str">
        <f>IF(D480="","",VLOOKUP(D480,'Product Master'!$B:$C,2,FALSE))</f>
        <v/>
      </c>
      <c r="F480" s="50" t="str">
        <f>IF(D480="","",IFERROR(VLOOKUP(D480,'Product Master'!$B:$G,3,FALSE),""))</f>
        <v/>
      </c>
      <c r="G480" s="51"/>
      <c r="H480" s="52" t="str">
        <f>IF(D480="","",VLOOKUP(D480,'Product Master'!$B:$F,5,FALSE))</f>
        <v/>
      </c>
      <c r="I480" s="52">
        <f>IFERROR(VLOOKUP(D480,'Product Master'!B:E,4,FALSE),0)</f>
        <v>0</v>
      </c>
      <c r="J480" s="53">
        <f>IFERROR(Table3[[#This Row],[QTY SOLD]]*Table3[[#This Row],[Selling Price]],0)</f>
        <v>0</v>
      </c>
      <c r="K480" s="50"/>
      <c r="L480" s="50">
        <f>Table3[[#This Row],[Total Sales]]-Table3[[#This Row],[Discount]]</f>
        <v>0</v>
      </c>
      <c r="M480" s="58">
        <f>Table3[[#This Row],[Net Sales]]-Table3[[#This Row],[Cost Price]]*Table3[[#This Row],[QTY SOLD]]</f>
        <v>0</v>
      </c>
      <c r="N480" s="25"/>
      <c r="O480" s="25"/>
      <c r="P480" s="25"/>
      <c r="Q480" s="25"/>
      <c r="R480" s="25"/>
      <c r="S480" s="25"/>
    </row>
    <row r="481" spans="1:19" x14ac:dyDescent="0.25">
      <c r="A481" s="65"/>
      <c r="B481" s="50"/>
      <c r="C481" s="50"/>
      <c r="D481" s="50"/>
      <c r="E481" s="50" t="str">
        <f>IF(D481="","",VLOOKUP(D481,'Product Master'!$B:$C,2,FALSE))</f>
        <v/>
      </c>
      <c r="F481" s="50" t="str">
        <f>IF(D481="","",IFERROR(VLOOKUP(D481,'Product Master'!$B:$G,3,FALSE),""))</f>
        <v/>
      </c>
      <c r="G481" s="51"/>
      <c r="H481" s="52" t="str">
        <f>IF(D481="","",VLOOKUP(D481,'Product Master'!$B:$F,5,FALSE))</f>
        <v/>
      </c>
      <c r="I481" s="52">
        <f>IFERROR(VLOOKUP(D481,'Product Master'!B:E,4,FALSE),0)</f>
        <v>0</v>
      </c>
      <c r="J481" s="53">
        <f>IFERROR(Table3[[#This Row],[QTY SOLD]]*Table3[[#This Row],[Selling Price]],0)</f>
        <v>0</v>
      </c>
      <c r="K481" s="50"/>
      <c r="L481" s="50">
        <f>Table3[[#This Row],[Total Sales]]-Table3[[#This Row],[Discount]]</f>
        <v>0</v>
      </c>
      <c r="M481" s="58">
        <f>Table3[[#This Row],[Net Sales]]-Table3[[#This Row],[Cost Price]]*Table3[[#This Row],[QTY SOLD]]</f>
        <v>0</v>
      </c>
      <c r="N481" s="25"/>
      <c r="O481" s="25"/>
      <c r="P481" s="25"/>
      <c r="Q481" s="25"/>
      <c r="R481" s="25"/>
      <c r="S481" s="25"/>
    </row>
    <row r="482" spans="1:19" x14ac:dyDescent="0.25">
      <c r="A482" s="65"/>
      <c r="B482" s="50"/>
      <c r="C482" s="50"/>
      <c r="D482" s="50"/>
      <c r="E482" s="50" t="str">
        <f>IF(D482="","",VLOOKUP(D482,'Product Master'!$B:$C,2,FALSE))</f>
        <v/>
      </c>
      <c r="F482" s="50" t="str">
        <f>IF(D482="","",IFERROR(VLOOKUP(D482,'Product Master'!$B:$G,3,FALSE),""))</f>
        <v/>
      </c>
      <c r="G482" s="51"/>
      <c r="H482" s="52" t="str">
        <f>IF(D482="","",VLOOKUP(D482,'Product Master'!$B:$F,5,FALSE))</f>
        <v/>
      </c>
      <c r="I482" s="52">
        <f>IFERROR(VLOOKUP(D482,'Product Master'!B:E,4,FALSE),0)</f>
        <v>0</v>
      </c>
      <c r="J482" s="53">
        <f>IFERROR(Table3[[#This Row],[QTY SOLD]]*Table3[[#This Row],[Selling Price]],0)</f>
        <v>0</v>
      </c>
      <c r="K482" s="50"/>
      <c r="L482" s="50">
        <f>Table3[[#This Row],[Total Sales]]-Table3[[#This Row],[Discount]]</f>
        <v>0</v>
      </c>
      <c r="M482" s="58">
        <f>Table3[[#This Row],[Net Sales]]-Table3[[#This Row],[Cost Price]]*Table3[[#This Row],[QTY SOLD]]</f>
        <v>0</v>
      </c>
      <c r="N482" s="25"/>
      <c r="O482" s="25"/>
      <c r="P482" s="25"/>
      <c r="Q482" s="25"/>
      <c r="R482" s="25"/>
      <c r="S482" s="25"/>
    </row>
    <row r="483" spans="1:19" x14ac:dyDescent="0.25">
      <c r="A483" s="65"/>
      <c r="B483" s="50"/>
      <c r="C483" s="50"/>
      <c r="D483" s="50"/>
      <c r="E483" s="50" t="str">
        <f>IF(D483="","",VLOOKUP(D483,'Product Master'!$B:$C,2,FALSE))</f>
        <v/>
      </c>
      <c r="F483" s="50" t="str">
        <f>IF(D483="","",IFERROR(VLOOKUP(D483,'Product Master'!$B:$G,3,FALSE),""))</f>
        <v/>
      </c>
      <c r="G483" s="51"/>
      <c r="H483" s="52" t="str">
        <f>IF(D483="","",VLOOKUP(D483,'Product Master'!$B:$F,5,FALSE))</f>
        <v/>
      </c>
      <c r="I483" s="52">
        <f>IFERROR(VLOOKUP(D483,'Product Master'!B:E,4,FALSE),0)</f>
        <v>0</v>
      </c>
      <c r="J483" s="53">
        <f>IFERROR(Table3[[#This Row],[QTY SOLD]]*Table3[[#This Row],[Selling Price]],0)</f>
        <v>0</v>
      </c>
      <c r="K483" s="50"/>
      <c r="L483" s="50">
        <f>Table3[[#This Row],[Total Sales]]-Table3[[#This Row],[Discount]]</f>
        <v>0</v>
      </c>
      <c r="M483" s="58">
        <f>Table3[[#This Row],[Net Sales]]-Table3[[#This Row],[Cost Price]]*Table3[[#This Row],[QTY SOLD]]</f>
        <v>0</v>
      </c>
      <c r="N483" s="25"/>
      <c r="O483" s="25"/>
      <c r="P483" s="25"/>
      <c r="Q483" s="25"/>
      <c r="R483" s="25"/>
      <c r="S483" s="25"/>
    </row>
    <row r="484" spans="1:19" x14ac:dyDescent="0.25">
      <c r="A484" s="65"/>
      <c r="B484" s="50"/>
      <c r="C484" s="50"/>
      <c r="D484" s="50"/>
      <c r="E484" s="50" t="str">
        <f>IF(D484="","",VLOOKUP(D484,'Product Master'!$B:$C,2,FALSE))</f>
        <v/>
      </c>
      <c r="F484" s="50" t="str">
        <f>IF(D484="","",IFERROR(VLOOKUP(D484,'Product Master'!$B:$G,3,FALSE),""))</f>
        <v/>
      </c>
      <c r="G484" s="51"/>
      <c r="H484" s="52" t="str">
        <f>IF(D484="","",VLOOKUP(D484,'Product Master'!$B:$F,5,FALSE))</f>
        <v/>
      </c>
      <c r="I484" s="52">
        <f>IFERROR(VLOOKUP(D484,'Product Master'!B:E,4,FALSE),0)</f>
        <v>0</v>
      </c>
      <c r="J484" s="53">
        <f>IFERROR(Table3[[#This Row],[QTY SOLD]]*Table3[[#This Row],[Selling Price]],0)</f>
        <v>0</v>
      </c>
      <c r="K484" s="50"/>
      <c r="L484" s="50">
        <f>Table3[[#This Row],[Total Sales]]-Table3[[#This Row],[Discount]]</f>
        <v>0</v>
      </c>
      <c r="M484" s="58">
        <f>Table3[[#This Row],[Net Sales]]-Table3[[#This Row],[Cost Price]]*Table3[[#This Row],[QTY SOLD]]</f>
        <v>0</v>
      </c>
      <c r="N484" s="25"/>
      <c r="O484" s="25"/>
      <c r="P484" s="25"/>
      <c r="Q484" s="25"/>
      <c r="R484" s="25"/>
      <c r="S484" s="25"/>
    </row>
    <row r="485" spans="1:19" x14ac:dyDescent="0.25">
      <c r="A485" s="65"/>
      <c r="B485" s="50"/>
      <c r="C485" s="50"/>
      <c r="D485" s="50"/>
      <c r="E485" s="50" t="str">
        <f>IF(D485="","",VLOOKUP(D485,'Product Master'!$B:$C,2,FALSE))</f>
        <v/>
      </c>
      <c r="F485" s="50" t="str">
        <f>IF(D485="","",IFERROR(VLOOKUP(D485,'Product Master'!$B:$G,3,FALSE),""))</f>
        <v/>
      </c>
      <c r="G485" s="51"/>
      <c r="H485" s="52" t="str">
        <f>IF(D485="","",VLOOKUP(D485,'Product Master'!$B:$F,5,FALSE))</f>
        <v/>
      </c>
      <c r="I485" s="52">
        <f>IFERROR(VLOOKUP(D485,'Product Master'!B:E,4,FALSE),0)</f>
        <v>0</v>
      </c>
      <c r="J485" s="53">
        <f>IFERROR(Table3[[#This Row],[QTY SOLD]]*Table3[[#This Row],[Selling Price]],0)</f>
        <v>0</v>
      </c>
      <c r="K485" s="50"/>
      <c r="L485" s="50">
        <f>Table3[[#This Row],[Total Sales]]-Table3[[#This Row],[Discount]]</f>
        <v>0</v>
      </c>
      <c r="M485" s="58">
        <f>Table3[[#This Row],[Net Sales]]-Table3[[#This Row],[Cost Price]]*Table3[[#This Row],[QTY SOLD]]</f>
        <v>0</v>
      </c>
      <c r="N485" s="25"/>
      <c r="O485" s="25"/>
      <c r="P485" s="25"/>
      <c r="Q485" s="25"/>
      <c r="R485" s="25"/>
      <c r="S485" s="25"/>
    </row>
    <row r="486" spans="1:19" x14ac:dyDescent="0.25">
      <c r="A486" s="65"/>
      <c r="B486" s="50"/>
      <c r="C486" s="50"/>
      <c r="D486" s="50"/>
      <c r="E486" s="50" t="str">
        <f>IF(D486="","",VLOOKUP(D486,'Product Master'!$B:$C,2,FALSE))</f>
        <v/>
      </c>
      <c r="F486" s="50" t="str">
        <f>IF(D486="","",IFERROR(VLOOKUP(D486,'Product Master'!$B:$G,3,FALSE),""))</f>
        <v/>
      </c>
      <c r="G486" s="51"/>
      <c r="H486" s="52" t="str">
        <f>IF(D486="","",VLOOKUP(D486,'Product Master'!$B:$F,5,FALSE))</f>
        <v/>
      </c>
      <c r="I486" s="52">
        <f>IFERROR(VLOOKUP(D486,'Product Master'!B:E,4,FALSE),0)</f>
        <v>0</v>
      </c>
      <c r="J486" s="53">
        <f>IFERROR(Table3[[#This Row],[QTY SOLD]]*Table3[[#This Row],[Selling Price]],0)</f>
        <v>0</v>
      </c>
      <c r="K486" s="50"/>
      <c r="L486" s="50">
        <f>Table3[[#This Row],[Total Sales]]-Table3[[#This Row],[Discount]]</f>
        <v>0</v>
      </c>
      <c r="M486" s="58">
        <f>Table3[[#This Row],[Net Sales]]-Table3[[#This Row],[Cost Price]]*Table3[[#This Row],[QTY SOLD]]</f>
        <v>0</v>
      </c>
      <c r="N486" s="25"/>
      <c r="O486" s="25"/>
      <c r="P486" s="25"/>
      <c r="Q486" s="25"/>
      <c r="R486" s="25"/>
      <c r="S486" s="25"/>
    </row>
    <row r="487" spans="1:19" x14ac:dyDescent="0.25">
      <c r="A487" s="65"/>
      <c r="B487" s="50"/>
      <c r="C487" s="50"/>
      <c r="D487" s="50"/>
      <c r="E487" s="50" t="str">
        <f>IF(D487="","",VLOOKUP(D487,'Product Master'!$B:$C,2,FALSE))</f>
        <v/>
      </c>
      <c r="F487" s="50" t="str">
        <f>IF(D487="","",IFERROR(VLOOKUP(D487,'Product Master'!$B:$G,3,FALSE),""))</f>
        <v/>
      </c>
      <c r="G487" s="51"/>
      <c r="H487" s="52" t="str">
        <f>IF(D487="","",VLOOKUP(D487,'Product Master'!$B:$F,5,FALSE))</f>
        <v/>
      </c>
      <c r="I487" s="52">
        <f>IFERROR(VLOOKUP(D487,'Product Master'!B:E,4,FALSE),0)</f>
        <v>0</v>
      </c>
      <c r="J487" s="53">
        <f>IFERROR(Table3[[#This Row],[QTY SOLD]]*Table3[[#This Row],[Selling Price]],0)</f>
        <v>0</v>
      </c>
      <c r="K487" s="50"/>
      <c r="L487" s="50">
        <f>Table3[[#This Row],[Total Sales]]-Table3[[#This Row],[Discount]]</f>
        <v>0</v>
      </c>
      <c r="M487" s="58">
        <f>Table3[[#This Row],[Net Sales]]-Table3[[#This Row],[Cost Price]]*Table3[[#This Row],[QTY SOLD]]</f>
        <v>0</v>
      </c>
      <c r="N487" s="25"/>
      <c r="O487" s="25"/>
      <c r="P487" s="25"/>
      <c r="Q487" s="25"/>
      <c r="R487" s="25"/>
      <c r="S487" s="25"/>
    </row>
    <row r="488" spans="1:19" x14ac:dyDescent="0.25">
      <c r="A488" s="65"/>
      <c r="B488" s="50"/>
      <c r="C488" s="50"/>
      <c r="D488" s="50"/>
      <c r="E488" s="50" t="str">
        <f>IF(D488="","",VLOOKUP(D488,'Product Master'!$B:$C,2,FALSE))</f>
        <v/>
      </c>
      <c r="F488" s="50" t="str">
        <f>IF(D488="","",IFERROR(VLOOKUP(D488,'Product Master'!$B:$G,3,FALSE),""))</f>
        <v/>
      </c>
      <c r="G488" s="51"/>
      <c r="H488" s="52" t="str">
        <f>IF(D488="","",VLOOKUP(D488,'Product Master'!$B:$F,5,FALSE))</f>
        <v/>
      </c>
      <c r="I488" s="52">
        <f>IFERROR(VLOOKUP(D488,'Product Master'!B:E,4,FALSE),0)</f>
        <v>0</v>
      </c>
      <c r="J488" s="53">
        <f>IFERROR(Table3[[#This Row],[QTY SOLD]]*Table3[[#This Row],[Selling Price]],0)</f>
        <v>0</v>
      </c>
      <c r="K488" s="50"/>
      <c r="L488" s="50">
        <f>Table3[[#This Row],[Total Sales]]-Table3[[#This Row],[Discount]]</f>
        <v>0</v>
      </c>
      <c r="M488" s="58">
        <f>Table3[[#This Row],[Net Sales]]-Table3[[#This Row],[Cost Price]]*Table3[[#This Row],[QTY SOLD]]</f>
        <v>0</v>
      </c>
      <c r="N488" s="25"/>
      <c r="O488" s="25"/>
      <c r="P488" s="25"/>
      <c r="Q488" s="25"/>
      <c r="R488" s="25"/>
      <c r="S488" s="25"/>
    </row>
    <row r="489" spans="1:19" x14ac:dyDescent="0.25">
      <c r="A489" s="65"/>
      <c r="B489" s="50"/>
      <c r="C489" s="50"/>
      <c r="D489" s="50"/>
      <c r="E489" s="50" t="str">
        <f>IF(D489="","",VLOOKUP(D489,'Product Master'!$B:$C,2,FALSE))</f>
        <v/>
      </c>
      <c r="F489" s="50" t="str">
        <f>IF(D489="","",IFERROR(VLOOKUP(D489,'Product Master'!$B:$G,3,FALSE),""))</f>
        <v/>
      </c>
      <c r="G489" s="51"/>
      <c r="H489" s="52" t="str">
        <f>IF(D489="","",VLOOKUP(D489,'Product Master'!$B:$F,5,FALSE))</f>
        <v/>
      </c>
      <c r="I489" s="52">
        <f>IFERROR(VLOOKUP(D489,'Product Master'!B:E,4,FALSE),0)</f>
        <v>0</v>
      </c>
      <c r="J489" s="53">
        <f>IFERROR(Table3[[#This Row],[QTY SOLD]]*Table3[[#This Row],[Selling Price]],0)</f>
        <v>0</v>
      </c>
      <c r="K489" s="50"/>
      <c r="L489" s="50">
        <f>Table3[[#This Row],[Total Sales]]-Table3[[#This Row],[Discount]]</f>
        <v>0</v>
      </c>
      <c r="M489" s="58">
        <f>Table3[[#This Row],[Net Sales]]-Table3[[#This Row],[Cost Price]]*Table3[[#This Row],[QTY SOLD]]</f>
        <v>0</v>
      </c>
      <c r="N489" s="25"/>
      <c r="O489" s="25"/>
      <c r="P489" s="25"/>
      <c r="Q489" s="25"/>
      <c r="R489" s="25"/>
      <c r="S489" s="25"/>
    </row>
    <row r="490" spans="1:19" x14ac:dyDescent="0.25">
      <c r="A490" s="65"/>
      <c r="B490" s="50"/>
      <c r="C490" s="50"/>
      <c r="D490" s="50"/>
      <c r="E490" s="50" t="str">
        <f>IF(D490="","",VLOOKUP(D490,'Product Master'!$B:$C,2,FALSE))</f>
        <v/>
      </c>
      <c r="F490" s="50" t="str">
        <f>IF(D490="","",IFERROR(VLOOKUP(D490,'Product Master'!$B:$G,3,FALSE),""))</f>
        <v/>
      </c>
      <c r="G490" s="51"/>
      <c r="H490" s="52" t="str">
        <f>IF(D490="","",VLOOKUP(D490,'Product Master'!$B:$F,5,FALSE))</f>
        <v/>
      </c>
      <c r="I490" s="52">
        <f>IFERROR(VLOOKUP(D490,'Product Master'!B:E,4,FALSE),0)</f>
        <v>0</v>
      </c>
      <c r="J490" s="53">
        <f>IFERROR(Table3[[#This Row],[QTY SOLD]]*Table3[[#This Row],[Selling Price]],0)</f>
        <v>0</v>
      </c>
      <c r="K490" s="50"/>
      <c r="L490" s="50">
        <f>Table3[[#This Row],[Total Sales]]-Table3[[#This Row],[Discount]]</f>
        <v>0</v>
      </c>
      <c r="M490" s="58">
        <f>Table3[[#This Row],[Net Sales]]-Table3[[#This Row],[Cost Price]]*Table3[[#This Row],[QTY SOLD]]</f>
        <v>0</v>
      </c>
      <c r="N490" s="25"/>
      <c r="O490" s="25"/>
      <c r="P490" s="25"/>
      <c r="Q490" s="25"/>
      <c r="R490" s="25"/>
      <c r="S490" s="25"/>
    </row>
    <row r="491" spans="1:19" x14ac:dyDescent="0.25">
      <c r="A491" s="65"/>
      <c r="B491" s="50"/>
      <c r="C491" s="50"/>
      <c r="D491" s="50"/>
      <c r="E491" s="50" t="str">
        <f>IF(D491="","",VLOOKUP(D491,'Product Master'!$B:$C,2,FALSE))</f>
        <v/>
      </c>
      <c r="F491" s="50" t="str">
        <f>IF(D491="","",IFERROR(VLOOKUP(D491,'Product Master'!$B:$G,3,FALSE),""))</f>
        <v/>
      </c>
      <c r="G491" s="51"/>
      <c r="H491" s="52" t="str">
        <f>IF(D491="","",VLOOKUP(D491,'Product Master'!$B:$F,5,FALSE))</f>
        <v/>
      </c>
      <c r="I491" s="52">
        <f>IFERROR(VLOOKUP(D491,'Product Master'!B:E,4,FALSE),0)</f>
        <v>0</v>
      </c>
      <c r="J491" s="53">
        <f>IFERROR(Table3[[#This Row],[QTY SOLD]]*Table3[[#This Row],[Selling Price]],0)</f>
        <v>0</v>
      </c>
      <c r="K491" s="50"/>
      <c r="L491" s="50">
        <f>Table3[[#This Row],[Total Sales]]-Table3[[#This Row],[Discount]]</f>
        <v>0</v>
      </c>
      <c r="M491" s="58">
        <f>Table3[[#This Row],[Net Sales]]-Table3[[#This Row],[Cost Price]]*Table3[[#This Row],[QTY SOLD]]</f>
        <v>0</v>
      </c>
      <c r="N491" s="25"/>
      <c r="O491" s="25"/>
      <c r="P491" s="25"/>
      <c r="Q491" s="25"/>
      <c r="R491" s="25"/>
      <c r="S491" s="25"/>
    </row>
    <row r="492" spans="1:19" x14ac:dyDescent="0.25">
      <c r="A492" s="65"/>
      <c r="B492" s="50"/>
      <c r="C492" s="50"/>
      <c r="D492" s="50"/>
      <c r="E492" s="50" t="str">
        <f>IF(D492="","",VLOOKUP(D492,'Product Master'!$B:$C,2,FALSE))</f>
        <v/>
      </c>
      <c r="F492" s="50" t="str">
        <f>IF(D492="","",IFERROR(VLOOKUP(D492,'Product Master'!$B:$G,3,FALSE),""))</f>
        <v/>
      </c>
      <c r="G492" s="51"/>
      <c r="H492" s="52" t="str">
        <f>IF(D492="","",VLOOKUP(D492,'Product Master'!$B:$F,5,FALSE))</f>
        <v/>
      </c>
      <c r="I492" s="52">
        <f>IFERROR(VLOOKUP(D492,'Product Master'!B:E,4,FALSE),0)</f>
        <v>0</v>
      </c>
      <c r="J492" s="53">
        <f>IFERROR(Table3[[#This Row],[QTY SOLD]]*Table3[[#This Row],[Selling Price]],0)</f>
        <v>0</v>
      </c>
      <c r="K492" s="50"/>
      <c r="L492" s="50">
        <f>Table3[[#This Row],[Total Sales]]-Table3[[#This Row],[Discount]]</f>
        <v>0</v>
      </c>
      <c r="M492" s="58">
        <f>Table3[[#This Row],[Net Sales]]-Table3[[#This Row],[Cost Price]]*Table3[[#This Row],[QTY SOLD]]</f>
        <v>0</v>
      </c>
      <c r="N492" s="25"/>
      <c r="O492" s="25"/>
      <c r="P492" s="25"/>
      <c r="Q492" s="25"/>
      <c r="R492" s="25"/>
      <c r="S492" s="25"/>
    </row>
    <row r="493" spans="1:19" x14ac:dyDescent="0.25">
      <c r="A493" s="65"/>
      <c r="B493" s="50"/>
      <c r="C493" s="50"/>
      <c r="D493" s="50"/>
      <c r="E493" s="50" t="str">
        <f>IF(D493="","",VLOOKUP(D493,'Product Master'!$B:$C,2,FALSE))</f>
        <v/>
      </c>
      <c r="F493" s="50" t="str">
        <f>IF(D493="","",IFERROR(VLOOKUP(D493,'Product Master'!$B:$G,3,FALSE),""))</f>
        <v/>
      </c>
      <c r="G493" s="51"/>
      <c r="H493" s="52" t="str">
        <f>IF(D493="","",VLOOKUP(D493,'Product Master'!$B:$F,5,FALSE))</f>
        <v/>
      </c>
      <c r="I493" s="52">
        <f>IFERROR(VLOOKUP(D493,'Product Master'!B:E,4,FALSE),0)</f>
        <v>0</v>
      </c>
      <c r="J493" s="53">
        <f>IFERROR(Table3[[#This Row],[QTY SOLD]]*Table3[[#This Row],[Selling Price]],0)</f>
        <v>0</v>
      </c>
      <c r="K493" s="50"/>
      <c r="L493" s="50">
        <f>Table3[[#This Row],[Total Sales]]-Table3[[#This Row],[Discount]]</f>
        <v>0</v>
      </c>
      <c r="M493" s="58">
        <f>Table3[[#This Row],[Net Sales]]-Table3[[#This Row],[Cost Price]]*Table3[[#This Row],[QTY SOLD]]</f>
        <v>0</v>
      </c>
      <c r="N493" s="25"/>
      <c r="O493" s="25"/>
      <c r="P493" s="25"/>
      <c r="Q493" s="25"/>
      <c r="R493" s="25"/>
      <c r="S493" s="25"/>
    </row>
    <row r="494" spans="1:19" x14ac:dyDescent="0.25">
      <c r="A494" s="65"/>
      <c r="B494" s="50"/>
      <c r="C494" s="50"/>
      <c r="D494" s="50"/>
      <c r="E494" s="50" t="str">
        <f>IF(D494="","",VLOOKUP(D494,'Product Master'!$B:$C,2,FALSE))</f>
        <v/>
      </c>
      <c r="F494" s="50" t="str">
        <f>IF(D494="","",IFERROR(VLOOKUP(D494,'Product Master'!$B:$G,3,FALSE),""))</f>
        <v/>
      </c>
      <c r="G494" s="51"/>
      <c r="H494" s="52" t="str">
        <f>IF(D494="","",VLOOKUP(D494,'Product Master'!$B:$F,5,FALSE))</f>
        <v/>
      </c>
      <c r="I494" s="52">
        <f>IFERROR(VLOOKUP(D494,'Product Master'!B:E,4,FALSE),0)</f>
        <v>0</v>
      </c>
      <c r="J494" s="53">
        <f>IFERROR(Table3[[#This Row],[QTY SOLD]]*Table3[[#This Row],[Selling Price]],0)</f>
        <v>0</v>
      </c>
      <c r="K494" s="50"/>
      <c r="L494" s="50">
        <f>Table3[[#This Row],[Total Sales]]-Table3[[#This Row],[Discount]]</f>
        <v>0</v>
      </c>
      <c r="M494" s="58">
        <f>Table3[[#This Row],[Net Sales]]-Table3[[#This Row],[Cost Price]]*Table3[[#This Row],[QTY SOLD]]</f>
        <v>0</v>
      </c>
      <c r="N494" s="25"/>
      <c r="O494" s="25"/>
      <c r="P494" s="25"/>
      <c r="Q494" s="25"/>
      <c r="R494" s="25"/>
      <c r="S494" s="25"/>
    </row>
    <row r="495" spans="1:19" x14ac:dyDescent="0.25">
      <c r="A495" s="65"/>
      <c r="B495" s="50"/>
      <c r="C495" s="50"/>
      <c r="D495" s="50"/>
      <c r="E495" s="50" t="str">
        <f>IF(D495="","",VLOOKUP(D495,'Product Master'!$B:$C,2,FALSE))</f>
        <v/>
      </c>
      <c r="F495" s="50" t="str">
        <f>IF(D495="","",IFERROR(VLOOKUP(D495,'Product Master'!$B:$G,3,FALSE),""))</f>
        <v/>
      </c>
      <c r="G495" s="51"/>
      <c r="H495" s="52" t="str">
        <f>IF(D495="","",VLOOKUP(D495,'Product Master'!$B:$F,5,FALSE))</f>
        <v/>
      </c>
      <c r="I495" s="52">
        <f>IFERROR(VLOOKUP(D495,'Product Master'!B:E,4,FALSE),0)</f>
        <v>0</v>
      </c>
      <c r="J495" s="53">
        <f>IFERROR(Table3[[#This Row],[QTY SOLD]]*Table3[[#This Row],[Selling Price]],0)</f>
        <v>0</v>
      </c>
      <c r="K495" s="50"/>
      <c r="L495" s="50">
        <f>Table3[[#This Row],[Total Sales]]-Table3[[#This Row],[Discount]]</f>
        <v>0</v>
      </c>
      <c r="M495" s="58">
        <f>Table3[[#This Row],[Net Sales]]-Table3[[#This Row],[Cost Price]]*Table3[[#This Row],[QTY SOLD]]</f>
        <v>0</v>
      </c>
      <c r="N495" s="25"/>
      <c r="O495" s="25"/>
      <c r="P495" s="25"/>
      <c r="Q495" s="25"/>
      <c r="R495" s="25"/>
      <c r="S495" s="25"/>
    </row>
    <row r="496" spans="1:19" x14ac:dyDescent="0.25">
      <c r="A496" s="65"/>
      <c r="B496" s="50"/>
      <c r="C496" s="50"/>
      <c r="D496" s="50"/>
      <c r="E496" s="50" t="str">
        <f>IF(D496="","",VLOOKUP(D496,'Product Master'!$B:$C,2,FALSE))</f>
        <v/>
      </c>
      <c r="F496" s="50" t="str">
        <f>IF(D496="","",IFERROR(VLOOKUP(D496,'Product Master'!$B:$G,3,FALSE),""))</f>
        <v/>
      </c>
      <c r="G496" s="51"/>
      <c r="H496" s="52" t="str">
        <f>IF(D496="","",VLOOKUP(D496,'Product Master'!$B:$F,5,FALSE))</f>
        <v/>
      </c>
      <c r="I496" s="52">
        <f>IFERROR(VLOOKUP(D496,'Product Master'!B:E,4,FALSE),0)</f>
        <v>0</v>
      </c>
      <c r="J496" s="53">
        <f>IFERROR(Table3[[#This Row],[QTY SOLD]]*Table3[[#This Row],[Selling Price]],0)</f>
        <v>0</v>
      </c>
      <c r="K496" s="50"/>
      <c r="L496" s="50">
        <f>Table3[[#This Row],[Total Sales]]-Table3[[#This Row],[Discount]]</f>
        <v>0</v>
      </c>
      <c r="M496" s="58">
        <f>Table3[[#This Row],[Net Sales]]-Table3[[#This Row],[Cost Price]]*Table3[[#This Row],[QTY SOLD]]</f>
        <v>0</v>
      </c>
      <c r="N496" s="25"/>
      <c r="O496" s="25"/>
      <c r="P496" s="25"/>
      <c r="Q496" s="25"/>
      <c r="R496" s="25"/>
      <c r="S496" s="25"/>
    </row>
    <row r="497" spans="1:19" x14ac:dyDescent="0.25">
      <c r="A497" s="65"/>
      <c r="B497" s="50"/>
      <c r="C497" s="50"/>
      <c r="D497" s="50"/>
      <c r="E497" s="50" t="str">
        <f>IF(D497="","",VLOOKUP(D497,'Product Master'!$B:$C,2,FALSE))</f>
        <v/>
      </c>
      <c r="F497" s="50" t="str">
        <f>IF(D497="","",IFERROR(VLOOKUP(D497,'Product Master'!$B:$G,3,FALSE),""))</f>
        <v/>
      </c>
      <c r="G497" s="51"/>
      <c r="H497" s="52" t="str">
        <f>IF(D497="","",VLOOKUP(D497,'Product Master'!$B:$F,5,FALSE))</f>
        <v/>
      </c>
      <c r="I497" s="52">
        <f>IFERROR(VLOOKUP(D497,'Product Master'!B:E,4,FALSE),0)</f>
        <v>0</v>
      </c>
      <c r="J497" s="53">
        <f>IFERROR(Table3[[#This Row],[QTY SOLD]]*Table3[[#This Row],[Selling Price]],0)</f>
        <v>0</v>
      </c>
      <c r="K497" s="50"/>
      <c r="L497" s="50">
        <f>Table3[[#This Row],[Total Sales]]-Table3[[#This Row],[Discount]]</f>
        <v>0</v>
      </c>
      <c r="M497" s="58">
        <f>Table3[[#This Row],[Net Sales]]-Table3[[#This Row],[Cost Price]]*Table3[[#This Row],[QTY SOLD]]</f>
        <v>0</v>
      </c>
      <c r="N497" s="25"/>
      <c r="O497" s="25"/>
      <c r="P497" s="25"/>
      <c r="Q497" s="25"/>
      <c r="R497" s="25"/>
      <c r="S497" s="25"/>
    </row>
    <row r="498" spans="1:19" x14ac:dyDescent="0.25">
      <c r="A498" s="65"/>
      <c r="B498" s="50"/>
      <c r="C498" s="50"/>
      <c r="D498" s="50"/>
      <c r="E498" s="50" t="str">
        <f>IF(D498="","",VLOOKUP(D498,'Product Master'!$B:$C,2,FALSE))</f>
        <v/>
      </c>
      <c r="F498" s="50" t="str">
        <f>IF(D498="","",IFERROR(VLOOKUP(D498,'Product Master'!$B:$G,3,FALSE),""))</f>
        <v/>
      </c>
      <c r="G498" s="51"/>
      <c r="H498" s="52" t="str">
        <f>IF(D498="","",VLOOKUP(D498,'Product Master'!$B:$F,5,FALSE))</f>
        <v/>
      </c>
      <c r="I498" s="52">
        <f>IFERROR(VLOOKUP(D498,'Product Master'!B:E,4,FALSE),0)</f>
        <v>0</v>
      </c>
      <c r="J498" s="53">
        <f>IFERROR(Table3[[#This Row],[QTY SOLD]]*Table3[[#This Row],[Selling Price]],0)</f>
        <v>0</v>
      </c>
      <c r="K498" s="50"/>
      <c r="L498" s="50">
        <f>Table3[[#This Row],[Total Sales]]-Table3[[#This Row],[Discount]]</f>
        <v>0</v>
      </c>
      <c r="M498" s="58">
        <f>Table3[[#This Row],[Net Sales]]-Table3[[#This Row],[Cost Price]]*Table3[[#This Row],[QTY SOLD]]</f>
        <v>0</v>
      </c>
      <c r="N498" s="25"/>
      <c r="O498" s="25"/>
      <c r="P498" s="25"/>
      <c r="Q498" s="25"/>
      <c r="R498" s="25"/>
      <c r="S498" s="25"/>
    </row>
    <row r="499" spans="1:19" x14ac:dyDescent="0.25">
      <c r="A499" s="65"/>
      <c r="B499" s="50"/>
      <c r="C499" s="50"/>
      <c r="D499" s="50"/>
      <c r="E499" s="50" t="str">
        <f>IF(D499="","",VLOOKUP(D499,'Product Master'!$B:$C,2,FALSE))</f>
        <v/>
      </c>
      <c r="F499" s="50" t="str">
        <f>IF(D499="","",IFERROR(VLOOKUP(D499,'Product Master'!$B:$G,3,FALSE),""))</f>
        <v/>
      </c>
      <c r="G499" s="51"/>
      <c r="H499" s="52" t="str">
        <f>IF(D499="","",VLOOKUP(D499,'Product Master'!$B:$F,5,FALSE))</f>
        <v/>
      </c>
      <c r="I499" s="52">
        <f>IFERROR(VLOOKUP(D499,'Product Master'!B:E,4,FALSE),0)</f>
        <v>0</v>
      </c>
      <c r="J499" s="53">
        <f>IFERROR(Table3[[#This Row],[QTY SOLD]]*Table3[[#This Row],[Selling Price]],0)</f>
        <v>0</v>
      </c>
      <c r="K499" s="50"/>
      <c r="L499" s="50">
        <f>Table3[[#This Row],[Total Sales]]-Table3[[#This Row],[Discount]]</f>
        <v>0</v>
      </c>
      <c r="M499" s="58">
        <f>Table3[[#This Row],[Net Sales]]-Table3[[#This Row],[Cost Price]]*Table3[[#This Row],[QTY SOLD]]</f>
        <v>0</v>
      </c>
      <c r="N499" s="25"/>
      <c r="O499" s="25"/>
      <c r="P499" s="25"/>
      <c r="Q499" s="25"/>
      <c r="R499" s="25"/>
      <c r="S499" s="25"/>
    </row>
    <row r="500" spans="1:19" x14ac:dyDescent="0.25">
      <c r="A500" s="65"/>
      <c r="B500" s="50"/>
      <c r="C500" s="50"/>
      <c r="D500" s="50"/>
      <c r="E500" s="50" t="str">
        <f>IF(D500="","",VLOOKUP(D500,'Product Master'!$B:$C,2,FALSE))</f>
        <v/>
      </c>
      <c r="F500" s="50" t="str">
        <f>IF(D500="","",IFERROR(VLOOKUP(D500,'Product Master'!$B:$G,3,FALSE),""))</f>
        <v/>
      </c>
      <c r="G500" s="51"/>
      <c r="H500" s="52" t="str">
        <f>IF(D500="","",VLOOKUP(D500,'Product Master'!$B:$F,5,FALSE))</f>
        <v/>
      </c>
      <c r="I500" s="52">
        <f>IFERROR(VLOOKUP(D500,'Product Master'!B:E,4,FALSE),0)</f>
        <v>0</v>
      </c>
      <c r="J500" s="53">
        <f>IFERROR(Table3[[#This Row],[QTY SOLD]]*Table3[[#This Row],[Selling Price]],0)</f>
        <v>0</v>
      </c>
      <c r="K500" s="50"/>
      <c r="L500" s="50">
        <f>Table3[[#This Row],[Total Sales]]-Table3[[#This Row],[Discount]]</f>
        <v>0</v>
      </c>
      <c r="M500" s="58">
        <f>Table3[[#This Row],[Net Sales]]-Table3[[#This Row],[Cost Price]]*Table3[[#This Row],[QTY SOLD]]</f>
        <v>0</v>
      </c>
      <c r="N500" s="25"/>
      <c r="O500" s="25"/>
      <c r="P500" s="25"/>
      <c r="Q500" s="25"/>
      <c r="R500" s="25"/>
      <c r="S500" s="25"/>
    </row>
    <row r="501" spans="1:19" x14ac:dyDescent="0.25">
      <c r="A501" s="65"/>
      <c r="B501" s="50"/>
      <c r="C501" s="50"/>
      <c r="D501" s="50"/>
      <c r="E501" s="50" t="str">
        <f>IF(D501="","",VLOOKUP(D501,'Product Master'!$B:$C,2,FALSE))</f>
        <v/>
      </c>
      <c r="F501" s="50" t="str">
        <f>IF(D501="","",IFERROR(VLOOKUP(D501,'Product Master'!$B:$G,3,FALSE),""))</f>
        <v/>
      </c>
      <c r="G501" s="51"/>
      <c r="H501" s="52" t="str">
        <f>IF(D501="","",VLOOKUP(D501,'Product Master'!$B:$F,5,FALSE))</f>
        <v/>
      </c>
      <c r="I501" s="52">
        <f>IFERROR(VLOOKUP(D501,'Product Master'!B:E,4,FALSE),0)</f>
        <v>0</v>
      </c>
      <c r="J501" s="53">
        <f>IFERROR(Table3[[#This Row],[QTY SOLD]]*Table3[[#This Row],[Selling Price]],0)</f>
        <v>0</v>
      </c>
      <c r="K501" s="50"/>
      <c r="L501" s="50">
        <f>Table3[[#This Row],[Total Sales]]-Table3[[#This Row],[Discount]]</f>
        <v>0</v>
      </c>
      <c r="M501" s="58">
        <f>Table3[[#This Row],[Net Sales]]-Table3[[#This Row],[Cost Price]]*Table3[[#This Row],[QTY SOLD]]</f>
        <v>0</v>
      </c>
      <c r="N501" s="25"/>
      <c r="O501" s="25"/>
      <c r="P501" s="25"/>
      <c r="Q501" s="25"/>
      <c r="R501" s="25"/>
      <c r="S501" s="25"/>
    </row>
    <row r="502" spans="1:19" x14ac:dyDescent="0.25">
      <c r="A502" s="65"/>
      <c r="B502" s="50"/>
      <c r="C502" s="50"/>
      <c r="D502" s="50"/>
      <c r="E502" s="50" t="str">
        <f>IF(D502="","",VLOOKUP(D502,'Product Master'!$B:$C,2,FALSE))</f>
        <v/>
      </c>
      <c r="F502" s="50" t="str">
        <f>IF(D502="","",IFERROR(VLOOKUP(D502,'Product Master'!$B:$G,3,FALSE),""))</f>
        <v/>
      </c>
      <c r="G502" s="51"/>
      <c r="H502" s="52" t="str">
        <f>IF(D502="","",VLOOKUP(D502,'Product Master'!$B:$F,5,FALSE))</f>
        <v/>
      </c>
      <c r="I502" s="52">
        <f>IFERROR(VLOOKUP(D502,'Product Master'!B:E,4,FALSE),0)</f>
        <v>0</v>
      </c>
      <c r="J502" s="53">
        <f>IFERROR(Table3[[#This Row],[QTY SOLD]]*Table3[[#This Row],[Selling Price]],0)</f>
        <v>0</v>
      </c>
      <c r="K502" s="50"/>
      <c r="L502" s="50">
        <f>Table3[[#This Row],[Total Sales]]-Table3[[#This Row],[Discount]]</f>
        <v>0</v>
      </c>
      <c r="M502" s="58">
        <f>Table3[[#This Row],[Net Sales]]-Table3[[#This Row],[Cost Price]]*Table3[[#This Row],[QTY SOLD]]</f>
        <v>0</v>
      </c>
      <c r="N502" s="25"/>
      <c r="O502" s="25"/>
      <c r="P502" s="25"/>
      <c r="Q502" s="25"/>
      <c r="R502" s="25"/>
      <c r="S502" s="25"/>
    </row>
    <row r="503" spans="1:19" x14ac:dyDescent="0.25">
      <c r="A503" s="65"/>
      <c r="B503" s="50"/>
      <c r="C503" s="50"/>
      <c r="D503" s="50"/>
      <c r="E503" s="50" t="str">
        <f>IF(D503="","",VLOOKUP(D503,'Product Master'!$B:$C,2,FALSE))</f>
        <v/>
      </c>
      <c r="F503" s="50" t="str">
        <f>IF(D503="","",IFERROR(VLOOKUP(D503,'Product Master'!$B:$G,3,FALSE),""))</f>
        <v/>
      </c>
      <c r="G503" s="51"/>
      <c r="H503" s="52" t="str">
        <f>IF(D503="","",VLOOKUP(D503,'Product Master'!$B:$F,5,FALSE))</f>
        <v/>
      </c>
      <c r="I503" s="52">
        <f>IFERROR(VLOOKUP(D503,'Product Master'!B:E,4,FALSE),0)</f>
        <v>0</v>
      </c>
      <c r="J503" s="53">
        <f>IFERROR(Table3[[#This Row],[QTY SOLD]]*Table3[[#This Row],[Selling Price]],0)</f>
        <v>0</v>
      </c>
      <c r="K503" s="50"/>
      <c r="L503" s="50">
        <f>Table3[[#This Row],[Total Sales]]-Table3[[#This Row],[Discount]]</f>
        <v>0</v>
      </c>
      <c r="M503" s="58">
        <f>Table3[[#This Row],[Net Sales]]-Table3[[#This Row],[Cost Price]]*Table3[[#This Row],[QTY SOLD]]</f>
        <v>0</v>
      </c>
      <c r="N503" s="25"/>
      <c r="O503" s="25"/>
      <c r="P503" s="25"/>
      <c r="Q503" s="25"/>
      <c r="R503" s="25"/>
      <c r="S503" s="25"/>
    </row>
    <row r="504" spans="1:19" x14ac:dyDescent="0.25">
      <c r="A504" s="65"/>
      <c r="B504" s="50"/>
      <c r="C504" s="50"/>
      <c r="D504" s="50"/>
      <c r="E504" s="50" t="str">
        <f>IF(D504="","",VLOOKUP(D504,'Product Master'!$B:$C,2,FALSE))</f>
        <v/>
      </c>
      <c r="F504" s="50" t="str">
        <f>IF(D504="","",IFERROR(VLOOKUP(D504,'Product Master'!$B:$G,3,FALSE),""))</f>
        <v/>
      </c>
      <c r="G504" s="51"/>
      <c r="H504" s="52" t="str">
        <f>IF(D504="","",VLOOKUP(D504,'Product Master'!$B:$F,5,FALSE))</f>
        <v/>
      </c>
      <c r="I504" s="52">
        <f>IFERROR(VLOOKUP(D504,'Product Master'!B:E,4,FALSE),0)</f>
        <v>0</v>
      </c>
      <c r="J504" s="53">
        <f>IFERROR(Table3[[#This Row],[QTY SOLD]]*Table3[[#This Row],[Selling Price]],0)</f>
        <v>0</v>
      </c>
      <c r="K504" s="50"/>
      <c r="L504" s="50">
        <f>Table3[[#This Row],[Total Sales]]-Table3[[#This Row],[Discount]]</f>
        <v>0</v>
      </c>
      <c r="M504" s="58">
        <f>Table3[[#This Row],[Net Sales]]-Table3[[#This Row],[Cost Price]]*Table3[[#This Row],[QTY SOLD]]</f>
        <v>0</v>
      </c>
      <c r="N504" s="25"/>
      <c r="O504" s="25"/>
      <c r="P504" s="25"/>
      <c r="Q504" s="25"/>
      <c r="R504" s="25"/>
      <c r="S504" s="25"/>
    </row>
    <row r="505" spans="1:19" x14ac:dyDescent="0.25">
      <c r="A505" s="65"/>
      <c r="B505" s="50"/>
      <c r="C505" s="50"/>
      <c r="D505" s="50"/>
      <c r="E505" s="50" t="str">
        <f>IF(D505="","",VLOOKUP(D505,'Product Master'!$B:$C,2,FALSE))</f>
        <v/>
      </c>
      <c r="F505" s="50" t="str">
        <f>IF(D505="","",IFERROR(VLOOKUP(D505,'Product Master'!$B:$G,3,FALSE),""))</f>
        <v/>
      </c>
      <c r="G505" s="51"/>
      <c r="H505" s="52" t="str">
        <f>IF(D505="","",VLOOKUP(D505,'Product Master'!$B:$F,5,FALSE))</f>
        <v/>
      </c>
      <c r="I505" s="52">
        <f>IFERROR(VLOOKUP(D505,'Product Master'!B:E,4,FALSE),0)</f>
        <v>0</v>
      </c>
      <c r="J505" s="53">
        <f>IFERROR(Table3[[#This Row],[QTY SOLD]]*Table3[[#This Row],[Selling Price]],0)</f>
        <v>0</v>
      </c>
      <c r="K505" s="50"/>
      <c r="L505" s="50">
        <f>Table3[[#This Row],[Total Sales]]-Table3[[#This Row],[Discount]]</f>
        <v>0</v>
      </c>
      <c r="M505" s="58">
        <f>Table3[[#This Row],[Net Sales]]-Table3[[#This Row],[Cost Price]]*Table3[[#This Row],[QTY SOLD]]</f>
        <v>0</v>
      </c>
      <c r="N505" s="25"/>
      <c r="O505" s="25"/>
      <c r="P505" s="25"/>
      <c r="Q505" s="25"/>
      <c r="R505" s="25"/>
      <c r="S505" s="25"/>
    </row>
    <row r="506" spans="1:19" x14ac:dyDescent="0.25">
      <c r="A506" s="65"/>
      <c r="B506" s="50"/>
      <c r="C506" s="50"/>
      <c r="D506" s="50"/>
      <c r="E506" s="50" t="str">
        <f>IF(D506="","",VLOOKUP(D506,'Product Master'!$B:$C,2,FALSE))</f>
        <v/>
      </c>
      <c r="F506" s="50" t="str">
        <f>IF(D506="","",IFERROR(VLOOKUP(D506,'Product Master'!$B:$G,3,FALSE),""))</f>
        <v/>
      </c>
      <c r="G506" s="51"/>
      <c r="H506" s="52" t="str">
        <f>IF(D506="","",VLOOKUP(D506,'Product Master'!$B:$F,5,FALSE))</f>
        <v/>
      </c>
      <c r="I506" s="52">
        <f>IFERROR(VLOOKUP(D506,'Product Master'!B:E,4,FALSE),0)</f>
        <v>0</v>
      </c>
      <c r="J506" s="53">
        <f>IFERROR(Table3[[#This Row],[QTY SOLD]]*Table3[[#This Row],[Selling Price]],0)</f>
        <v>0</v>
      </c>
      <c r="K506" s="50"/>
      <c r="L506" s="50">
        <f>Table3[[#This Row],[Total Sales]]-Table3[[#This Row],[Discount]]</f>
        <v>0</v>
      </c>
      <c r="M506" s="58">
        <f>Table3[[#This Row],[Net Sales]]-Table3[[#This Row],[Cost Price]]*Table3[[#This Row],[QTY SOLD]]</f>
        <v>0</v>
      </c>
      <c r="N506" s="25"/>
      <c r="O506" s="25"/>
      <c r="P506" s="25"/>
      <c r="Q506" s="25"/>
      <c r="R506" s="25"/>
      <c r="S506" s="25"/>
    </row>
    <row r="507" spans="1:19" x14ac:dyDescent="0.25">
      <c r="A507" s="65"/>
      <c r="B507" s="50"/>
      <c r="C507" s="50"/>
      <c r="D507" s="50"/>
      <c r="E507" s="50" t="str">
        <f>IF(D507="","",VLOOKUP(D507,'Product Master'!$B:$C,2,FALSE))</f>
        <v/>
      </c>
      <c r="F507" s="50" t="str">
        <f>IF(D507="","",IFERROR(VLOOKUP(D507,'Product Master'!$B:$G,3,FALSE),""))</f>
        <v/>
      </c>
      <c r="G507" s="51"/>
      <c r="H507" s="52" t="str">
        <f>IF(D507="","",VLOOKUP(D507,'Product Master'!$B:$F,5,FALSE))</f>
        <v/>
      </c>
      <c r="I507" s="52">
        <f>IFERROR(VLOOKUP(D507,'Product Master'!B:E,4,FALSE),0)</f>
        <v>0</v>
      </c>
      <c r="J507" s="53">
        <f>IFERROR(Table3[[#This Row],[QTY SOLD]]*Table3[[#This Row],[Selling Price]],0)</f>
        <v>0</v>
      </c>
      <c r="K507" s="50"/>
      <c r="L507" s="50">
        <f>Table3[[#This Row],[Total Sales]]-Table3[[#This Row],[Discount]]</f>
        <v>0</v>
      </c>
      <c r="M507" s="58">
        <f>Table3[[#This Row],[Net Sales]]-Table3[[#This Row],[Cost Price]]*Table3[[#This Row],[QTY SOLD]]</f>
        <v>0</v>
      </c>
      <c r="N507" s="25"/>
      <c r="O507" s="25"/>
      <c r="P507" s="25"/>
      <c r="Q507" s="25"/>
      <c r="R507" s="25"/>
      <c r="S507" s="25"/>
    </row>
    <row r="508" spans="1:19" x14ac:dyDescent="0.25">
      <c r="A508" s="65"/>
      <c r="B508" s="50"/>
      <c r="C508" s="50"/>
      <c r="D508" s="50"/>
      <c r="E508" s="50" t="str">
        <f>IF(D508="","",VLOOKUP(D508,'Product Master'!$B:$C,2,FALSE))</f>
        <v/>
      </c>
      <c r="F508" s="50" t="str">
        <f>IF(D508="","",IFERROR(VLOOKUP(D508,'Product Master'!$B:$G,3,FALSE),""))</f>
        <v/>
      </c>
      <c r="G508" s="51"/>
      <c r="H508" s="52" t="str">
        <f>IF(D508="","",VLOOKUP(D508,'Product Master'!$B:$F,5,FALSE))</f>
        <v/>
      </c>
      <c r="I508" s="52">
        <f>IFERROR(VLOOKUP(D508,'Product Master'!B:E,4,FALSE),0)</f>
        <v>0</v>
      </c>
      <c r="J508" s="53">
        <f>IFERROR(Table3[[#This Row],[QTY SOLD]]*Table3[[#This Row],[Selling Price]],0)</f>
        <v>0</v>
      </c>
      <c r="K508" s="50"/>
      <c r="L508" s="50">
        <f>Table3[[#This Row],[Total Sales]]-Table3[[#This Row],[Discount]]</f>
        <v>0</v>
      </c>
      <c r="M508" s="58">
        <f>Table3[[#This Row],[Net Sales]]-Table3[[#This Row],[Cost Price]]*Table3[[#This Row],[QTY SOLD]]</f>
        <v>0</v>
      </c>
      <c r="N508" s="25"/>
      <c r="O508" s="25"/>
      <c r="P508" s="25"/>
      <c r="Q508" s="25"/>
      <c r="R508" s="25"/>
      <c r="S508" s="25"/>
    </row>
    <row r="509" spans="1:19" x14ac:dyDescent="0.25">
      <c r="A509" s="65"/>
      <c r="B509" s="50"/>
      <c r="C509" s="50"/>
      <c r="D509" s="50"/>
      <c r="E509" s="50" t="str">
        <f>IF(D509="","",VLOOKUP(D509,'Product Master'!$B:$C,2,FALSE))</f>
        <v/>
      </c>
      <c r="F509" s="50" t="str">
        <f>IF(D509="","",IFERROR(VLOOKUP(D509,'Product Master'!$B:$G,3,FALSE),""))</f>
        <v/>
      </c>
      <c r="G509" s="51"/>
      <c r="H509" s="52" t="str">
        <f>IF(D509="","",VLOOKUP(D509,'Product Master'!$B:$F,5,FALSE))</f>
        <v/>
      </c>
      <c r="I509" s="52">
        <f>IFERROR(VLOOKUP(D509,'Product Master'!B:E,4,FALSE),0)</f>
        <v>0</v>
      </c>
      <c r="J509" s="53">
        <f>IFERROR(Table3[[#This Row],[QTY SOLD]]*Table3[[#This Row],[Selling Price]],0)</f>
        <v>0</v>
      </c>
      <c r="K509" s="50"/>
      <c r="L509" s="50">
        <f>Table3[[#This Row],[Total Sales]]-Table3[[#This Row],[Discount]]</f>
        <v>0</v>
      </c>
      <c r="M509" s="58">
        <f>Table3[[#This Row],[Net Sales]]-Table3[[#This Row],[Cost Price]]*Table3[[#This Row],[QTY SOLD]]</f>
        <v>0</v>
      </c>
      <c r="N509" s="25"/>
      <c r="O509" s="25"/>
      <c r="P509" s="25"/>
      <c r="Q509" s="25"/>
      <c r="R509" s="25"/>
      <c r="S509" s="25"/>
    </row>
    <row r="510" spans="1:19" x14ac:dyDescent="0.25">
      <c r="A510" s="65"/>
      <c r="B510" s="50"/>
      <c r="C510" s="50"/>
      <c r="D510" s="50"/>
      <c r="E510" s="50" t="str">
        <f>IF(D510="","",VLOOKUP(D510,'Product Master'!$B:$C,2,FALSE))</f>
        <v/>
      </c>
      <c r="F510" s="50" t="str">
        <f>IF(D510="","",IFERROR(VLOOKUP(D510,'Product Master'!$B:$G,3,FALSE),""))</f>
        <v/>
      </c>
      <c r="G510" s="51"/>
      <c r="H510" s="52" t="str">
        <f>IF(D510="","",VLOOKUP(D510,'Product Master'!$B:$F,5,FALSE))</f>
        <v/>
      </c>
      <c r="I510" s="52">
        <f>IFERROR(VLOOKUP(D510,'Product Master'!B:E,4,FALSE),0)</f>
        <v>0</v>
      </c>
      <c r="J510" s="53">
        <f>IFERROR(Table3[[#This Row],[QTY SOLD]]*Table3[[#This Row],[Selling Price]],0)</f>
        <v>0</v>
      </c>
      <c r="K510" s="50"/>
      <c r="L510" s="50">
        <f>Table3[[#This Row],[Total Sales]]-Table3[[#This Row],[Discount]]</f>
        <v>0</v>
      </c>
      <c r="M510" s="58">
        <f>Table3[[#This Row],[Net Sales]]-Table3[[#This Row],[Cost Price]]*Table3[[#This Row],[QTY SOLD]]</f>
        <v>0</v>
      </c>
      <c r="N510" s="25"/>
      <c r="O510" s="25"/>
      <c r="P510" s="25"/>
      <c r="Q510" s="25"/>
      <c r="R510" s="25"/>
      <c r="S510" s="25"/>
    </row>
    <row r="511" spans="1:19" x14ac:dyDescent="0.25">
      <c r="A511" s="65"/>
      <c r="B511" s="50"/>
      <c r="C511" s="50"/>
      <c r="D511" s="50"/>
      <c r="E511" s="50" t="str">
        <f>IF(D511="","",VLOOKUP(D511,'Product Master'!$B:$C,2,FALSE))</f>
        <v/>
      </c>
      <c r="F511" s="50" t="str">
        <f>IF(D511="","",IFERROR(VLOOKUP(D511,'Product Master'!$B:$G,3,FALSE),""))</f>
        <v/>
      </c>
      <c r="G511" s="51"/>
      <c r="H511" s="52" t="str">
        <f>IF(D511="","",VLOOKUP(D511,'Product Master'!$B:$F,5,FALSE))</f>
        <v/>
      </c>
      <c r="I511" s="52">
        <f>IFERROR(VLOOKUP(D511,'Product Master'!B:E,4,FALSE),0)</f>
        <v>0</v>
      </c>
      <c r="J511" s="53">
        <f>IFERROR(Table3[[#This Row],[QTY SOLD]]*Table3[[#This Row],[Selling Price]],0)</f>
        <v>0</v>
      </c>
      <c r="K511" s="50"/>
      <c r="L511" s="50">
        <f>Table3[[#This Row],[Total Sales]]-Table3[[#This Row],[Discount]]</f>
        <v>0</v>
      </c>
      <c r="M511" s="58">
        <f>Table3[[#This Row],[Net Sales]]-Table3[[#This Row],[Cost Price]]*Table3[[#This Row],[QTY SOLD]]</f>
        <v>0</v>
      </c>
      <c r="N511" s="25"/>
      <c r="O511" s="25"/>
      <c r="P511" s="25"/>
      <c r="Q511" s="25"/>
      <c r="R511" s="25"/>
      <c r="S511" s="25"/>
    </row>
    <row r="512" spans="1:19" x14ac:dyDescent="0.25">
      <c r="A512" s="65"/>
      <c r="B512" s="50"/>
      <c r="C512" s="50"/>
      <c r="D512" s="50"/>
      <c r="E512" s="50" t="str">
        <f>IF(D512="","",VLOOKUP(D512,'Product Master'!$B:$C,2,FALSE))</f>
        <v/>
      </c>
      <c r="F512" s="50" t="str">
        <f>IF(D512="","",IFERROR(VLOOKUP(D512,'Product Master'!$B:$G,3,FALSE),""))</f>
        <v/>
      </c>
      <c r="G512" s="51"/>
      <c r="H512" s="52" t="str">
        <f>IF(D512="","",VLOOKUP(D512,'Product Master'!$B:$F,5,FALSE))</f>
        <v/>
      </c>
      <c r="I512" s="52">
        <f>IFERROR(VLOOKUP(D512,'Product Master'!B:E,4,FALSE),0)</f>
        <v>0</v>
      </c>
      <c r="J512" s="53">
        <f>IFERROR(Table3[[#This Row],[QTY SOLD]]*Table3[[#This Row],[Selling Price]],0)</f>
        <v>0</v>
      </c>
      <c r="K512" s="50"/>
      <c r="L512" s="50">
        <f>Table3[[#This Row],[Total Sales]]-Table3[[#This Row],[Discount]]</f>
        <v>0</v>
      </c>
      <c r="M512" s="58">
        <f>Table3[[#This Row],[Net Sales]]-Table3[[#This Row],[Cost Price]]*Table3[[#This Row],[QTY SOLD]]</f>
        <v>0</v>
      </c>
      <c r="N512" s="25"/>
      <c r="O512" s="25"/>
      <c r="P512" s="25"/>
      <c r="Q512" s="25"/>
      <c r="R512" s="25"/>
      <c r="S512" s="25"/>
    </row>
    <row r="513" spans="1:19" x14ac:dyDescent="0.25">
      <c r="A513" s="65"/>
      <c r="B513" s="50"/>
      <c r="C513" s="50"/>
      <c r="D513" s="50"/>
      <c r="E513" s="50" t="str">
        <f>IF(D513="","",VLOOKUP(D513,'Product Master'!$B:$C,2,FALSE))</f>
        <v/>
      </c>
      <c r="F513" s="50" t="str">
        <f>IF(D513="","",IFERROR(VLOOKUP(D513,'Product Master'!$B:$G,3,FALSE),""))</f>
        <v/>
      </c>
      <c r="G513" s="51"/>
      <c r="H513" s="52" t="str">
        <f>IF(D513="","",VLOOKUP(D513,'Product Master'!$B:$F,5,FALSE))</f>
        <v/>
      </c>
      <c r="I513" s="52">
        <f>IFERROR(VLOOKUP(D513,'Product Master'!B:E,4,FALSE),0)</f>
        <v>0</v>
      </c>
      <c r="J513" s="53">
        <f>IFERROR(Table3[[#This Row],[QTY SOLD]]*Table3[[#This Row],[Selling Price]],0)</f>
        <v>0</v>
      </c>
      <c r="K513" s="50"/>
      <c r="L513" s="50">
        <f>Table3[[#This Row],[Total Sales]]-Table3[[#This Row],[Discount]]</f>
        <v>0</v>
      </c>
      <c r="M513" s="58">
        <f>Table3[[#This Row],[Net Sales]]-Table3[[#This Row],[Cost Price]]*Table3[[#This Row],[QTY SOLD]]</f>
        <v>0</v>
      </c>
      <c r="N513" s="25"/>
      <c r="O513" s="25"/>
      <c r="P513" s="25"/>
      <c r="Q513" s="25"/>
      <c r="R513" s="25"/>
      <c r="S513" s="25"/>
    </row>
    <row r="514" spans="1:19" x14ac:dyDescent="0.25">
      <c r="A514" s="65"/>
      <c r="B514" s="50"/>
      <c r="C514" s="50"/>
      <c r="D514" s="50"/>
      <c r="E514" s="50" t="str">
        <f>IF(D514="","",VLOOKUP(D514,'Product Master'!$B:$C,2,FALSE))</f>
        <v/>
      </c>
      <c r="F514" s="50" t="str">
        <f>IF(D514="","",IFERROR(VLOOKUP(D514,'Product Master'!$B:$G,3,FALSE),""))</f>
        <v/>
      </c>
      <c r="G514" s="51"/>
      <c r="H514" s="52" t="str">
        <f>IF(D514="","",VLOOKUP(D514,'Product Master'!$B:$F,5,FALSE))</f>
        <v/>
      </c>
      <c r="I514" s="52">
        <f>IFERROR(VLOOKUP(D514,'Product Master'!B:E,4,FALSE),0)</f>
        <v>0</v>
      </c>
      <c r="J514" s="53">
        <f>IFERROR(Table3[[#This Row],[QTY SOLD]]*Table3[[#This Row],[Selling Price]],0)</f>
        <v>0</v>
      </c>
      <c r="K514" s="50"/>
      <c r="L514" s="50">
        <f>Table3[[#This Row],[Total Sales]]-Table3[[#This Row],[Discount]]</f>
        <v>0</v>
      </c>
      <c r="M514" s="58">
        <f>Table3[[#This Row],[Net Sales]]-Table3[[#This Row],[Cost Price]]*Table3[[#This Row],[QTY SOLD]]</f>
        <v>0</v>
      </c>
      <c r="N514" s="25"/>
      <c r="O514" s="25"/>
      <c r="P514" s="25"/>
      <c r="Q514" s="25"/>
      <c r="R514" s="25"/>
      <c r="S514" s="25"/>
    </row>
    <row r="515" spans="1:19" x14ac:dyDescent="0.25">
      <c r="A515" s="65"/>
      <c r="B515" s="50"/>
      <c r="C515" s="50"/>
      <c r="D515" s="50"/>
      <c r="E515" s="50" t="str">
        <f>IF(D515="","",VLOOKUP(D515,'Product Master'!$B:$C,2,FALSE))</f>
        <v/>
      </c>
      <c r="F515" s="50" t="str">
        <f>IF(D515="","",IFERROR(VLOOKUP(D515,'Product Master'!$B:$G,3,FALSE),""))</f>
        <v/>
      </c>
      <c r="G515" s="51"/>
      <c r="H515" s="52" t="str">
        <f>IF(D515="","",VLOOKUP(D515,'Product Master'!$B:$F,5,FALSE))</f>
        <v/>
      </c>
      <c r="I515" s="52">
        <f>IFERROR(VLOOKUP(D515,'Product Master'!B:E,4,FALSE),0)</f>
        <v>0</v>
      </c>
      <c r="J515" s="53">
        <f>IFERROR(Table3[[#This Row],[QTY SOLD]]*Table3[[#This Row],[Selling Price]],0)</f>
        <v>0</v>
      </c>
      <c r="K515" s="50"/>
      <c r="L515" s="50">
        <f>Table3[[#This Row],[Total Sales]]-Table3[[#This Row],[Discount]]</f>
        <v>0</v>
      </c>
      <c r="M515" s="58">
        <f>Table3[[#This Row],[Net Sales]]-Table3[[#This Row],[Cost Price]]*Table3[[#This Row],[QTY SOLD]]</f>
        <v>0</v>
      </c>
      <c r="N515" s="25"/>
      <c r="O515" s="25"/>
      <c r="P515" s="25"/>
      <c r="Q515" s="25"/>
      <c r="R515" s="25"/>
      <c r="S515" s="25"/>
    </row>
    <row r="516" spans="1:19" x14ac:dyDescent="0.25">
      <c r="A516" s="65"/>
      <c r="B516" s="50"/>
      <c r="C516" s="50"/>
      <c r="D516" s="50"/>
      <c r="E516" s="50" t="str">
        <f>IF(D516="","",VLOOKUP(D516,'Product Master'!$B:$C,2,FALSE))</f>
        <v/>
      </c>
      <c r="F516" s="50" t="str">
        <f>IF(D516="","",IFERROR(VLOOKUP(D516,'Product Master'!$B:$G,3,FALSE),""))</f>
        <v/>
      </c>
      <c r="G516" s="51"/>
      <c r="H516" s="52" t="str">
        <f>IF(D516="","",VLOOKUP(D516,'Product Master'!$B:$F,5,FALSE))</f>
        <v/>
      </c>
      <c r="I516" s="52">
        <f>IFERROR(VLOOKUP(D516,'Product Master'!B:E,4,FALSE),0)</f>
        <v>0</v>
      </c>
      <c r="J516" s="53">
        <f>IFERROR(Table3[[#This Row],[QTY SOLD]]*Table3[[#This Row],[Selling Price]],0)</f>
        <v>0</v>
      </c>
      <c r="K516" s="50"/>
      <c r="L516" s="50">
        <f>Table3[[#This Row],[Total Sales]]-Table3[[#This Row],[Discount]]</f>
        <v>0</v>
      </c>
      <c r="M516" s="58">
        <f>Table3[[#This Row],[Net Sales]]-Table3[[#This Row],[Cost Price]]*Table3[[#This Row],[QTY SOLD]]</f>
        <v>0</v>
      </c>
      <c r="N516" s="25"/>
      <c r="O516" s="25"/>
      <c r="P516" s="25"/>
      <c r="Q516" s="25"/>
      <c r="R516" s="25"/>
      <c r="S516" s="25"/>
    </row>
    <row r="517" spans="1:19" x14ac:dyDescent="0.25">
      <c r="A517" s="65"/>
      <c r="B517" s="50"/>
      <c r="C517" s="50"/>
      <c r="D517" s="50"/>
      <c r="E517" s="50" t="str">
        <f>IF(D517="","",VLOOKUP(D517,'Product Master'!$B:$C,2,FALSE))</f>
        <v/>
      </c>
      <c r="F517" s="50" t="str">
        <f>IF(D517="","",IFERROR(VLOOKUP(D517,'Product Master'!$B:$G,3,FALSE),""))</f>
        <v/>
      </c>
      <c r="G517" s="51"/>
      <c r="H517" s="52" t="str">
        <f>IF(D517="","",VLOOKUP(D517,'Product Master'!$B:$F,5,FALSE))</f>
        <v/>
      </c>
      <c r="I517" s="52">
        <f>IFERROR(VLOOKUP(D517,'Product Master'!B:E,4,FALSE),0)</f>
        <v>0</v>
      </c>
      <c r="J517" s="53">
        <f>IFERROR(Table3[[#This Row],[QTY SOLD]]*Table3[[#This Row],[Selling Price]],0)</f>
        <v>0</v>
      </c>
      <c r="K517" s="50"/>
      <c r="L517" s="50">
        <f>Table3[[#This Row],[Total Sales]]-Table3[[#This Row],[Discount]]</f>
        <v>0</v>
      </c>
      <c r="M517" s="58">
        <f>Table3[[#This Row],[Net Sales]]-Table3[[#This Row],[Cost Price]]*Table3[[#This Row],[QTY SOLD]]</f>
        <v>0</v>
      </c>
      <c r="N517" s="25"/>
      <c r="O517" s="25"/>
      <c r="P517" s="25"/>
      <c r="Q517" s="25"/>
      <c r="R517" s="25"/>
      <c r="S517" s="25"/>
    </row>
    <row r="518" spans="1:19" x14ac:dyDescent="0.25">
      <c r="A518" s="65"/>
      <c r="B518" s="50"/>
      <c r="C518" s="50"/>
      <c r="D518" s="50"/>
      <c r="E518" s="50" t="str">
        <f>IF(D518="","",VLOOKUP(D518,'Product Master'!$B:$C,2,FALSE))</f>
        <v/>
      </c>
      <c r="F518" s="50" t="str">
        <f>IF(D518="","",IFERROR(VLOOKUP(D518,'Product Master'!$B:$G,3,FALSE),""))</f>
        <v/>
      </c>
      <c r="G518" s="51"/>
      <c r="H518" s="52" t="str">
        <f>IF(D518="","",VLOOKUP(D518,'Product Master'!$B:$F,5,FALSE))</f>
        <v/>
      </c>
      <c r="I518" s="52">
        <f>IFERROR(VLOOKUP(D518,'Product Master'!B:E,4,FALSE),0)</f>
        <v>0</v>
      </c>
      <c r="J518" s="53">
        <f>IFERROR(Table3[[#This Row],[QTY SOLD]]*Table3[[#This Row],[Selling Price]],0)</f>
        <v>0</v>
      </c>
      <c r="K518" s="50"/>
      <c r="L518" s="50">
        <f>Table3[[#This Row],[Total Sales]]-Table3[[#This Row],[Discount]]</f>
        <v>0</v>
      </c>
      <c r="M518" s="58">
        <f>Table3[[#This Row],[Net Sales]]-Table3[[#This Row],[Cost Price]]*Table3[[#This Row],[QTY SOLD]]</f>
        <v>0</v>
      </c>
      <c r="N518" s="25"/>
      <c r="O518" s="25"/>
      <c r="P518" s="25"/>
      <c r="Q518" s="25"/>
      <c r="R518" s="25"/>
      <c r="S518" s="25"/>
    </row>
    <row r="519" spans="1:19" x14ac:dyDescent="0.25">
      <c r="A519" s="65"/>
      <c r="B519" s="50"/>
      <c r="C519" s="50"/>
      <c r="D519" s="50"/>
      <c r="E519" s="50" t="str">
        <f>IF(D519="","",VLOOKUP(D519,'Product Master'!$B:$C,2,FALSE))</f>
        <v/>
      </c>
      <c r="F519" s="50" t="str">
        <f>IF(D519="","",IFERROR(VLOOKUP(D519,'Product Master'!$B:$G,3,FALSE),""))</f>
        <v/>
      </c>
      <c r="G519" s="51"/>
      <c r="H519" s="52" t="str">
        <f>IF(D519="","",VLOOKUP(D519,'Product Master'!$B:$F,5,FALSE))</f>
        <v/>
      </c>
      <c r="I519" s="52">
        <f>IFERROR(VLOOKUP(D519,'Product Master'!B:E,4,FALSE),0)</f>
        <v>0</v>
      </c>
      <c r="J519" s="53">
        <f>IFERROR(Table3[[#This Row],[QTY SOLD]]*Table3[[#This Row],[Selling Price]],0)</f>
        <v>0</v>
      </c>
      <c r="K519" s="50"/>
      <c r="L519" s="50">
        <f>Table3[[#This Row],[Total Sales]]-Table3[[#This Row],[Discount]]</f>
        <v>0</v>
      </c>
      <c r="M519" s="58">
        <f>Table3[[#This Row],[Net Sales]]-Table3[[#This Row],[Cost Price]]*Table3[[#This Row],[QTY SOLD]]</f>
        <v>0</v>
      </c>
      <c r="N519" s="25"/>
      <c r="O519" s="25"/>
      <c r="P519" s="25"/>
      <c r="Q519" s="25"/>
      <c r="R519" s="25"/>
      <c r="S519" s="25"/>
    </row>
    <row r="520" spans="1:19" x14ac:dyDescent="0.25">
      <c r="A520" s="65"/>
      <c r="B520" s="50"/>
      <c r="C520" s="50"/>
      <c r="D520" s="50"/>
      <c r="E520" s="50" t="str">
        <f>IF(D520="","",VLOOKUP(D520,'Product Master'!$B:$C,2,FALSE))</f>
        <v/>
      </c>
      <c r="F520" s="50" t="str">
        <f>IF(D520="","",IFERROR(VLOOKUP(D520,'Product Master'!$B:$G,3,FALSE),""))</f>
        <v/>
      </c>
      <c r="G520" s="51"/>
      <c r="H520" s="52" t="str">
        <f>IF(D520="","",VLOOKUP(D520,'Product Master'!$B:$F,5,FALSE))</f>
        <v/>
      </c>
      <c r="I520" s="52">
        <f>IFERROR(VLOOKUP(D520,'Product Master'!B:E,4,FALSE),0)</f>
        <v>0</v>
      </c>
      <c r="J520" s="53">
        <f>IFERROR(Table3[[#This Row],[QTY SOLD]]*Table3[[#This Row],[Selling Price]],0)</f>
        <v>0</v>
      </c>
      <c r="K520" s="50"/>
      <c r="L520" s="50">
        <f>Table3[[#This Row],[Total Sales]]-Table3[[#This Row],[Discount]]</f>
        <v>0</v>
      </c>
      <c r="M520" s="58">
        <f>Table3[[#This Row],[Net Sales]]-Table3[[#This Row],[Cost Price]]*Table3[[#This Row],[QTY SOLD]]</f>
        <v>0</v>
      </c>
      <c r="N520" s="25"/>
      <c r="O520" s="25"/>
      <c r="P520" s="25"/>
      <c r="Q520" s="25"/>
      <c r="R520" s="25"/>
      <c r="S520" s="25"/>
    </row>
    <row r="521" spans="1:19" x14ac:dyDescent="0.25">
      <c r="A521" s="65"/>
      <c r="B521" s="50"/>
      <c r="C521" s="50"/>
      <c r="D521" s="50"/>
      <c r="E521" s="50" t="str">
        <f>IF(D521="","",VLOOKUP(D521,'Product Master'!$B:$C,2,FALSE))</f>
        <v/>
      </c>
      <c r="F521" s="50" t="str">
        <f>IF(D521="","",IFERROR(VLOOKUP(D521,'Product Master'!$B:$G,3,FALSE),""))</f>
        <v/>
      </c>
      <c r="G521" s="51"/>
      <c r="H521" s="52" t="str">
        <f>IF(D521="","",VLOOKUP(D521,'Product Master'!$B:$F,5,FALSE))</f>
        <v/>
      </c>
      <c r="I521" s="52">
        <f>IFERROR(VLOOKUP(D521,'Product Master'!B:E,4,FALSE),0)</f>
        <v>0</v>
      </c>
      <c r="J521" s="53">
        <f>IFERROR(Table3[[#This Row],[QTY SOLD]]*Table3[[#This Row],[Selling Price]],0)</f>
        <v>0</v>
      </c>
      <c r="K521" s="50"/>
      <c r="L521" s="50">
        <f>Table3[[#This Row],[Total Sales]]-Table3[[#This Row],[Discount]]</f>
        <v>0</v>
      </c>
      <c r="M521" s="58">
        <f>Table3[[#This Row],[Net Sales]]-Table3[[#This Row],[Cost Price]]*Table3[[#This Row],[QTY SOLD]]</f>
        <v>0</v>
      </c>
      <c r="N521" s="25"/>
      <c r="O521" s="25"/>
      <c r="P521" s="25"/>
      <c r="Q521" s="25"/>
      <c r="R521" s="25"/>
      <c r="S521" s="25"/>
    </row>
    <row r="522" spans="1:19" x14ac:dyDescent="0.25">
      <c r="A522" s="65"/>
      <c r="B522" s="50"/>
      <c r="C522" s="50"/>
      <c r="D522" s="50"/>
      <c r="E522" s="50" t="str">
        <f>IF(D522="","",VLOOKUP(D522,'Product Master'!$B:$C,2,FALSE))</f>
        <v/>
      </c>
      <c r="F522" s="50" t="str">
        <f>IF(D522="","",IFERROR(VLOOKUP(D522,'Product Master'!$B:$G,3,FALSE),""))</f>
        <v/>
      </c>
      <c r="G522" s="51"/>
      <c r="H522" s="52" t="str">
        <f>IF(D522="","",VLOOKUP(D522,'Product Master'!$B:$F,5,FALSE))</f>
        <v/>
      </c>
      <c r="I522" s="52">
        <f>IFERROR(VLOOKUP(D522,'Product Master'!B:E,4,FALSE),0)</f>
        <v>0</v>
      </c>
      <c r="J522" s="53">
        <f>IFERROR(Table3[[#This Row],[QTY SOLD]]*Table3[[#This Row],[Selling Price]],0)</f>
        <v>0</v>
      </c>
      <c r="K522" s="50"/>
      <c r="L522" s="50">
        <f>Table3[[#This Row],[Total Sales]]-Table3[[#This Row],[Discount]]</f>
        <v>0</v>
      </c>
      <c r="M522" s="58">
        <f>Table3[[#This Row],[Net Sales]]-Table3[[#This Row],[Cost Price]]*Table3[[#This Row],[QTY SOLD]]</f>
        <v>0</v>
      </c>
      <c r="N522" s="25"/>
      <c r="O522" s="25"/>
      <c r="P522" s="25"/>
      <c r="Q522" s="25"/>
      <c r="R522" s="25"/>
      <c r="S522" s="25"/>
    </row>
    <row r="523" spans="1:19" x14ac:dyDescent="0.25">
      <c r="A523" s="65"/>
      <c r="B523" s="50"/>
      <c r="C523" s="50"/>
      <c r="D523" s="50"/>
      <c r="E523" s="50" t="str">
        <f>IF(D523="","",VLOOKUP(D523,'Product Master'!$B:$C,2,FALSE))</f>
        <v/>
      </c>
      <c r="F523" s="50" t="str">
        <f>IF(D523="","",IFERROR(VLOOKUP(D523,'Product Master'!$B:$G,3,FALSE),""))</f>
        <v/>
      </c>
      <c r="G523" s="51"/>
      <c r="H523" s="52" t="str">
        <f>IF(D523="","",VLOOKUP(D523,'Product Master'!$B:$F,5,FALSE))</f>
        <v/>
      </c>
      <c r="I523" s="52">
        <f>IFERROR(VLOOKUP(D523,'Product Master'!B:E,4,FALSE),0)</f>
        <v>0</v>
      </c>
      <c r="J523" s="53">
        <f>IFERROR(Table3[[#This Row],[QTY SOLD]]*Table3[[#This Row],[Selling Price]],0)</f>
        <v>0</v>
      </c>
      <c r="K523" s="50"/>
      <c r="L523" s="50">
        <f>Table3[[#This Row],[Total Sales]]-Table3[[#This Row],[Discount]]</f>
        <v>0</v>
      </c>
      <c r="M523" s="58">
        <f>Table3[[#This Row],[Net Sales]]-Table3[[#This Row],[Cost Price]]*Table3[[#This Row],[QTY SOLD]]</f>
        <v>0</v>
      </c>
      <c r="N523" s="25"/>
      <c r="O523" s="25"/>
      <c r="P523" s="25"/>
      <c r="Q523" s="25"/>
      <c r="R523" s="25"/>
      <c r="S523" s="25"/>
    </row>
    <row r="524" spans="1:19" x14ac:dyDescent="0.25">
      <c r="A524" s="65"/>
      <c r="B524" s="50"/>
      <c r="C524" s="50"/>
      <c r="D524" s="50"/>
      <c r="E524" s="50" t="str">
        <f>IF(D524="","",VLOOKUP(D524,'Product Master'!$B:$C,2,FALSE))</f>
        <v/>
      </c>
      <c r="F524" s="50" t="str">
        <f>IF(D524="","",IFERROR(VLOOKUP(D524,'Product Master'!$B:$G,3,FALSE),""))</f>
        <v/>
      </c>
      <c r="G524" s="51"/>
      <c r="H524" s="52" t="str">
        <f>IF(D524="","",VLOOKUP(D524,'Product Master'!$B:$F,5,FALSE))</f>
        <v/>
      </c>
      <c r="I524" s="52">
        <f>IFERROR(VLOOKUP(D524,'Product Master'!B:E,4,FALSE),0)</f>
        <v>0</v>
      </c>
      <c r="J524" s="53">
        <f>IFERROR(Table3[[#This Row],[QTY SOLD]]*Table3[[#This Row],[Selling Price]],0)</f>
        <v>0</v>
      </c>
      <c r="K524" s="50"/>
      <c r="L524" s="50">
        <f>Table3[[#This Row],[Total Sales]]-Table3[[#This Row],[Discount]]</f>
        <v>0</v>
      </c>
      <c r="M524" s="58">
        <f>Table3[[#This Row],[Net Sales]]-Table3[[#This Row],[Cost Price]]*Table3[[#This Row],[QTY SOLD]]</f>
        <v>0</v>
      </c>
      <c r="N524" s="25"/>
      <c r="O524" s="25"/>
      <c r="P524" s="25"/>
      <c r="Q524" s="25"/>
      <c r="R524" s="25"/>
      <c r="S524" s="25"/>
    </row>
    <row r="525" spans="1:19" x14ac:dyDescent="0.25">
      <c r="A525" s="65"/>
      <c r="B525" s="50"/>
      <c r="C525" s="50"/>
      <c r="D525" s="50"/>
      <c r="E525" s="50" t="str">
        <f>IF(D525="","",VLOOKUP(D525,'Product Master'!$B:$C,2,FALSE))</f>
        <v/>
      </c>
      <c r="F525" s="50" t="str">
        <f>IF(D525="","",IFERROR(VLOOKUP(D525,'Product Master'!$B:$G,3,FALSE),""))</f>
        <v/>
      </c>
      <c r="G525" s="51"/>
      <c r="H525" s="52" t="str">
        <f>IF(D525="","",VLOOKUP(D525,'Product Master'!$B:$F,5,FALSE))</f>
        <v/>
      </c>
      <c r="I525" s="52">
        <f>IFERROR(VLOOKUP(D525,'Product Master'!B:E,4,FALSE),0)</f>
        <v>0</v>
      </c>
      <c r="J525" s="53">
        <f>IFERROR(Table3[[#This Row],[QTY SOLD]]*Table3[[#This Row],[Selling Price]],0)</f>
        <v>0</v>
      </c>
      <c r="K525" s="50"/>
      <c r="L525" s="50">
        <f>Table3[[#This Row],[Total Sales]]-Table3[[#This Row],[Discount]]</f>
        <v>0</v>
      </c>
      <c r="M525" s="58">
        <f>Table3[[#This Row],[Net Sales]]-Table3[[#This Row],[Cost Price]]*Table3[[#This Row],[QTY SOLD]]</f>
        <v>0</v>
      </c>
      <c r="N525" s="25"/>
      <c r="O525" s="25"/>
      <c r="P525" s="25"/>
      <c r="Q525" s="25"/>
      <c r="R525" s="25"/>
      <c r="S525" s="25"/>
    </row>
    <row r="526" spans="1:19" x14ac:dyDescent="0.25">
      <c r="A526" s="65"/>
      <c r="B526" s="50"/>
      <c r="C526" s="50"/>
      <c r="D526" s="50"/>
      <c r="E526" s="50" t="str">
        <f>IF(D526="","",VLOOKUP(D526,'Product Master'!$B:$C,2,FALSE))</f>
        <v/>
      </c>
      <c r="F526" s="50" t="str">
        <f>IF(D526="","",IFERROR(VLOOKUP(D526,'Product Master'!$B:$G,3,FALSE),""))</f>
        <v/>
      </c>
      <c r="G526" s="51"/>
      <c r="H526" s="52" t="str">
        <f>IF(D526="","",VLOOKUP(D526,'Product Master'!$B:$F,5,FALSE))</f>
        <v/>
      </c>
      <c r="I526" s="52">
        <f>IFERROR(VLOOKUP(D526,'Product Master'!B:E,4,FALSE),0)</f>
        <v>0</v>
      </c>
      <c r="J526" s="53">
        <f>IFERROR(Table3[[#This Row],[QTY SOLD]]*Table3[[#This Row],[Selling Price]],0)</f>
        <v>0</v>
      </c>
      <c r="K526" s="50"/>
      <c r="L526" s="50">
        <f>Table3[[#This Row],[Total Sales]]-Table3[[#This Row],[Discount]]</f>
        <v>0</v>
      </c>
      <c r="M526" s="58">
        <f>Table3[[#This Row],[Net Sales]]-Table3[[#This Row],[Cost Price]]*Table3[[#This Row],[QTY SOLD]]</f>
        <v>0</v>
      </c>
      <c r="N526" s="25"/>
      <c r="O526" s="25"/>
      <c r="P526" s="25"/>
      <c r="Q526" s="25"/>
      <c r="R526" s="25"/>
      <c r="S526" s="25"/>
    </row>
    <row r="527" spans="1:19" x14ac:dyDescent="0.25">
      <c r="A527" s="65"/>
      <c r="B527" s="50"/>
      <c r="C527" s="50"/>
      <c r="D527" s="50"/>
      <c r="E527" s="50" t="str">
        <f>IF(D527="","",VLOOKUP(D527,'Product Master'!$B:$C,2,FALSE))</f>
        <v/>
      </c>
      <c r="F527" s="50" t="str">
        <f>IF(D527="","",IFERROR(VLOOKUP(D527,'Product Master'!$B:$G,3,FALSE),""))</f>
        <v/>
      </c>
      <c r="G527" s="51"/>
      <c r="H527" s="52" t="str">
        <f>IF(D527="","",VLOOKUP(D527,'Product Master'!$B:$F,5,FALSE))</f>
        <v/>
      </c>
      <c r="I527" s="52">
        <f>IFERROR(VLOOKUP(D527,'Product Master'!B:E,4,FALSE),0)</f>
        <v>0</v>
      </c>
      <c r="J527" s="53">
        <f>IFERROR(Table3[[#This Row],[QTY SOLD]]*Table3[[#This Row],[Selling Price]],0)</f>
        <v>0</v>
      </c>
      <c r="K527" s="50"/>
      <c r="L527" s="50">
        <f>Table3[[#This Row],[Total Sales]]-Table3[[#This Row],[Discount]]</f>
        <v>0</v>
      </c>
      <c r="M527" s="58">
        <f>Table3[[#This Row],[Net Sales]]-Table3[[#This Row],[Cost Price]]*Table3[[#This Row],[QTY SOLD]]</f>
        <v>0</v>
      </c>
      <c r="N527" s="25"/>
      <c r="O527" s="25"/>
      <c r="P527" s="25"/>
      <c r="Q527" s="25"/>
      <c r="R527" s="25"/>
      <c r="S527" s="25"/>
    </row>
    <row r="528" spans="1:19" x14ac:dyDescent="0.25">
      <c r="A528" s="65"/>
      <c r="B528" s="50"/>
      <c r="C528" s="50"/>
      <c r="D528" s="50"/>
      <c r="E528" s="50" t="str">
        <f>IF(D528="","",VLOOKUP(D528,'Product Master'!$B:$C,2,FALSE))</f>
        <v/>
      </c>
      <c r="F528" s="50" t="str">
        <f>IF(D528="","",IFERROR(VLOOKUP(D528,'Product Master'!$B:$G,3,FALSE),""))</f>
        <v/>
      </c>
      <c r="G528" s="51"/>
      <c r="H528" s="52" t="str">
        <f>IF(D528="","",VLOOKUP(D528,'Product Master'!$B:$F,5,FALSE))</f>
        <v/>
      </c>
      <c r="I528" s="52">
        <f>IFERROR(VLOOKUP(D528,'Product Master'!B:E,4,FALSE),0)</f>
        <v>0</v>
      </c>
      <c r="J528" s="53">
        <f>IFERROR(Table3[[#This Row],[QTY SOLD]]*Table3[[#This Row],[Selling Price]],0)</f>
        <v>0</v>
      </c>
      <c r="K528" s="50"/>
      <c r="L528" s="50">
        <f>Table3[[#This Row],[Total Sales]]-Table3[[#This Row],[Discount]]</f>
        <v>0</v>
      </c>
      <c r="M528" s="58">
        <f>Table3[[#This Row],[Net Sales]]-Table3[[#This Row],[Cost Price]]*Table3[[#This Row],[QTY SOLD]]</f>
        <v>0</v>
      </c>
      <c r="N528" s="25"/>
      <c r="O528" s="25"/>
      <c r="P528" s="25"/>
      <c r="Q528" s="25"/>
      <c r="R528" s="25"/>
      <c r="S528" s="25"/>
    </row>
    <row r="529" spans="1:19" x14ac:dyDescent="0.25">
      <c r="A529" s="65"/>
      <c r="B529" s="50"/>
      <c r="C529" s="50"/>
      <c r="D529" s="50"/>
      <c r="E529" s="50" t="str">
        <f>IF(D529="","",VLOOKUP(D529,'Product Master'!$B:$C,2,FALSE))</f>
        <v/>
      </c>
      <c r="F529" s="50" t="str">
        <f>IF(D529="","",IFERROR(VLOOKUP(D529,'Product Master'!$B:$G,3,FALSE),""))</f>
        <v/>
      </c>
      <c r="G529" s="51"/>
      <c r="H529" s="52" t="str">
        <f>IF(D529="","",VLOOKUP(D529,'Product Master'!$B:$F,5,FALSE))</f>
        <v/>
      </c>
      <c r="I529" s="52">
        <f>IFERROR(VLOOKUP(D529,'Product Master'!B:E,4,FALSE),0)</f>
        <v>0</v>
      </c>
      <c r="J529" s="53">
        <f>IFERROR(Table3[[#This Row],[QTY SOLD]]*Table3[[#This Row],[Selling Price]],0)</f>
        <v>0</v>
      </c>
      <c r="K529" s="50"/>
      <c r="L529" s="50">
        <f>Table3[[#This Row],[Total Sales]]-Table3[[#This Row],[Discount]]</f>
        <v>0</v>
      </c>
      <c r="M529" s="58">
        <f>Table3[[#This Row],[Net Sales]]-Table3[[#This Row],[Cost Price]]*Table3[[#This Row],[QTY SOLD]]</f>
        <v>0</v>
      </c>
      <c r="N529" s="25"/>
      <c r="O529" s="25"/>
      <c r="P529" s="25"/>
      <c r="Q529" s="25"/>
      <c r="R529" s="25"/>
      <c r="S529" s="25"/>
    </row>
    <row r="530" spans="1:19" x14ac:dyDescent="0.25">
      <c r="A530" s="65"/>
      <c r="B530" s="50"/>
      <c r="C530" s="50"/>
      <c r="D530" s="50"/>
      <c r="E530" s="50" t="str">
        <f>IF(D530="","",VLOOKUP(D530,'Product Master'!$B:$C,2,FALSE))</f>
        <v/>
      </c>
      <c r="F530" s="50" t="str">
        <f>IF(D530="","",IFERROR(VLOOKUP(D530,'Product Master'!$B:$G,3,FALSE),""))</f>
        <v/>
      </c>
      <c r="G530" s="51"/>
      <c r="H530" s="52" t="str">
        <f>IF(D530="","",VLOOKUP(D530,'Product Master'!$B:$F,5,FALSE))</f>
        <v/>
      </c>
      <c r="I530" s="52">
        <f>IFERROR(VLOOKUP(D530,'Product Master'!B:E,4,FALSE),0)</f>
        <v>0</v>
      </c>
      <c r="J530" s="53">
        <f>IFERROR(Table3[[#This Row],[QTY SOLD]]*Table3[[#This Row],[Selling Price]],0)</f>
        <v>0</v>
      </c>
      <c r="K530" s="50"/>
      <c r="L530" s="50">
        <f>Table3[[#This Row],[Total Sales]]-Table3[[#This Row],[Discount]]</f>
        <v>0</v>
      </c>
      <c r="M530" s="58">
        <f>Table3[[#This Row],[Net Sales]]-Table3[[#This Row],[Cost Price]]*Table3[[#This Row],[QTY SOLD]]</f>
        <v>0</v>
      </c>
      <c r="N530" s="25"/>
      <c r="O530" s="25"/>
      <c r="P530" s="25"/>
      <c r="Q530" s="25"/>
      <c r="R530" s="25"/>
      <c r="S530" s="25"/>
    </row>
    <row r="531" spans="1:19" x14ac:dyDescent="0.25">
      <c r="A531" s="65"/>
      <c r="B531" s="50"/>
      <c r="C531" s="50"/>
      <c r="D531" s="50"/>
      <c r="E531" s="50" t="str">
        <f>IF(D531="","",VLOOKUP(D531,'Product Master'!$B:$C,2,FALSE))</f>
        <v/>
      </c>
      <c r="F531" s="50" t="str">
        <f>IF(D531="","",IFERROR(VLOOKUP(D531,'Product Master'!$B:$G,3,FALSE),""))</f>
        <v/>
      </c>
      <c r="G531" s="51"/>
      <c r="H531" s="52" t="str">
        <f>IF(D531="","",VLOOKUP(D531,'Product Master'!$B:$F,5,FALSE))</f>
        <v/>
      </c>
      <c r="I531" s="52">
        <f>IFERROR(VLOOKUP(D531,'Product Master'!B:E,4,FALSE),0)</f>
        <v>0</v>
      </c>
      <c r="J531" s="53">
        <f>IFERROR(Table3[[#This Row],[QTY SOLD]]*Table3[[#This Row],[Selling Price]],0)</f>
        <v>0</v>
      </c>
      <c r="K531" s="50"/>
      <c r="L531" s="50">
        <f>Table3[[#This Row],[Total Sales]]-Table3[[#This Row],[Discount]]</f>
        <v>0</v>
      </c>
      <c r="M531" s="58">
        <f>Table3[[#This Row],[Net Sales]]-Table3[[#This Row],[Cost Price]]*Table3[[#This Row],[QTY SOLD]]</f>
        <v>0</v>
      </c>
      <c r="N531" s="25"/>
      <c r="O531" s="25"/>
      <c r="P531" s="25"/>
      <c r="Q531" s="25"/>
      <c r="R531" s="25"/>
      <c r="S531" s="25"/>
    </row>
    <row r="532" spans="1:19" x14ac:dyDescent="0.25">
      <c r="A532" s="65"/>
      <c r="B532" s="50"/>
      <c r="C532" s="50"/>
      <c r="D532" s="50"/>
      <c r="E532" s="50" t="str">
        <f>IF(D532="","",VLOOKUP(D532,'Product Master'!$B:$C,2,FALSE))</f>
        <v/>
      </c>
      <c r="F532" s="50" t="str">
        <f>IF(D532="","",IFERROR(VLOOKUP(D532,'Product Master'!$B:$G,3,FALSE),""))</f>
        <v/>
      </c>
      <c r="G532" s="51"/>
      <c r="H532" s="52" t="str">
        <f>IF(D532="","",VLOOKUP(D532,'Product Master'!$B:$F,5,FALSE))</f>
        <v/>
      </c>
      <c r="I532" s="52">
        <f>IFERROR(VLOOKUP(D532,'Product Master'!B:E,4,FALSE),0)</f>
        <v>0</v>
      </c>
      <c r="J532" s="53">
        <f>IFERROR(Table3[[#This Row],[QTY SOLD]]*Table3[[#This Row],[Selling Price]],0)</f>
        <v>0</v>
      </c>
      <c r="K532" s="50"/>
      <c r="L532" s="50">
        <f>Table3[[#This Row],[Total Sales]]-Table3[[#This Row],[Discount]]</f>
        <v>0</v>
      </c>
      <c r="M532" s="58">
        <f>Table3[[#This Row],[Net Sales]]-Table3[[#This Row],[Cost Price]]*Table3[[#This Row],[QTY SOLD]]</f>
        <v>0</v>
      </c>
      <c r="N532" s="25"/>
      <c r="O532" s="25"/>
      <c r="P532" s="25"/>
      <c r="Q532" s="25"/>
      <c r="R532" s="25"/>
      <c r="S532" s="25"/>
    </row>
    <row r="533" spans="1:19" x14ac:dyDescent="0.25">
      <c r="A533" s="65"/>
      <c r="B533" s="50"/>
      <c r="C533" s="50"/>
      <c r="D533" s="50"/>
      <c r="E533" s="50" t="str">
        <f>IF(D533="","",VLOOKUP(D533,'Product Master'!$B:$C,2,FALSE))</f>
        <v/>
      </c>
      <c r="F533" s="50" t="str">
        <f>IF(D533="","",IFERROR(VLOOKUP(D533,'Product Master'!$B:$G,3,FALSE),""))</f>
        <v/>
      </c>
      <c r="G533" s="51"/>
      <c r="H533" s="52" t="str">
        <f>IF(D533="","",VLOOKUP(D533,'Product Master'!$B:$F,5,FALSE))</f>
        <v/>
      </c>
      <c r="I533" s="52">
        <f>IFERROR(VLOOKUP(D533,'Product Master'!B:E,4,FALSE),0)</f>
        <v>0</v>
      </c>
      <c r="J533" s="53">
        <f>IFERROR(Table3[[#This Row],[QTY SOLD]]*Table3[[#This Row],[Selling Price]],0)</f>
        <v>0</v>
      </c>
      <c r="K533" s="50"/>
      <c r="L533" s="50">
        <f>Table3[[#This Row],[Total Sales]]-Table3[[#This Row],[Discount]]</f>
        <v>0</v>
      </c>
      <c r="M533" s="58">
        <f>Table3[[#This Row],[Net Sales]]-Table3[[#This Row],[Cost Price]]*Table3[[#This Row],[QTY SOLD]]</f>
        <v>0</v>
      </c>
      <c r="N533" s="25"/>
      <c r="O533" s="25"/>
      <c r="P533" s="25"/>
      <c r="Q533" s="25"/>
      <c r="R533" s="25"/>
      <c r="S533" s="25"/>
    </row>
    <row r="534" spans="1:19" x14ac:dyDescent="0.25">
      <c r="A534" s="65"/>
      <c r="B534" s="50"/>
      <c r="C534" s="50"/>
      <c r="D534" s="50"/>
      <c r="E534" s="50" t="str">
        <f>IF(D534="","",VLOOKUP(D534,'Product Master'!$B:$C,2,FALSE))</f>
        <v/>
      </c>
      <c r="F534" s="50" t="str">
        <f>IF(D534="","",IFERROR(VLOOKUP(D534,'Product Master'!$B:$G,3,FALSE),""))</f>
        <v/>
      </c>
      <c r="G534" s="51"/>
      <c r="H534" s="52" t="str">
        <f>IF(D534="","",VLOOKUP(D534,'Product Master'!$B:$F,5,FALSE))</f>
        <v/>
      </c>
      <c r="I534" s="52">
        <f>IFERROR(VLOOKUP(D534,'Product Master'!B:E,4,FALSE),0)</f>
        <v>0</v>
      </c>
      <c r="J534" s="53">
        <f>IFERROR(Table3[[#This Row],[QTY SOLD]]*Table3[[#This Row],[Selling Price]],0)</f>
        <v>0</v>
      </c>
      <c r="K534" s="50"/>
      <c r="L534" s="50">
        <f>Table3[[#This Row],[Total Sales]]-Table3[[#This Row],[Discount]]</f>
        <v>0</v>
      </c>
      <c r="M534" s="58">
        <f>Table3[[#This Row],[Net Sales]]-Table3[[#This Row],[Cost Price]]*Table3[[#This Row],[QTY SOLD]]</f>
        <v>0</v>
      </c>
      <c r="N534" s="25"/>
      <c r="O534" s="25"/>
      <c r="P534" s="25"/>
      <c r="Q534" s="25"/>
      <c r="R534" s="25"/>
      <c r="S534" s="25"/>
    </row>
    <row r="535" spans="1:19" x14ac:dyDescent="0.25">
      <c r="A535" s="65"/>
      <c r="B535" s="50"/>
      <c r="C535" s="50"/>
      <c r="D535" s="50"/>
      <c r="E535" s="50" t="str">
        <f>IF(D535="","",VLOOKUP(D535,'Product Master'!$B:$C,2,FALSE))</f>
        <v/>
      </c>
      <c r="F535" s="50" t="str">
        <f>IF(D535="","",IFERROR(VLOOKUP(D535,'Product Master'!$B:$G,3,FALSE),""))</f>
        <v/>
      </c>
      <c r="G535" s="51"/>
      <c r="H535" s="52" t="str">
        <f>IF(D535="","",VLOOKUP(D535,'Product Master'!$B:$F,5,FALSE))</f>
        <v/>
      </c>
      <c r="I535" s="52">
        <f>IFERROR(VLOOKUP(D535,'Product Master'!B:E,4,FALSE),0)</f>
        <v>0</v>
      </c>
      <c r="J535" s="53">
        <f>IFERROR(Table3[[#This Row],[QTY SOLD]]*Table3[[#This Row],[Selling Price]],0)</f>
        <v>0</v>
      </c>
      <c r="K535" s="50"/>
      <c r="L535" s="50">
        <f>Table3[[#This Row],[Total Sales]]-Table3[[#This Row],[Discount]]</f>
        <v>0</v>
      </c>
      <c r="M535" s="58">
        <f>Table3[[#This Row],[Net Sales]]-Table3[[#This Row],[Cost Price]]*Table3[[#This Row],[QTY SOLD]]</f>
        <v>0</v>
      </c>
      <c r="N535" s="25"/>
      <c r="O535" s="25"/>
      <c r="P535" s="25"/>
      <c r="Q535" s="25"/>
      <c r="R535" s="25"/>
      <c r="S535" s="25"/>
    </row>
    <row r="536" spans="1:19" x14ac:dyDescent="0.25">
      <c r="A536" s="65"/>
      <c r="B536" s="50"/>
      <c r="C536" s="50"/>
      <c r="D536" s="50"/>
      <c r="E536" s="50" t="str">
        <f>IF(D536="","",VLOOKUP(D536,'Product Master'!$B:$C,2,FALSE))</f>
        <v/>
      </c>
      <c r="F536" s="50" t="str">
        <f>IF(D536="","",IFERROR(VLOOKUP(D536,'Product Master'!$B:$G,3,FALSE),""))</f>
        <v/>
      </c>
      <c r="G536" s="51"/>
      <c r="H536" s="52" t="str">
        <f>IF(D536="","",VLOOKUP(D536,'Product Master'!$B:$F,5,FALSE))</f>
        <v/>
      </c>
      <c r="I536" s="52">
        <f>IFERROR(VLOOKUP(D536,'Product Master'!B:E,4,FALSE),0)</f>
        <v>0</v>
      </c>
      <c r="J536" s="53">
        <f>IFERROR(Table3[[#This Row],[QTY SOLD]]*Table3[[#This Row],[Selling Price]],0)</f>
        <v>0</v>
      </c>
      <c r="K536" s="50"/>
      <c r="L536" s="50">
        <f>Table3[[#This Row],[Total Sales]]-Table3[[#This Row],[Discount]]</f>
        <v>0</v>
      </c>
      <c r="M536" s="58">
        <f>Table3[[#This Row],[Net Sales]]-Table3[[#This Row],[Cost Price]]*Table3[[#This Row],[QTY SOLD]]</f>
        <v>0</v>
      </c>
      <c r="N536" s="25"/>
      <c r="O536" s="25"/>
      <c r="P536" s="25"/>
      <c r="Q536" s="25"/>
      <c r="R536" s="25"/>
      <c r="S536" s="25"/>
    </row>
    <row r="537" spans="1:19" x14ac:dyDescent="0.25">
      <c r="A537" s="65"/>
      <c r="B537" s="50"/>
      <c r="C537" s="50"/>
      <c r="D537" s="50"/>
      <c r="E537" s="50" t="str">
        <f>IF(D537="","",VLOOKUP(D537,'Product Master'!$B:$C,2,FALSE))</f>
        <v/>
      </c>
      <c r="F537" s="50" t="str">
        <f>IF(D537="","",IFERROR(VLOOKUP(D537,'Product Master'!$B:$G,3,FALSE),""))</f>
        <v/>
      </c>
      <c r="G537" s="51"/>
      <c r="H537" s="52" t="str">
        <f>IF(D537="","",VLOOKUP(D537,'Product Master'!$B:$F,5,FALSE))</f>
        <v/>
      </c>
      <c r="I537" s="52">
        <f>IFERROR(VLOOKUP(D537,'Product Master'!B:E,4,FALSE),0)</f>
        <v>0</v>
      </c>
      <c r="J537" s="53">
        <f>IFERROR(Table3[[#This Row],[QTY SOLD]]*Table3[[#This Row],[Selling Price]],0)</f>
        <v>0</v>
      </c>
      <c r="K537" s="50"/>
      <c r="L537" s="50">
        <f>Table3[[#This Row],[Total Sales]]-Table3[[#This Row],[Discount]]</f>
        <v>0</v>
      </c>
      <c r="M537" s="58">
        <f>Table3[[#This Row],[Net Sales]]-Table3[[#This Row],[Cost Price]]*Table3[[#This Row],[QTY SOLD]]</f>
        <v>0</v>
      </c>
      <c r="N537" s="25"/>
      <c r="O537" s="25"/>
      <c r="P537" s="25"/>
      <c r="Q537" s="25"/>
      <c r="R537" s="25"/>
      <c r="S537" s="25"/>
    </row>
    <row r="538" spans="1:19" x14ac:dyDescent="0.25">
      <c r="A538" s="65"/>
      <c r="B538" s="50"/>
      <c r="C538" s="50"/>
      <c r="D538" s="50"/>
      <c r="E538" s="50" t="str">
        <f>IF(D538="","",VLOOKUP(D538,'Product Master'!$B:$C,2,FALSE))</f>
        <v/>
      </c>
      <c r="F538" s="50" t="str">
        <f>IF(D538="","",IFERROR(VLOOKUP(D538,'Product Master'!$B:$G,3,FALSE),""))</f>
        <v/>
      </c>
      <c r="G538" s="51"/>
      <c r="H538" s="52" t="str">
        <f>IF(D538="","",VLOOKUP(D538,'Product Master'!$B:$F,5,FALSE))</f>
        <v/>
      </c>
      <c r="I538" s="52">
        <f>IFERROR(VLOOKUP(D538,'Product Master'!B:E,4,FALSE),0)</f>
        <v>0</v>
      </c>
      <c r="J538" s="53">
        <f>IFERROR(Table3[[#This Row],[QTY SOLD]]*Table3[[#This Row],[Selling Price]],0)</f>
        <v>0</v>
      </c>
      <c r="K538" s="50"/>
      <c r="L538" s="50">
        <f>Table3[[#This Row],[Total Sales]]-Table3[[#This Row],[Discount]]</f>
        <v>0</v>
      </c>
      <c r="M538" s="58">
        <f>Table3[[#This Row],[Net Sales]]-Table3[[#This Row],[Cost Price]]*Table3[[#This Row],[QTY SOLD]]</f>
        <v>0</v>
      </c>
      <c r="N538" s="25"/>
      <c r="O538" s="25"/>
      <c r="P538" s="25"/>
      <c r="Q538" s="25"/>
      <c r="R538" s="25"/>
      <c r="S538" s="25"/>
    </row>
    <row r="539" spans="1:19" x14ac:dyDescent="0.25">
      <c r="A539" s="65"/>
      <c r="B539" s="50"/>
      <c r="C539" s="50"/>
      <c r="D539" s="50"/>
      <c r="E539" s="50" t="str">
        <f>IF(D539="","",VLOOKUP(D539,'Product Master'!$B:$C,2,FALSE))</f>
        <v/>
      </c>
      <c r="F539" s="50" t="str">
        <f>IF(D539="","",IFERROR(VLOOKUP(D539,'Product Master'!$B:$G,3,FALSE),""))</f>
        <v/>
      </c>
      <c r="G539" s="51"/>
      <c r="H539" s="52" t="str">
        <f>IF(D539="","",VLOOKUP(D539,'Product Master'!$B:$F,5,FALSE))</f>
        <v/>
      </c>
      <c r="I539" s="52">
        <f>IFERROR(VLOOKUP(D539,'Product Master'!B:E,4,FALSE),0)</f>
        <v>0</v>
      </c>
      <c r="J539" s="53">
        <f>IFERROR(Table3[[#This Row],[QTY SOLD]]*Table3[[#This Row],[Selling Price]],0)</f>
        <v>0</v>
      </c>
      <c r="K539" s="50"/>
      <c r="L539" s="50">
        <f>Table3[[#This Row],[Total Sales]]-Table3[[#This Row],[Discount]]</f>
        <v>0</v>
      </c>
      <c r="M539" s="58">
        <f>Table3[[#This Row],[Net Sales]]-Table3[[#This Row],[Cost Price]]*Table3[[#This Row],[QTY SOLD]]</f>
        <v>0</v>
      </c>
      <c r="N539" s="25"/>
      <c r="O539" s="25"/>
      <c r="P539" s="25"/>
      <c r="Q539" s="25"/>
      <c r="R539" s="25"/>
      <c r="S539" s="25"/>
    </row>
    <row r="540" spans="1:19" x14ac:dyDescent="0.25">
      <c r="A540" s="65"/>
      <c r="B540" s="50"/>
      <c r="C540" s="50"/>
      <c r="D540" s="50"/>
      <c r="E540" s="50" t="str">
        <f>IF(D540="","",VLOOKUP(D540,'Product Master'!$B:$C,2,FALSE))</f>
        <v/>
      </c>
      <c r="F540" s="50" t="str">
        <f>IF(D540="","",IFERROR(VLOOKUP(D540,'Product Master'!$B:$G,3,FALSE),""))</f>
        <v/>
      </c>
      <c r="G540" s="51"/>
      <c r="H540" s="52" t="str">
        <f>IF(D540="","",VLOOKUP(D540,'Product Master'!$B:$F,5,FALSE))</f>
        <v/>
      </c>
      <c r="I540" s="52">
        <f>IFERROR(VLOOKUP(D540,'Product Master'!B:E,4,FALSE),0)</f>
        <v>0</v>
      </c>
      <c r="J540" s="53">
        <f>IFERROR(Table3[[#This Row],[QTY SOLD]]*Table3[[#This Row],[Selling Price]],0)</f>
        <v>0</v>
      </c>
      <c r="K540" s="50"/>
      <c r="L540" s="50">
        <f>Table3[[#This Row],[Total Sales]]-Table3[[#This Row],[Discount]]</f>
        <v>0</v>
      </c>
      <c r="M540" s="58">
        <f>Table3[[#This Row],[Net Sales]]-Table3[[#This Row],[Cost Price]]*Table3[[#This Row],[QTY SOLD]]</f>
        <v>0</v>
      </c>
      <c r="N540" s="25"/>
      <c r="O540" s="25"/>
      <c r="P540" s="25"/>
      <c r="Q540" s="25"/>
      <c r="R540" s="25"/>
      <c r="S540" s="25"/>
    </row>
    <row r="541" spans="1:19" x14ac:dyDescent="0.25">
      <c r="A541" s="65"/>
      <c r="B541" s="50"/>
      <c r="C541" s="50"/>
      <c r="D541" s="50"/>
      <c r="E541" s="50" t="str">
        <f>IF(D541="","",VLOOKUP(D541,'Product Master'!$B:$C,2,FALSE))</f>
        <v/>
      </c>
      <c r="F541" s="50" t="str">
        <f>IF(D541="","",IFERROR(VLOOKUP(D541,'Product Master'!$B:$G,3,FALSE),""))</f>
        <v/>
      </c>
      <c r="G541" s="51"/>
      <c r="H541" s="52" t="str">
        <f>IF(D541="","",VLOOKUP(D541,'Product Master'!$B:$F,5,FALSE))</f>
        <v/>
      </c>
      <c r="I541" s="52">
        <f>IFERROR(VLOOKUP(D541,'Product Master'!B:E,4,FALSE),0)</f>
        <v>0</v>
      </c>
      <c r="J541" s="53">
        <f>IFERROR(Table3[[#This Row],[QTY SOLD]]*Table3[[#This Row],[Selling Price]],0)</f>
        <v>0</v>
      </c>
      <c r="K541" s="50"/>
      <c r="L541" s="50">
        <f>Table3[[#This Row],[Total Sales]]-Table3[[#This Row],[Discount]]</f>
        <v>0</v>
      </c>
      <c r="M541" s="58">
        <f>Table3[[#This Row],[Net Sales]]-Table3[[#This Row],[Cost Price]]*Table3[[#This Row],[QTY SOLD]]</f>
        <v>0</v>
      </c>
      <c r="N541" s="25"/>
      <c r="O541" s="25"/>
      <c r="P541" s="25"/>
      <c r="Q541" s="25"/>
      <c r="R541" s="25"/>
      <c r="S541" s="25"/>
    </row>
    <row r="542" spans="1:19" x14ac:dyDescent="0.25">
      <c r="A542" s="65"/>
      <c r="B542" s="50"/>
      <c r="C542" s="50"/>
      <c r="D542" s="50"/>
      <c r="E542" s="50" t="str">
        <f>IF(D542="","",VLOOKUP(D542,'Product Master'!$B:$C,2,FALSE))</f>
        <v/>
      </c>
      <c r="F542" s="50" t="str">
        <f>IF(D542="","",IFERROR(VLOOKUP(D542,'Product Master'!$B:$G,3,FALSE),""))</f>
        <v/>
      </c>
      <c r="G542" s="51"/>
      <c r="H542" s="52" t="str">
        <f>IF(D542="","",VLOOKUP(D542,'Product Master'!$B:$F,5,FALSE))</f>
        <v/>
      </c>
      <c r="I542" s="52">
        <f>IFERROR(VLOOKUP(D542,'Product Master'!B:E,4,FALSE),0)</f>
        <v>0</v>
      </c>
      <c r="J542" s="53">
        <f>IFERROR(Table3[[#This Row],[QTY SOLD]]*Table3[[#This Row],[Selling Price]],0)</f>
        <v>0</v>
      </c>
      <c r="K542" s="50"/>
      <c r="L542" s="50">
        <f>Table3[[#This Row],[Total Sales]]-Table3[[#This Row],[Discount]]</f>
        <v>0</v>
      </c>
      <c r="M542" s="58">
        <f>Table3[[#This Row],[Net Sales]]-Table3[[#This Row],[Cost Price]]*Table3[[#This Row],[QTY SOLD]]</f>
        <v>0</v>
      </c>
      <c r="N542" s="25"/>
      <c r="O542" s="25"/>
      <c r="P542" s="25"/>
      <c r="Q542" s="25"/>
      <c r="R542" s="25"/>
      <c r="S542" s="25"/>
    </row>
    <row r="543" spans="1:19" x14ac:dyDescent="0.25">
      <c r="A543" s="65"/>
      <c r="B543" s="50"/>
      <c r="C543" s="50"/>
      <c r="D543" s="50"/>
      <c r="E543" s="50" t="str">
        <f>IF(D543="","",VLOOKUP(D543,'Product Master'!$B:$C,2,FALSE))</f>
        <v/>
      </c>
      <c r="F543" s="50" t="str">
        <f>IF(D543="","",IFERROR(VLOOKUP(D543,'Product Master'!$B:$G,3,FALSE),""))</f>
        <v/>
      </c>
      <c r="G543" s="51"/>
      <c r="H543" s="52" t="str">
        <f>IF(D543="","",VLOOKUP(D543,'Product Master'!$B:$F,5,FALSE))</f>
        <v/>
      </c>
      <c r="I543" s="52">
        <f>IFERROR(VLOOKUP(D543,'Product Master'!B:E,4,FALSE),0)</f>
        <v>0</v>
      </c>
      <c r="J543" s="53">
        <f>IFERROR(Table3[[#This Row],[QTY SOLD]]*Table3[[#This Row],[Selling Price]],0)</f>
        <v>0</v>
      </c>
      <c r="K543" s="50"/>
      <c r="L543" s="50">
        <f>Table3[[#This Row],[Total Sales]]-Table3[[#This Row],[Discount]]</f>
        <v>0</v>
      </c>
      <c r="M543" s="58">
        <f>Table3[[#This Row],[Net Sales]]-Table3[[#This Row],[Cost Price]]*Table3[[#This Row],[QTY SOLD]]</f>
        <v>0</v>
      </c>
      <c r="N543" s="25"/>
      <c r="O543" s="25"/>
      <c r="P543" s="25"/>
      <c r="Q543" s="25"/>
      <c r="R543" s="25"/>
      <c r="S543" s="25"/>
    </row>
    <row r="544" spans="1:19" x14ac:dyDescent="0.25">
      <c r="A544" s="65"/>
      <c r="B544" s="50"/>
      <c r="C544" s="50"/>
      <c r="D544" s="50"/>
      <c r="E544" s="50" t="str">
        <f>IF(D544="","",VLOOKUP(D544,'Product Master'!$B:$C,2,FALSE))</f>
        <v/>
      </c>
      <c r="F544" s="50" t="str">
        <f>IF(D544="","",IFERROR(VLOOKUP(D544,'Product Master'!$B:$G,3,FALSE),""))</f>
        <v/>
      </c>
      <c r="G544" s="51"/>
      <c r="H544" s="52" t="str">
        <f>IF(D544="","",VLOOKUP(D544,'Product Master'!$B:$F,5,FALSE))</f>
        <v/>
      </c>
      <c r="I544" s="52">
        <f>IFERROR(VLOOKUP(D544,'Product Master'!B:E,4,FALSE),0)</f>
        <v>0</v>
      </c>
      <c r="J544" s="53">
        <f>IFERROR(Table3[[#This Row],[QTY SOLD]]*Table3[[#This Row],[Selling Price]],0)</f>
        <v>0</v>
      </c>
      <c r="K544" s="50"/>
      <c r="L544" s="50">
        <f>Table3[[#This Row],[Total Sales]]-Table3[[#This Row],[Discount]]</f>
        <v>0</v>
      </c>
      <c r="M544" s="58">
        <f>Table3[[#This Row],[Net Sales]]-Table3[[#This Row],[Cost Price]]*Table3[[#This Row],[QTY SOLD]]</f>
        <v>0</v>
      </c>
      <c r="N544" s="25"/>
      <c r="O544" s="25"/>
      <c r="P544" s="25"/>
      <c r="Q544" s="25"/>
      <c r="R544" s="25"/>
      <c r="S544" s="25"/>
    </row>
    <row r="545" spans="1:19" x14ac:dyDescent="0.25">
      <c r="A545" s="65"/>
      <c r="B545" s="50"/>
      <c r="C545" s="50"/>
      <c r="D545" s="50"/>
      <c r="E545" s="50" t="str">
        <f>IF(D545="","",VLOOKUP(D545,'Product Master'!$B:$C,2,FALSE))</f>
        <v/>
      </c>
      <c r="F545" s="50" t="str">
        <f>IF(D545="","",IFERROR(VLOOKUP(D545,'Product Master'!$B:$G,3,FALSE),""))</f>
        <v/>
      </c>
      <c r="G545" s="51"/>
      <c r="H545" s="52" t="str">
        <f>IF(D545="","",VLOOKUP(D545,'Product Master'!$B:$F,5,FALSE))</f>
        <v/>
      </c>
      <c r="I545" s="52">
        <f>IFERROR(VLOOKUP(D545,'Product Master'!B:E,4,FALSE),0)</f>
        <v>0</v>
      </c>
      <c r="J545" s="53">
        <f>IFERROR(Table3[[#This Row],[QTY SOLD]]*Table3[[#This Row],[Selling Price]],0)</f>
        <v>0</v>
      </c>
      <c r="K545" s="50"/>
      <c r="L545" s="50">
        <f>Table3[[#This Row],[Total Sales]]-Table3[[#This Row],[Discount]]</f>
        <v>0</v>
      </c>
      <c r="M545" s="58">
        <f>Table3[[#This Row],[Net Sales]]-Table3[[#This Row],[Cost Price]]*Table3[[#This Row],[QTY SOLD]]</f>
        <v>0</v>
      </c>
      <c r="N545" s="25"/>
      <c r="O545" s="25"/>
      <c r="P545" s="25"/>
      <c r="Q545" s="25"/>
      <c r="R545" s="25"/>
      <c r="S545" s="25"/>
    </row>
    <row r="546" spans="1:19" x14ac:dyDescent="0.25">
      <c r="A546" s="65"/>
      <c r="B546" s="50"/>
      <c r="C546" s="50"/>
      <c r="D546" s="50"/>
      <c r="E546" s="50" t="str">
        <f>IF(D546="","",VLOOKUP(D546,'Product Master'!$B:$C,2,FALSE))</f>
        <v/>
      </c>
      <c r="F546" s="50" t="str">
        <f>IF(D546="","",IFERROR(VLOOKUP(D546,'Product Master'!$B:$G,3,FALSE),""))</f>
        <v/>
      </c>
      <c r="G546" s="51"/>
      <c r="H546" s="52" t="str">
        <f>IF(D546="","",VLOOKUP(D546,'Product Master'!$B:$F,5,FALSE))</f>
        <v/>
      </c>
      <c r="I546" s="52">
        <f>IFERROR(VLOOKUP(D546,'Product Master'!B:E,4,FALSE),0)</f>
        <v>0</v>
      </c>
      <c r="J546" s="53">
        <f>IFERROR(Table3[[#This Row],[QTY SOLD]]*Table3[[#This Row],[Selling Price]],0)</f>
        <v>0</v>
      </c>
      <c r="K546" s="50"/>
      <c r="L546" s="50">
        <f>Table3[[#This Row],[Total Sales]]-Table3[[#This Row],[Discount]]</f>
        <v>0</v>
      </c>
      <c r="M546" s="58">
        <f>Table3[[#This Row],[Net Sales]]-Table3[[#This Row],[Cost Price]]*Table3[[#This Row],[QTY SOLD]]</f>
        <v>0</v>
      </c>
      <c r="N546" s="25"/>
      <c r="O546" s="25"/>
      <c r="P546" s="25"/>
      <c r="Q546" s="25"/>
      <c r="R546" s="25"/>
      <c r="S546" s="25"/>
    </row>
    <row r="547" spans="1:19" x14ac:dyDescent="0.25">
      <c r="A547" s="65"/>
      <c r="B547" s="50"/>
      <c r="C547" s="50"/>
      <c r="D547" s="50"/>
      <c r="E547" s="50" t="str">
        <f>IF(D547="","",VLOOKUP(D547,'Product Master'!$B:$C,2,FALSE))</f>
        <v/>
      </c>
      <c r="F547" s="50" t="str">
        <f>IF(D547="","",IFERROR(VLOOKUP(D547,'Product Master'!$B:$G,3,FALSE),""))</f>
        <v/>
      </c>
      <c r="G547" s="51"/>
      <c r="H547" s="52" t="str">
        <f>IF(D547="","",VLOOKUP(D547,'Product Master'!$B:$F,5,FALSE))</f>
        <v/>
      </c>
      <c r="I547" s="52">
        <f>IFERROR(VLOOKUP(D547,'Product Master'!B:E,4,FALSE),0)</f>
        <v>0</v>
      </c>
      <c r="J547" s="53">
        <f>IFERROR(Table3[[#This Row],[QTY SOLD]]*Table3[[#This Row],[Selling Price]],0)</f>
        <v>0</v>
      </c>
      <c r="K547" s="50"/>
      <c r="L547" s="50">
        <f>Table3[[#This Row],[Total Sales]]-Table3[[#This Row],[Discount]]</f>
        <v>0</v>
      </c>
      <c r="M547" s="58">
        <f>Table3[[#This Row],[Net Sales]]-Table3[[#This Row],[Cost Price]]*Table3[[#This Row],[QTY SOLD]]</f>
        <v>0</v>
      </c>
      <c r="N547" s="25"/>
      <c r="O547" s="25"/>
      <c r="P547" s="25"/>
      <c r="Q547" s="25"/>
      <c r="R547" s="25"/>
      <c r="S547" s="25"/>
    </row>
    <row r="548" spans="1:19" x14ac:dyDescent="0.25">
      <c r="A548" s="65"/>
      <c r="B548" s="50"/>
      <c r="C548" s="50"/>
      <c r="D548" s="50"/>
      <c r="E548" s="50" t="str">
        <f>IF(D548="","",VLOOKUP(D548,'Product Master'!$B:$C,2,FALSE))</f>
        <v/>
      </c>
      <c r="F548" s="50" t="str">
        <f>IF(D548="","",IFERROR(VLOOKUP(D548,'Product Master'!$B:$G,3,FALSE),""))</f>
        <v/>
      </c>
      <c r="G548" s="51"/>
      <c r="H548" s="52" t="str">
        <f>IF(D548="","",VLOOKUP(D548,'Product Master'!$B:$F,5,FALSE))</f>
        <v/>
      </c>
      <c r="I548" s="52">
        <f>IFERROR(VLOOKUP(D548,'Product Master'!B:E,4,FALSE),0)</f>
        <v>0</v>
      </c>
      <c r="J548" s="53">
        <f>IFERROR(Table3[[#This Row],[QTY SOLD]]*Table3[[#This Row],[Selling Price]],0)</f>
        <v>0</v>
      </c>
      <c r="K548" s="50"/>
      <c r="L548" s="50">
        <f>Table3[[#This Row],[Total Sales]]-Table3[[#This Row],[Discount]]</f>
        <v>0</v>
      </c>
      <c r="M548" s="58">
        <f>Table3[[#This Row],[Net Sales]]-Table3[[#This Row],[Cost Price]]*Table3[[#This Row],[QTY SOLD]]</f>
        <v>0</v>
      </c>
      <c r="N548" s="25"/>
      <c r="O548" s="25"/>
      <c r="P548" s="25"/>
      <c r="Q548" s="25"/>
      <c r="R548" s="25"/>
      <c r="S548" s="25"/>
    </row>
    <row r="549" spans="1:19" x14ac:dyDescent="0.25">
      <c r="A549" s="65"/>
      <c r="B549" s="50"/>
      <c r="C549" s="50"/>
      <c r="D549" s="50"/>
      <c r="E549" s="50" t="str">
        <f>IF(D549="","",VLOOKUP(D549,'Product Master'!$B:$C,2,FALSE))</f>
        <v/>
      </c>
      <c r="F549" s="50" t="str">
        <f>IF(D549="","",IFERROR(VLOOKUP(D549,'Product Master'!$B:$G,3,FALSE),""))</f>
        <v/>
      </c>
      <c r="G549" s="51"/>
      <c r="H549" s="52" t="str">
        <f>IF(D549="","",VLOOKUP(D549,'Product Master'!$B:$F,5,FALSE))</f>
        <v/>
      </c>
      <c r="I549" s="52">
        <f>IFERROR(VLOOKUP(D549,'Product Master'!B:E,4,FALSE),0)</f>
        <v>0</v>
      </c>
      <c r="J549" s="53">
        <f>IFERROR(Table3[[#This Row],[QTY SOLD]]*Table3[[#This Row],[Selling Price]],0)</f>
        <v>0</v>
      </c>
      <c r="K549" s="50"/>
      <c r="L549" s="50">
        <f>Table3[[#This Row],[Total Sales]]-Table3[[#This Row],[Discount]]</f>
        <v>0</v>
      </c>
      <c r="M549" s="58">
        <f>Table3[[#This Row],[Net Sales]]-Table3[[#This Row],[Cost Price]]*Table3[[#This Row],[QTY SOLD]]</f>
        <v>0</v>
      </c>
      <c r="N549" s="25"/>
      <c r="O549" s="25"/>
      <c r="P549" s="25"/>
      <c r="Q549" s="25"/>
      <c r="R549" s="25"/>
      <c r="S549" s="25"/>
    </row>
    <row r="550" spans="1:19" x14ac:dyDescent="0.25">
      <c r="A550" s="65"/>
      <c r="B550" s="50"/>
      <c r="C550" s="50"/>
      <c r="D550" s="50"/>
      <c r="E550" s="50" t="str">
        <f>IF(D550="","",VLOOKUP(D550,'Product Master'!$B:$C,2,FALSE))</f>
        <v/>
      </c>
      <c r="F550" s="50" t="str">
        <f>IF(D550="","",IFERROR(VLOOKUP(D550,'Product Master'!$B:$G,3,FALSE),""))</f>
        <v/>
      </c>
      <c r="G550" s="51"/>
      <c r="H550" s="52" t="str">
        <f>IF(D550="","",VLOOKUP(D550,'Product Master'!$B:$F,5,FALSE))</f>
        <v/>
      </c>
      <c r="I550" s="52">
        <f>IFERROR(VLOOKUP(D550,'Product Master'!B:E,4,FALSE),0)</f>
        <v>0</v>
      </c>
      <c r="J550" s="53">
        <f>IFERROR(Table3[[#This Row],[QTY SOLD]]*Table3[[#This Row],[Selling Price]],0)</f>
        <v>0</v>
      </c>
      <c r="K550" s="50"/>
      <c r="L550" s="50">
        <f>Table3[[#This Row],[Total Sales]]-Table3[[#This Row],[Discount]]</f>
        <v>0</v>
      </c>
      <c r="M550" s="58">
        <f>Table3[[#This Row],[Net Sales]]-Table3[[#This Row],[Cost Price]]*Table3[[#This Row],[QTY SOLD]]</f>
        <v>0</v>
      </c>
      <c r="N550" s="25"/>
      <c r="O550" s="25"/>
      <c r="P550" s="25"/>
      <c r="Q550" s="25"/>
      <c r="R550" s="25"/>
      <c r="S550" s="25"/>
    </row>
    <row r="551" spans="1:19" x14ac:dyDescent="0.25">
      <c r="A551" s="65"/>
      <c r="B551" s="50"/>
      <c r="C551" s="50"/>
      <c r="D551" s="50"/>
      <c r="E551" s="50" t="str">
        <f>IF(D551="","",VLOOKUP(D551,'Product Master'!$B:$C,2,FALSE))</f>
        <v/>
      </c>
      <c r="F551" s="50" t="str">
        <f>IF(D551="","",IFERROR(VLOOKUP(D551,'Product Master'!$B:$G,3,FALSE),""))</f>
        <v/>
      </c>
      <c r="G551" s="51"/>
      <c r="H551" s="52" t="str">
        <f>IF(D551="","",VLOOKUP(D551,'Product Master'!$B:$F,5,FALSE))</f>
        <v/>
      </c>
      <c r="I551" s="52">
        <f>IFERROR(VLOOKUP(D551,'Product Master'!B:E,4,FALSE),0)</f>
        <v>0</v>
      </c>
      <c r="J551" s="53">
        <f>IFERROR(Table3[[#This Row],[QTY SOLD]]*Table3[[#This Row],[Selling Price]],0)</f>
        <v>0</v>
      </c>
      <c r="K551" s="50"/>
      <c r="L551" s="50">
        <f>Table3[[#This Row],[Total Sales]]-Table3[[#This Row],[Discount]]</f>
        <v>0</v>
      </c>
      <c r="M551" s="58">
        <f>Table3[[#This Row],[Net Sales]]-Table3[[#This Row],[Cost Price]]*Table3[[#This Row],[QTY SOLD]]</f>
        <v>0</v>
      </c>
      <c r="N551" s="25"/>
      <c r="O551" s="25"/>
      <c r="P551" s="25"/>
      <c r="Q551" s="25"/>
      <c r="R551" s="25"/>
      <c r="S551" s="25"/>
    </row>
    <row r="552" spans="1:19" x14ac:dyDescent="0.25">
      <c r="A552" s="65"/>
      <c r="B552" s="50"/>
      <c r="C552" s="50"/>
      <c r="D552" s="50"/>
      <c r="E552" s="50" t="str">
        <f>IF(D552="","",VLOOKUP(D552,'Product Master'!$B:$C,2,FALSE))</f>
        <v/>
      </c>
      <c r="F552" s="50" t="str">
        <f>IF(D552="","",IFERROR(VLOOKUP(D552,'Product Master'!$B:$G,3,FALSE),""))</f>
        <v/>
      </c>
      <c r="G552" s="51"/>
      <c r="H552" s="52" t="str">
        <f>IF(D552="","",VLOOKUP(D552,'Product Master'!$B:$F,5,FALSE))</f>
        <v/>
      </c>
      <c r="I552" s="52">
        <f>IFERROR(VLOOKUP(D552,'Product Master'!B:E,4,FALSE),0)</f>
        <v>0</v>
      </c>
      <c r="J552" s="53">
        <f>IFERROR(Table3[[#This Row],[QTY SOLD]]*Table3[[#This Row],[Selling Price]],0)</f>
        <v>0</v>
      </c>
      <c r="K552" s="50"/>
      <c r="L552" s="50">
        <f>Table3[[#This Row],[Total Sales]]-Table3[[#This Row],[Discount]]</f>
        <v>0</v>
      </c>
      <c r="M552" s="58">
        <f>Table3[[#This Row],[Net Sales]]-Table3[[#This Row],[Cost Price]]*Table3[[#This Row],[QTY SOLD]]</f>
        <v>0</v>
      </c>
      <c r="N552" s="25"/>
      <c r="O552" s="25"/>
      <c r="P552" s="25"/>
      <c r="Q552" s="25"/>
      <c r="R552" s="25"/>
      <c r="S552" s="25"/>
    </row>
    <row r="553" spans="1:19" x14ac:dyDescent="0.25">
      <c r="A553" s="65"/>
      <c r="B553" s="50"/>
      <c r="C553" s="50"/>
      <c r="D553" s="50"/>
      <c r="E553" s="50" t="str">
        <f>IF(D553="","",VLOOKUP(D553,'Product Master'!$B:$C,2,FALSE))</f>
        <v/>
      </c>
      <c r="F553" s="50" t="str">
        <f>IF(D553="","",IFERROR(VLOOKUP(D553,'Product Master'!$B:$G,3,FALSE),""))</f>
        <v/>
      </c>
      <c r="G553" s="51"/>
      <c r="H553" s="52" t="str">
        <f>IF(D553="","",VLOOKUP(D553,'Product Master'!$B:$F,5,FALSE))</f>
        <v/>
      </c>
      <c r="I553" s="52">
        <f>IFERROR(VLOOKUP(D553,'Product Master'!B:E,4,FALSE),0)</f>
        <v>0</v>
      </c>
      <c r="J553" s="53">
        <f>IFERROR(Table3[[#This Row],[QTY SOLD]]*Table3[[#This Row],[Selling Price]],0)</f>
        <v>0</v>
      </c>
      <c r="K553" s="50"/>
      <c r="L553" s="50">
        <f>Table3[[#This Row],[Total Sales]]-Table3[[#This Row],[Discount]]</f>
        <v>0</v>
      </c>
      <c r="M553" s="58">
        <f>Table3[[#This Row],[Net Sales]]-Table3[[#This Row],[Cost Price]]*Table3[[#This Row],[QTY SOLD]]</f>
        <v>0</v>
      </c>
      <c r="N553" s="25"/>
      <c r="O553" s="25"/>
      <c r="P553" s="25"/>
      <c r="Q553" s="25"/>
      <c r="R553" s="25"/>
      <c r="S553" s="25"/>
    </row>
    <row r="554" spans="1:19" x14ac:dyDescent="0.25">
      <c r="A554" s="65"/>
      <c r="B554" s="50"/>
      <c r="C554" s="50"/>
      <c r="D554" s="50"/>
      <c r="E554" s="50" t="str">
        <f>IF(D554="","",VLOOKUP(D554,'Product Master'!$B:$C,2,FALSE))</f>
        <v/>
      </c>
      <c r="F554" s="50" t="str">
        <f>IF(D554="","",IFERROR(VLOOKUP(D554,'Product Master'!$B:$G,3,FALSE),""))</f>
        <v/>
      </c>
      <c r="G554" s="51"/>
      <c r="H554" s="52" t="str">
        <f>IF(D554="","",VLOOKUP(D554,'Product Master'!$B:$F,5,FALSE))</f>
        <v/>
      </c>
      <c r="I554" s="52">
        <f>IFERROR(VLOOKUP(D554,'Product Master'!B:E,4,FALSE),0)</f>
        <v>0</v>
      </c>
      <c r="J554" s="53">
        <f>IFERROR(Table3[[#This Row],[QTY SOLD]]*Table3[[#This Row],[Selling Price]],0)</f>
        <v>0</v>
      </c>
      <c r="K554" s="50"/>
      <c r="L554" s="50">
        <f>Table3[[#This Row],[Total Sales]]-Table3[[#This Row],[Discount]]</f>
        <v>0</v>
      </c>
      <c r="M554" s="58">
        <f>Table3[[#This Row],[Net Sales]]-Table3[[#This Row],[Cost Price]]*Table3[[#This Row],[QTY SOLD]]</f>
        <v>0</v>
      </c>
      <c r="N554" s="25"/>
      <c r="O554" s="25"/>
      <c r="P554" s="25"/>
      <c r="Q554" s="25"/>
      <c r="R554" s="25"/>
      <c r="S554" s="25"/>
    </row>
    <row r="555" spans="1:19" x14ac:dyDescent="0.25">
      <c r="A555" s="65"/>
      <c r="B555" s="50"/>
      <c r="C555" s="50"/>
      <c r="D555" s="50"/>
      <c r="E555" s="50" t="str">
        <f>IF(D555="","",VLOOKUP(D555,'Product Master'!$B:$C,2,FALSE))</f>
        <v/>
      </c>
      <c r="F555" s="50" t="str">
        <f>IF(D555="","",IFERROR(VLOOKUP(D555,'Product Master'!$B:$G,3,FALSE),""))</f>
        <v/>
      </c>
      <c r="G555" s="51"/>
      <c r="H555" s="52" t="str">
        <f>IF(D555="","",VLOOKUP(D555,'Product Master'!$B:$F,5,FALSE))</f>
        <v/>
      </c>
      <c r="I555" s="52">
        <f>IFERROR(VLOOKUP(D555,'Product Master'!B:E,4,FALSE),0)</f>
        <v>0</v>
      </c>
      <c r="J555" s="53">
        <f>IFERROR(Table3[[#This Row],[QTY SOLD]]*Table3[[#This Row],[Selling Price]],0)</f>
        <v>0</v>
      </c>
      <c r="K555" s="50"/>
      <c r="L555" s="50">
        <f>Table3[[#This Row],[Total Sales]]-Table3[[#This Row],[Discount]]</f>
        <v>0</v>
      </c>
      <c r="M555" s="58">
        <f>Table3[[#This Row],[Net Sales]]-Table3[[#This Row],[Cost Price]]*Table3[[#This Row],[QTY SOLD]]</f>
        <v>0</v>
      </c>
      <c r="N555" s="25"/>
      <c r="O555" s="25"/>
      <c r="P555" s="25"/>
      <c r="Q555" s="25"/>
      <c r="R555" s="25"/>
      <c r="S555" s="25"/>
    </row>
    <row r="556" spans="1:19" x14ac:dyDescent="0.25">
      <c r="A556" s="65"/>
      <c r="B556" s="50"/>
      <c r="C556" s="50"/>
      <c r="D556" s="50"/>
      <c r="E556" s="50" t="str">
        <f>IF(D556="","",VLOOKUP(D556,'Product Master'!$B:$C,2,FALSE))</f>
        <v/>
      </c>
      <c r="F556" s="50" t="str">
        <f>IF(D556="","",IFERROR(VLOOKUP(D556,'Product Master'!$B:$G,3,FALSE),""))</f>
        <v/>
      </c>
      <c r="G556" s="51"/>
      <c r="H556" s="52" t="str">
        <f>IF(D556="","",VLOOKUP(D556,'Product Master'!$B:$F,5,FALSE))</f>
        <v/>
      </c>
      <c r="I556" s="52">
        <f>IFERROR(VLOOKUP(D556,'Product Master'!B:E,4,FALSE),0)</f>
        <v>0</v>
      </c>
      <c r="J556" s="53">
        <f>IFERROR(Table3[[#This Row],[QTY SOLD]]*Table3[[#This Row],[Selling Price]],0)</f>
        <v>0</v>
      </c>
      <c r="K556" s="50"/>
      <c r="L556" s="50">
        <f>Table3[[#This Row],[Total Sales]]-Table3[[#This Row],[Discount]]</f>
        <v>0</v>
      </c>
      <c r="M556" s="58">
        <f>Table3[[#This Row],[Net Sales]]-Table3[[#This Row],[Cost Price]]*Table3[[#This Row],[QTY SOLD]]</f>
        <v>0</v>
      </c>
      <c r="N556" s="25"/>
      <c r="O556" s="25"/>
      <c r="P556" s="25"/>
      <c r="Q556" s="25"/>
      <c r="R556" s="25"/>
      <c r="S556" s="25"/>
    </row>
    <row r="557" spans="1:19" x14ac:dyDescent="0.25">
      <c r="A557" s="65"/>
      <c r="B557" s="50"/>
      <c r="C557" s="50"/>
      <c r="D557" s="50"/>
      <c r="E557" s="50" t="str">
        <f>IF(D557="","",VLOOKUP(D557,'Product Master'!$B:$C,2,FALSE))</f>
        <v/>
      </c>
      <c r="F557" s="50" t="str">
        <f>IF(D557="","",IFERROR(VLOOKUP(D557,'Product Master'!$B:$G,3,FALSE),""))</f>
        <v/>
      </c>
      <c r="G557" s="51"/>
      <c r="H557" s="52" t="str">
        <f>IF(D557="","",VLOOKUP(D557,'Product Master'!$B:$F,5,FALSE))</f>
        <v/>
      </c>
      <c r="I557" s="52">
        <f>IFERROR(VLOOKUP(D557,'Product Master'!B:E,4,FALSE),0)</f>
        <v>0</v>
      </c>
      <c r="J557" s="53">
        <f>IFERROR(Table3[[#This Row],[QTY SOLD]]*Table3[[#This Row],[Selling Price]],0)</f>
        <v>0</v>
      </c>
      <c r="K557" s="50"/>
      <c r="L557" s="50">
        <f>Table3[[#This Row],[Total Sales]]-Table3[[#This Row],[Discount]]</f>
        <v>0</v>
      </c>
      <c r="M557" s="58">
        <f>Table3[[#This Row],[Net Sales]]-Table3[[#This Row],[Cost Price]]*Table3[[#This Row],[QTY SOLD]]</f>
        <v>0</v>
      </c>
      <c r="N557" s="25"/>
      <c r="O557" s="25"/>
      <c r="P557" s="25"/>
      <c r="Q557" s="25"/>
      <c r="R557" s="25"/>
      <c r="S557" s="25"/>
    </row>
    <row r="558" spans="1:19" x14ac:dyDescent="0.25">
      <c r="A558" s="65"/>
      <c r="B558" s="50"/>
      <c r="C558" s="50"/>
      <c r="D558" s="50"/>
      <c r="E558" s="50" t="str">
        <f>IF(D558="","",VLOOKUP(D558,'Product Master'!$B:$C,2,FALSE))</f>
        <v/>
      </c>
      <c r="F558" s="50" t="str">
        <f>IF(D558="","",IFERROR(VLOOKUP(D558,'Product Master'!$B:$G,3,FALSE),""))</f>
        <v/>
      </c>
      <c r="G558" s="51"/>
      <c r="H558" s="52" t="str">
        <f>IF(D558="","",VLOOKUP(D558,'Product Master'!$B:$F,5,FALSE))</f>
        <v/>
      </c>
      <c r="I558" s="52">
        <f>IFERROR(VLOOKUP(D558,'Product Master'!B:E,4,FALSE),0)</f>
        <v>0</v>
      </c>
      <c r="J558" s="53">
        <f>IFERROR(Table3[[#This Row],[QTY SOLD]]*Table3[[#This Row],[Selling Price]],0)</f>
        <v>0</v>
      </c>
      <c r="K558" s="50"/>
      <c r="L558" s="50">
        <f>Table3[[#This Row],[Total Sales]]-Table3[[#This Row],[Discount]]</f>
        <v>0</v>
      </c>
      <c r="M558" s="58">
        <f>Table3[[#This Row],[Net Sales]]-Table3[[#This Row],[Cost Price]]*Table3[[#This Row],[QTY SOLD]]</f>
        <v>0</v>
      </c>
      <c r="N558" s="25"/>
      <c r="O558" s="25"/>
      <c r="P558" s="25"/>
      <c r="Q558" s="25"/>
      <c r="R558" s="25"/>
      <c r="S558" s="25"/>
    </row>
    <row r="559" spans="1:19" x14ac:dyDescent="0.25">
      <c r="A559" s="65"/>
      <c r="B559" s="50"/>
      <c r="C559" s="50"/>
      <c r="D559" s="50"/>
      <c r="E559" s="50" t="str">
        <f>IF(D559="","",VLOOKUP(D559,'Product Master'!$B:$C,2,FALSE))</f>
        <v/>
      </c>
      <c r="F559" s="50" t="str">
        <f>IF(D559="","",IFERROR(VLOOKUP(D559,'Product Master'!$B:$G,3,FALSE),""))</f>
        <v/>
      </c>
      <c r="G559" s="51"/>
      <c r="H559" s="52" t="str">
        <f>IF(D559="","",VLOOKUP(D559,'Product Master'!$B:$F,5,FALSE))</f>
        <v/>
      </c>
      <c r="I559" s="52">
        <f>IFERROR(VLOOKUP(D559,'Product Master'!B:E,4,FALSE),0)</f>
        <v>0</v>
      </c>
      <c r="J559" s="53">
        <f>IFERROR(Table3[[#This Row],[QTY SOLD]]*Table3[[#This Row],[Selling Price]],0)</f>
        <v>0</v>
      </c>
      <c r="K559" s="50"/>
      <c r="L559" s="50">
        <f>Table3[[#This Row],[Total Sales]]-Table3[[#This Row],[Discount]]</f>
        <v>0</v>
      </c>
      <c r="M559" s="58">
        <f>Table3[[#This Row],[Net Sales]]-Table3[[#This Row],[Cost Price]]*Table3[[#This Row],[QTY SOLD]]</f>
        <v>0</v>
      </c>
      <c r="N559" s="25"/>
      <c r="O559" s="25"/>
      <c r="P559" s="25"/>
      <c r="Q559" s="25"/>
      <c r="R559" s="25"/>
      <c r="S559" s="25"/>
    </row>
    <row r="560" spans="1:19" x14ac:dyDescent="0.25">
      <c r="A560" s="65"/>
      <c r="B560" s="50"/>
      <c r="C560" s="50"/>
      <c r="D560" s="50"/>
      <c r="E560" s="50" t="str">
        <f>IF(D560="","",VLOOKUP(D560,'Product Master'!$B:$C,2,FALSE))</f>
        <v/>
      </c>
      <c r="F560" s="50" t="str">
        <f>IF(D560="","",IFERROR(VLOOKUP(D560,'Product Master'!$B:$G,3,FALSE),""))</f>
        <v/>
      </c>
      <c r="G560" s="51"/>
      <c r="H560" s="52" t="str">
        <f>IF(D560="","",VLOOKUP(D560,'Product Master'!$B:$F,5,FALSE))</f>
        <v/>
      </c>
      <c r="I560" s="52">
        <f>IFERROR(VLOOKUP(D560,'Product Master'!B:E,4,FALSE),0)</f>
        <v>0</v>
      </c>
      <c r="J560" s="53">
        <f>IFERROR(Table3[[#This Row],[QTY SOLD]]*Table3[[#This Row],[Selling Price]],0)</f>
        <v>0</v>
      </c>
      <c r="K560" s="50"/>
      <c r="L560" s="50">
        <f>Table3[[#This Row],[Total Sales]]-Table3[[#This Row],[Discount]]</f>
        <v>0</v>
      </c>
      <c r="M560" s="58">
        <f>Table3[[#This Row],[Net Sales]]-Table3[[#This Row],[Cost Price]]*Table3[[#This Row],[QTY SOLD]]</f>
        <v>0</v>
      </c>
      <c r="N560" s="25"/>
      <c r="O560" s="25"/>
      <c r="P560" s="25"/>
      <c r="Q560" s="25"/>
      <c r="R560" s="25"/>
      <c r="S560" s="25"/>
    </row>
    <row r="561" spans="1:19" x14ac:dyDescent="0.25">
      <c r="A561" s="65"/>
      <c r="B561" s="50"/>
      <c r="C561" s="50"/>
      <c r="D561" s="50"/>
      <c r="E561" s="50" t="str">
        <f>IF(D561="","",VLOOKUP(D561,'Product Master'!$B:$C,2,FALSE))</f>
        <v/>
      </c>
      <c r="F561" s="50" t="str">
        <f>IF(D561="","",IFERROR(VLOOKUP(D561,'Product Master'!$B:$G,3,FALSE),""))</f>
        <v/>
      </c>
      <c r="G561" s="51"/>
      <c r="H561" s="52" t="str">
        <f>IF(D561="","",VLOOKUP(D561,'Product Master'!$B:$F,5,FALSE))</f>
        <v/>
      </c>
      <c r="I561" s="52">
        <f>IFERROR(VLOOKUP(D561,'Product Master'!B:E,4,FALSE),0)</f>
        <v>0</v>
      </c>
      <c r="J561" s="53">
        <f>IFERROR(Table3[[#This Row],[QTY SOLD]]*Table3[[#This Row],[Selling Price]],0)</f>
        <v>0</v>
      </c>
      <c r="K561" s="50"/>
      <c r="L561" s="50">
        <f>Table3[[#This Row],[Total Sales]]-Table3[[#This Row],[Discount]]</f>
        <v>0</v>
      </c>
      <c r="M561" s="58">
        <f>Table3[[#This Row],[Net Sales]]-Table3[[#This Row],[Cost Price]]*Table3[[#This Row],[QTY SOLD]]</f>
        <v>0</v>
      </c>
      <c r="N561" s="25"/>
      <c r="O561" s="25"/>
      <c r="P561" s="25"/>
      <c r="Q561" s="25"/>
      <c r="R561" s="25"/>
      <c r="S561" s="25"/>
    </row>
    <row r="562" spans="1:19" x14ac:dyDescent="0.25">
      <c r="A562" s="65"/>
      <c r="B562" s="50"/>
      <c r="C562" s="50"/>
      <c r="D562" s="50"/>
      <c r="E562" s="50" t="str">
        <f>IF(D562="","",VLOOKUP(D562,'Product Master'!$B:$C,2,FALSE))</f>
        <v/>
      </c>
      <c r="F562" s="50" t="str">
        <f>IF(D562="","",IFERROR(VLOOKUP(D562,'Product Master'!$B:$G,3,FALSE),""))</f>
        <v/>
      </c>
      <c r="G562" s="51"/>
      <c r="H562" s="52" t="str">
        <f>IF(D562="","",VLOOKUP(D562,'Product Master'!$B:$F,5,FALSE))</f>
        <v/>
      </c>
      <c r="I562" s="52">
        <f>IFERROR(VLOOKUP(D562,'Product Master'!B:E,4,FALSE),0)</f>
        <v>0</v>
      </c>
      <c r="J562" s="53">
        <f>IFERROR(Table3[[#This Row],[QTY SOLD]]*Table3[[#This Row],[Selling Price]],0)</f>
        <v>0</v>
      </c>
      <c r="K562" s="50"/>
      <c r="L562" s="50">
        <f>Table3[[#This Row],[Total Sales]]-Table3[[#This Row],[Discount]]</f>
        <v>0</v>
      </c>
      <c r="M562" s="58">
        <f>Table3[[#This Row],[Net Sales]]-Table3[[#This Row],[Cost Price]]*Table3[[#This Row],[QTY SOLD]]</f>
        <v>0</v>
      </c>
      <c r="N562" s="25"/>
      <c r="O562" s="25"/>
      <c r="P562" s="25"/>
      <c r="Q562" s="25"/>
      <c r="R562" s="25"/>
      <c r="S562" s="25"/>
    </row>
    <row r="563" spans="1:19" x14ac:dyDescent="0.25">
      <c r="A563" s="65"/>
      <c r="B563" s="50"/>
      <c r="C563" s="50"/>
      <c r="D563" s="50"/>
      <c r="E563" s="50" t="str">
        <f>IF(D563="","",VLOOKUP(D563,'Product Master'!$B:$C,2,FALSE))</f>
        <v/>
      </c>
      <c r="F563" s="50" t="str">
        <f>IF(D563="","",IFERROR(VLOOKUP(D563,'Product Master'!$B:$G,3,FALSE),""))</f>
        <v/>
      </c>
      <c r="G563" s="51"/>
      <c r="H563" s="52" t="str">
        <f>IF(D563="","",VLOOKUP(D563,'Product Master'!$B:$F,5,FALSE))</f>
        <v/>
      </c>
      <c r="I563" s="52">
        <f>IFERROR(VLOOKUP(D563,'Product Master'!B:E,4,FALSE),0)</f>
        <v>0</v>
      </c>
      <c r="J563" s="53">
        <f>IFERROR(Table3[[#This Row],[QTY SOLD]]*Table3[[#This Row],[Selling Price]],0)</f>
        <v>0</v>
      </c>
      <c r="K563" s="50"/>
      <c r="L563" s="50">
        <f>Table3[[#This Row],[Total Sales]]-Table3[[#This Row],[Discount]]</f>
        <v>0</v>
      </c>
      <c r="M563" s="58">
        <f>Table3[[#This Row],[Net Sales]]-Table3[[#This Row],[Cost Price]]*Table3[[#This Row],[QTY SOLD]]</f>
        <v>0</v>
      </c>
      <c r="N563" s="25"/>
      <c r="O563" s="25"/>
      <c r="P563" s="25"/>
      <c r="Q563" s="25"/>
      <c r="R563" s="25"/>
      <c r="S563" s="25"/>
    </row>
    <row r="564" spans="1:19" x14ac:dyDescent="0.25">
      <c r="A564" s="65"/>
      <c r="B564" s="50"/>
      <c r="C564" s="50"/>
      <c r="D564" s="50"/>
      <c r="E564" s="50" t="str">
        <f>IF(D564="","",VLOOKUP(D564,'Product Master'!$B:$C,2,FALSE))</f>
        <v/>
      </c>
      <c r="F564" s="50" t="str">
        <f>IF(D564="","",IFERROR(VLOOKUP(D564,'Product Master'!$B:$G,3,FALSE),""))</f>
        <v/>
      </c>
      <c r="G564" s="51"/>
      <c r="H564" s="52" t="str">
        <f>IF(D564="","",VLOOKUP(D564,'Product Master'!$B:$F,5,FALSE))</f>
        <v/>
      </c>
      <c r="I564" s="52">
        <f>IFERROR(VLOOKUP(D564,'Product Master'!B:E,4,FALSE),0)</f>
        <v>0</v>
      </c>
      <c r="J564" s="53">
        <f>IFERROR(Table3[[#This Row],[QTY SOLD]]*Table3[[#This Row],[Selling Price]],0)</f>
        <v>0</v>
      </c>
      <c r="K564" s="50"/>
      <c r="L564" s="50">
        <f>Table3[[#This Row],[Total Sales]]-Table3[[#This Row],[Discount]]</f>
        <v>0</v>
      </c>
      <c r="M564" s="58">
        <f>Table3[[#This Row],[Net Sales]]-Table3[[#This Row],[Cost Price]]*Table3[[#This Row],[QTY SOLD]]</f>
        <v>0</v>
      </c>
      <c r="N564" s="25"/>
      <c r="O564" s="25"/>
      <c r="P564" s="25"/>
      <c r="Q564" s="25"/>
      <c r="R564" s="25"/>
      <c r="S564" s="25"/>
    </row>
    <row r="565" spans="1:19" x14ac:dyDescent="0.25">
      <c r="A565" s="65"/>
      <c r="B565" s="50"/>
      <c r="C565" s="50"/>
      <c r="D565" s="50"/>
      <c r="E565" s="50" t="str">
        <f>IF(D565="","",VLOOKUP(D565,'Product Master'!$B:$C,2,FALSE))</f>
        <v/>
      </c>
      <c r="F565" s="50" t="str">
        <f>IF(D565="","",IFERROR(VLOOKUP(D565,'Product Master'!$B:$G,3,FALSE),""))</f>
        <v/>
      </c>
      <c r="G565" s="51"/>
      <c r="H565" s="52" t="str">
        <f>IF(D565="","",VLOOKUP(D565,'Product Master'!$B:$F,5,FALSE))</f>
        <v/>
      </c>
      <c r="I565" s="52">
        <f>IFERROR(VLOOKUP(D565,'Product Master'!B:E,4,FALSE),0)</f>
        <v>0</v>
      </c>
      <c r="J565" s="53">
        <f>IFERROR(Table3[[#This Row],[QTY SOLD]]*Table3[[#This Row],[Selling Price]],0)</f>
        <v>0</v>
      </c>
      <c r="K565" s="50"/>
      <c r="L565" s="50">
        <f>Table3[[#This Row],[Total Sales]]-Table3[[#This Row],[Discount]]</f>
        <v>0</v>
      </c>
      <c r="M565" s="58">
        <f>Table3[[#This Row],[Net Sales]]-Table3[[#This Row],[Cost Price]]*Table3[[#This Row],[QTY SOLD]]</f>
        <v>0</v>
      </c>
      <c r="N565" s="25"/>
      <c r="O565" s="25"/>
      <c r="P565" s="25"/>
      <c r="Q565" s="25"/>
      <c r="R565" s="25"/>
      <c r="S565" s="25"/>
    </row>
    <row r="566" spans="1:19" x14ac:dyDescent="0.25">
      <c r="A566" s="65"/>
      <c r="B566" s="50"/>
      <c r="C566" s="50"/>
      <c r="D566" s="50"/>
      <c r="E566" s="50" t="str">
        <f>IF(D566="","",VLOOKUP(D566,'Product Master'!$B:$C,2,FALSE))</f>
        <v/>
      </c>
      <c r="F566" s="50" t="str">
        <f>IF(D566="","",IFERROR(VLOOKUP(D566,'Product Master'!$B:$G,3,FALSE),""))</f>
        <v/>
      </c>
      <c r="G566" s="51"/>
      <c r="H566" s="52" t="str">
        <f>IF(D566="","",VLOOKUP(D566,'Product Master'!$B:$F,5,FALSE))</f>
        <v/>
      </c>
      <c r="I566" s="52">
        <f>IFERROR(VLOOKUP(D566,'Product Master'!B:E,4,FALSE),0)</f>
        <v>0</v>
      </c>
      <c r="J566" s="53">
        <f>IFERROR(Table3[[#This Row],[QTY SOLD]]*Table3[[#This Row],[Selling Price]],0)</f>
        <v>0</v>
      </c>
      <c r="K566" s="50"/>
      <c r="L566" s="50">
        <f>Table3[[#This Row],[Total Sales]]-Table3[[#This Row],[Discount]]</f>
        <v>0</v>
      </c>
      <c r="M566" s="58">
        <f>Table3[[#This Row],[Net Sales]]-Table3[[#This Row],[Cost Price]]*Table3[[#This Row],[QTY SOLD]]</f>
        <v>0</v>
      </c>
      <c r="N566" s="25"/>
      <c r="O566" s="25"/>
      <c r="P566" s="25"/>
      <c r="Q566" s="25"/>
      <c r="R566" s="25"/>
      <c r="S566" s="25"/>
    </row>
    <row r="567" spans="1:19" x14ac:dyDescent="0.25">
      <c r="A567" s="65"/>
      <c r="B567" s="50"/>
      <c r="C567" s="50"/>
      <c r="D567" s="50"/>
      <c r="E567" s="50" t="str">
        <f>IF(D567="","",VLOOKUP(D567,'Product Master'!$B:$C,2,FALSE))</f>
        <v/>
      </c>
      <c r="F567" s="50" t="str">
        <f>IF(D567="","",IFERROR(VLOOKUP(D567,'Product Master'!$B:$G,3,FALSE),""))</f>
        <v/>
      </c>
      <c r="G567" s="51"/>
      <c r="H567" s="52" t="str">
        <f>IF(D567="","",VLOOKUP(D567,'Product Master'!$B:$F,5,FALSE))</f>
        <v/>
      </c>
      <c r="I567" s="52">
        <f>IFERROR(VLOOKUP(D567,'Product Master'!B:E,4,FALSE),0)</f>
        <v>0</v>
      </c>
      <c r="J567" s="53">
        <f>IFERROR(Table3[[#This Row],[QTY SOLD]]*Table3[[#This Row],[Selling Price]],0)</f>
        <v>0</v>
      </c>
      <c r="K567" s="50"/>
      <c r="L567" s="50">
        <f>Table3[[#This Row],[Total Sales]]-Table3[[#This Row],[Discount]]</f>
        <v>0</v>
      </c>
      <c r="M567" s="58">
        <f>Table3[[#This Row],[Net Sales]]-Table3[[#This Row],[Cost Price]]*Table3[[#This Row],[QTY SOLD]]</f>
        <v>0</v>
      </c>
      <c r="N567" s="25"/>
      <c r="O567" s="25"/>
      <c r="P567" s="25"/>
      <c r="Q567" s="25"/>
      <c r="R567" s="25"/>
      <c r="S567" s="25"/>
    </row>
    <row r="568" spans="1:19" x14ac:dyDescent="0.25">
      <c r="A568" s="65"/>
      <c r="B568" s="50"/>
      <c r="C568" s="50"/>
      <c r="D568" s="50"/>
      <c r="E568" s="50" t="str">
        <f>IF(D568="","",VLOOKUP(D568,'Product Master'!$B:$C,2,FALSE))</f>
        <v/>
      </c>
      <c r="F568" s="50" t="str">
        <f>IF(D568="","",IFERROR(VLOOKUP(D568,'Product Master'!$B:$G,3,FALSE),""))</f>
        <v/>
      </c>
      <c r="G568" s="51"/>
      <c r="H568" s="52" t="str">
        <f>IF(D568="","",VLOOKUP(D568,'Product Master'!$B:$F,5,FALSE))</f>
        <v/>
      </c>
      <c r="I568" s="52">
        <f>IFERROR(VLOOKUP(D568,'Product Master'!B:E,4,FALSE),0)</f>
        <v>0</v>
      </c>
      <c r="J568" s="53">
        <f>IFERROR(Table3[[#This Row],[QTY SOLD]]*Table3[[#This Row],[Selling Price]],0)</f>
        <v>0</v>
      </c>
      <c r="K568" s="50"/>
      <c r="L568" s="50">
        <f>Table3[[#This Row],[Total Sales]]-Table3[[#This Row],[Discount]]</f>
        <v>0</v>
      </c>
      <c r="M568" s="58">
        <f>Table3[[#This Row],[Net Sales]]-Table3[[#This Row],[Cost Price]]*Table3[[#This Row],[QTY SOLD]]</f>
        <v>0</v>
      </c>
      <c r="N568" s="25"/>
      <c r="O568" s="25"/>
      <c r="P568" s="25"/>
      <c r="Q568" s="25"/>
      <c r="R568" s="25"/>
      <c r="S568" s="25"/>
    </row>
    <row r="569" spans="1:19" x14ac:dyDescent="0.25">
      <c r="A569" s="65"/>
      <c r="B569" s="50"/>
      <c r="C569" s="50"/>
      <c r="D569" s="50"/>
      <c r="E569" s="50" t="str">
        <f>IF(D569="","",VLOOKUP(D569,'Product Master'!$B:$C,2,FALSE))</f>
        <v/>
      </c>
      <c r="F569" s="50" t="str">
        <f>IF(D569="","",IFERROR(VLOOKUP(D569,'Product Master'!$B:$G,3,FALSE),""))</f>
        <v/>
      </c>
      <c r="G569" s="51"/>
      <c r="H569" s="52" t="str">
        <f>IF(D569="","",VLOOKUP(D569,'Product Master'!$B:$F,5,FALSE))</f>
        <v/>
      </c>
      <c r="I569" s="52">
        <f>IFERROR(VLOOKUP(D569,'Product Master'!B:E,4,FALSE),0)</f>
        <v>0</v>
      </c>
      <c r="J569" s="53">
        <f>IFERROR(Table3[[#This Row],[QTY SOLD]]*Table3[[#This Row],[Selling Price]],0)</f>
        <v>0</v>
      </c>
      <c r="K569" s="50"/>
      <c r="L569" s="50">
        <f>Table3[[#This Row],[Total Sales]]-Table3[[#This Row],[Discount]]</f>
        <v>0</v>
      </c>
      <c r="M569" s="58">
        <f>Table3[[#This Row],[Net Sales]]-Table3[[#This Row],[Cost Price]]*Table3[[#This Row],[QTY SOLD]]</f>
        <v>0</v>
      </c>
      <c r="N569" s="25"/>
      <c r="O569" s="25"/>
      <c r="P569" s="25"/>
      <c r="Q569" s="25"/>
      <c r="R569" s="25"/>
      <c r="S569" s="25"/>
    </row>
    <row r="570" spans="1:19" x14ac:dyDescent="0.25">
      <c r="A570" s="65"/>
      <c r="B570" s="50"/>
      <c r="C570" s="50"/>
      <c r="D570" s="50"/>
      <c r="E570" s="50" t="str">
        <f>IF(D570="","",VLOOKUP(D570,'Product Master'!$B:$C,2,FALSE))</f>
        <v/>
      </c>
      <c r="F570" s="50" t="str">
        <f>IF(D570="","",IFERROR(VLOOKUP(D570,'Product Master'!$B:$G,3,FALSE),""))</f>
        <v/>
      </c>
      <c r="G570" s="51"/>
      <c r="H570" s="52" t="str">
        <f>IF(D570="","",VLOOKUP(D570,'Product Master'!$B:$F,5,FALSE))</f>
        <v/>
      </c>
      <c r="I570" s="52">
        <f>IFERROR(VLOOKUP(D570,'Product Master'!B:E,4,FALSE),0)</f>
        <v>0</v>
      </c>
      <c r="J570" s="53">
        <f>IFERROR(Table3[[#This Row],[QTY SOLD]]*Table3[[#This Row],[Selling Price]],0)</f>
        <v>0</v>
      </c>
      <c r="K570" s="50"/>
      <c r="L570" s="50">
        <f>Table3[[#This Row],[Total Sales]]-Table3[[#This Row],[Discount]]</f>
        <v>0</v>
      </c>
      <c r="M570" s="58">
        <f>Table3[[#This Row],[Net Sales]]-Table3[[#This Row],[Cost Price]]*Table3[[#This Row],[QTY SOLD]]</f>
        <v>0</v>
      </c>
      <c r="N570" s="25"/>
      <c r="O570" s="25"/>
      <c r="P570" s="25"/>
      <c r="Q570" s="25"/>
      <c r="R570" s="25"/>
      <c r="S570" s="25"/>
    </row>
    <row r="571" spans="1:19" x14ac:dyDescent="0.25">
      <c r="A571" s="65"/>
      <c r="B571" s="50"/>
      <c r="C571" s="50"/>
      <c r="D571" s="50"/>
      <c r="E571" s="50" t="str">
        <f>IF(D571="","",VLOOKUP(D571,'Product Master'!$B:$C,2,FALSE))</f>
        <v/>
      </c>
      <c r="F571" s="50" t="str">
        <f>IF(D571="","",IFERROR(VLOOKUP(D571,'Product Master'!$B:$G,3,FALSE),""))</f>
        <v/>
      </c>
      <c r="G571" s="51"/>
      <c r="H571" s="52" t="str">
        <f>IF(D571="","",VLOOKUP(D571,'Product Master'!$B:$F,5,FALSE))</f>
        <v/>
      </c>
      <c r="I571" s="52">
        <f>IFERROR(VLOOKUP(D571,'Product Master'!B:E,4,FALSE),0)</f>
        <v>0</v>
      </c>
      <c r="J571" s="53">
        <f>IFERROR(Table3[[#This Row],[QTY SOLD]]*Table3[[#This Row],[Selling Price]],0)</f>
        <v>0</v>
      </c>
      <c r="K571" s="50"/>
      <c r="L571" s="50">
        <f>Table3[[#This Row],[Total Sales]]-Table3[[#This Row],[Discount]]</f>
        <v>0</v>
      </c>
      <c r="M571" s="58">
        <f>Table3[[#This Row],[Net Sales]]-Table3[[#This Row],[Cost Price]]*Table3[[#This Row],[QTY SOLD]]</f>
        <v>0</v>
      </c>
      <c r="N571" s="25"/>
      <c r="O571" s="25"/>
      <c r="P571" s="25"/>
      <c r="Q571" s="25"/>
      <c r="R571" s="25"/>
      <c r="S571" s="25"/>
    </row>
    <row r="572" spans="1:19" x14ac:dyDescent="0.25">
      <c r="A572" s="65"/>
      <c r="B572" s="50"/>
      <c r="C572" s="50"/>
      <c r="D572" s="50"/>
      <c r="E572" s="50" t="str">
        <f>IF(D572="","",VLOOKUP(D572,'Product Master'!$B:$C,2,FALSE))</f>
        <v/>
      </c>
      <c r="F572" s="50" t="str">
        <f>IF(D572="","",IFERROR(VLOOKUP(D572,'Product Master'!$B:$G,3,FALSE),""))</f>
        <v/>
      </c>
      <c r="G572" s="51"/>
      <c r="H572" s="52" t="str">
        <f>IF(D572="","",VLOOKUP(D572,'Product Master'!$B:$F,5,FALSE))</f>
        <v/>
      </c>
      <c r="I572" s="52">
        <f>IFERROR(VLOOKUP(D572,'Product Master'!B:E,4,FALSE),0)</f>
        <v>0</v>
      </c>
      <c r="J572" s="53">
        <f>IFERROR(Table3[[#This Row],[QTY SOLD]]*Table3[[#This Row],[Selling Price]],0)</f>
        <v>0</v>
      </c>
      <c r="K572" s="50"/>
      <c r="L572" s="50">
        <f>Table3[[#This Row],[Total Sales]]-Table3[[#This Row],[Discount]]</f>
        <v>0</v>
      </c>
      <c r="M572" s="58">
        <f>Table3[[#This Row],[Net Sales]]-Table3[[#This Row],[Cost Price]]*Table3[[#This Row],[QTY SOLD]]</f>
        <v>0</v>
      </c>
      <c r="N572" s="25"/>
      <c r="O572" s="25"/>
      <c r="P572" s="25"/>
      <c r="Q572" s="25"/>
      <c r="R572" s="25"/>
      <c r="S572" s="25"/>
    </row>
    <row r="573" spans="1:19" x14ac:dyDescent="0.25">
      <c r="A573" s="65"/>
      <c r="B573" s="50"/>
      <c r="C573" s="50"/>
      <c r="D573" s="50"/>
      <c r="E573" s="50" t="str">
        <f>IF(D573="","",VLOOKUP(D573,'Product Master'!$B:$C,2,FALSE))</f>
        <v/>
      </c>
      <c r="F573" s="50" t="str">
        <f>IF(D573="","",IFERROR(VLOOKUP(D573,'Product Master'!$B:$G,3,FALSE),""))</f>
        <v/>
      </c>
      <c r="G573" s="51"/>
      <c r="H573" s="52" t="str">
        <f>IF(D573="","",VLOOKUP(D573,'Product Master'!$B:$F,5,FALSE))</f>
        <v/>
      </c>
      <c r="I573" s="52">
        <f>IFERROR(VLOOKUP(D573,'Product Master'!B:E,4,FALSE),0)</f>
        <v>0</v>
      </c>
      <c r="J573" s="53">
        <f>IFERROR(Table3[[#This Row],[QTY SOLD]]*Table3[[#This Row],[Selling Price]],0)</f>
        <v>0</v>
      </c>
      <c r="K573" s="50"/>
      <c r="L573" s="50">
        <f>Table3[[#This Row],[Total Sales]]-Table3[[#This Row],[Discount]]</f>
        <v>0</v>
      </c>
      <c r="M573" s="58">
        <f>Table3[[#This Row],[Net Sales]]-Table3[[#This Row],[Cost Price]]*Table3[[#This Row],[QTY SOLD]]</f>
        <v>0</v>
      </c>
      <c r="N573" s="25"/>
      <c r="O573" s="25"/>
      <c r="P573" s="25"/>
      <c r="Q573" s="25"/>
      <c r="R573" s="25"/>
      <c r="S573" s="25"/>
    </row>
    <row r="574" spans="1:19" x14ac:dyDescent="0.25">
      <c r="A574" s="65"/>
      <c r="B574" s="50"/>
      <c r="C574" s="50"/>
      <c r="D574" s="50"/>
      <c r="E574" s="50" t="str">
        <f>IF(D574="","",VLOOKUP(D574,'Product Master'!$B:$C,2,FALSE))</f>
        <v/>
      </c>
      <c r="F574" s="50" t="str">
        <f>IF(D574="","",IFERROR(VLOOKUP(D574,'Product Master'!$B:$G,3,FALSE),""))</f>
        <v/>
      </c>
      <c r="G574" s="51"/>
      <c r="H574" s="52" t="str">
        <f>IF(D574="","",VLOOKUP(D574,'Product Master'!$B:$F,5,FALSE))</f>
        <v/>
      </c>
      <c r="I574" s="52">
        <f>IFERROR(VLOOKUP(D574,'Product Master'!B:E,4,FALSE),0)</f>
        <v>0</v>
      </c>
      <c r="J574" s="53">
        <f>IFERROR(Table3[[#This Row],[QTY SOLD]]*Table3[[#This Row],[Selling Price]],0)</f>
        <v>0</v>
      </c>
      <c r="K574" s="50"/>
      <c r="L574" s="50">
        <f>Table3[[#This Row],[Total Sales]]-Table3[[#This Row],[Discount]]</f>
        <v>0</v>
      </c>
      <c r="M574" s="58">
        <f>Table3[[#This Row],[Net Sales]]-Table3[[#This Row],[Cost Price]]*Table3[[#This Row],[QTY SOLD]]</f>
        <v>0</v>
      </c>
      <c r="N574" s="25"/>
      <c r="O574" s="25"/>
      <c r="P574" s="25"/>
      <c r="Q574" s="25"/>
      <c r="R574" s="25"/>
      <c r="S574" s="25"/>
    </row>
    <row r="575" spans="1:19" x14ac:dyDescent="0.25">
      <c r="A575" s="65"/>
      <c r="B575" s="50"/>
      <c r="C575" s="50"/>
      <c r="D575" s="50"/>
      <c r="E575" s="50" t="str">
        <f>IF(D575="","",VLOOKUP(D575,'Product Master'!$B:$C,2,FALSE))</f>
        <v/>
      </c>
      <c r="F575" s="50" t="str">
        <f>IF(D575="","",IFERROR(VLOOKUP(D575,'Product Master'!$B:$G,3,FALSE),""))</f>
        <v/>
      </c>
      <c r="G575" s="51"/>
      <c r="H575" s="52" t="str">
        <f>IF(D575="","",VLOOKUP(D575,'Product Master'!$B:$F,5,FALSE))</f>
        <v/>
      </c>
      <c r="I575" s="52">
        <f>IFERROR(VLOOKUP(D575,'Product Master'!B:E,4,FALSE),0)</f>
        <v>0</v>
      </c>
      <c r="J575" s="53">
        <f>IFERROR(Table3[[#This Row],[QTY SOLD]]*Table3[[#This Row],[Selling Price]],0)</f>
        <v>0</v>
      </c>
      <c r="K575" s="50"/>
      <c r="L575" s="50">
        <f>Table3[[#This Row],[Total Sales]]-Table3[[#This Row],[Discount]]</f>
        <v>0</v>
      </c>
      <c r="M575" s="58">
        <f>Table3[[#This Row],[Net Sales]]-Table3[[#This Row],[Cost Price]]*Table3[[#This Row],[QTY SOLD]]</f>
        <v>0</v>
      </c>
      <c r="N575" s="25"/>
      <c r="O575" s="25"/>
      <c r="P575" s="25"/>
      <c r="Q575" s="25"/>
      <c r="R575" s="25"/>
      <c r="S575" s="25"/>
    </row>
    <row r="576" spans="1:19" x14ac:dyDescent="0.25">
      <c r="A576" s="65"/>
      <c r="B576" s="50"/>
      <c r="C576" s="50"/>
      <c r="D576" s="50"/>
      <c r="E576" s="50" t="str">
        <f>IF(D576="","",VLOOKUP(D576,'Product Master'!$B:$C,2,FALSE))</f>
        <v/>
      </c>
      <c r="F576" s="50" t="str">
        <f>IF(D576="","",IFERROR(VLOOKUP(D576,'Product Master'!$B:$G,3,FALSE),""))</f>
        <v/>
      </c>
      <c r="G576" s="51"/>
      <c r="H576" s="52" t="str">
        <f>IF(D576="","",VLOOKUP(D576,'Product Master'!$B:$F,5,FALSE))</f>
        <v/>
      </c>
      <c r="I576" s="52">
        <f>IFERROR(VLOOKUP(D576,'Product Master'!B:E,4,FALSE),0)</f>
        <v>0</v>
      </c>
      <c r="J576" s="53">
        <f>IFERROR(Table3[[#This Row],[QTY SOLD]]*Table3[[#This Row],[Selling Price]],0)</f>
        <v>0</v>
      </c>
      <c r="K576" s="50"/>
      <c r="L576" s="50">
        <f>Table3[[#This Row],[Total Sales]]-Table3[[#This Row],[Discount]]</f>
        <v>0</v>
      </c>
      <c r="M576" s="58">
        <f>Table3[[#This Row],[Net Sales]]-Table3[[#This Row],[Cost Price]]*Table3[[#This Row],[QTY SOLD]]</f>
        <v>0</v>
      </c>
      <c r="N576" s="25"/>
      <c r="O576" s="25"/>
      <c r="P576" s="25"/>
      <c r="Q576" s="25"/>
      <c r="R576" s="25"/>
      <c r="S576" s="25"/>
    </row>
    <row r="577" spans="1:19" x14ac:dyDescent="0.25">
      <c r="A577" s="65"/>
      <c r="B577" s="50"/>
      <c r="C577" s="50"/>
      <c r="D577" s="50"/>
      <c r="E577" s="50" t="str">
        <f>IF(D577="","",VLOOKUP(D577,'Product Master'!$B:$C,2,FALSE))</f>
        <v/>
      </c>
      <c r="F577" s="50" t="str">
        <f>IF(D577="","",IFERROR(VLOOKUP(D577,'Product Master'!$B:$G,3,FALSE),""))</f>
        <v/>
      </c>
      <c r="G577" s="51"/>
      <c r="H577" s="52" t="str">
        <f>IF(D577="","",VLOOKUP(D577,'Product Master'!$B:$F,5,FALSE))</f>
        <v/>
      </c>
      <c r="I577" s="52">
        <f>IFERROR(VLOOKUP(D577,'Product Master'!B:E,4,FALSE),0)</f>
        <v>0</v>
      </c>
      <c r="J577" s="53">
        <f>IFERROR(Table3[[#This Row],[QTY SOLD]]*Table3[[#This Row],[Selling Price]],0)</f>
        <v>0</v>
      </c>
      <c r="K577" s="50"/>
      <c r="L577" s="50">
        <f>Table3[[#This Row],[Total Sales]]-Table3[[#This Row],[Discount]]</f>
        <v>0</v>
      </c>
      <c r="M577" s="58">
        <f>Table3[[#This Row],[Net Sales]]-Table3[[#This Row],[Cost Price]]*Table3[[#This Row],[QTY SOLD]]</f>
        <v>0</v>
      </c>
      <c r="N577" s="25"/>
      <c r="O577" s="25"/>
      <c r="P577" s="25"/>
      <c r="Q577" s="25"/>
      <c r="R577" s="25"/>
      <c r="S577" s="25"/>
    </row>
    <row r="578" spans="1:19" x14ac:dyDescent="0.25">
      <c r="A578" s="65"/>
      <c r="B578" s="50"/>
      <c r="C578" s="50"/>
      <c r="D578" s="50"/>
      <c r="E578" s="50" t="str">
        <f>IF(D578="","",VLOOKUP(D578,'Product Master'!$B:$C,2,FALSE))</f>
        <v/>
      </c>
      <c r="F578" s="50" t="str">
        <f>IF(D578="","",IFERROR(VLOOKUP(D578,'Product Master'!$B:$G,3,FALSE),""))</f>
        <v/>
      </c>
      <c r="G578" s="51"/>
      <c r="H578" s="52" t="str">
        <f>IF(D578="","",VLOOKUP(D578,'Product Master'!$B:$F,5,FALSE))</f>
        <v/>
      </c>
      <c r="I578" s="52">
        <f>IFERROR(VLOOKUP(D578,'Product Master'!B:E,4,FALSE),0)</f>
        <v>0</v>
      </c>
      <c r="J578" s="53">
        <f>IFERROR(Table3[[#This Row],[QTY SOLD]]*Table3[[#This Row],[Selling Price]],0)</f>
        <v>0</v>
      </c>
      <c r="K578" s="50"/>
      <c r="L578" s="50">
        <f>Table3[[#This Row],[Total Sales]]-Table3[[#This Row],[Discount]]</f>
        <v>0</v>
      </c>
      <c r="M578" s="58">
        <f>Table3[[#This Row],[Net Sales]]-Table3[[#This Row],[Cost Price]]*Table3[[#This Row],[QTY SOLD]]</f>
        <v>0</v>
      </c>
      <c r="N578" s="25"/>
      <c r="O578" s="25"/>
      <c r="P578" s="25"/>
      <c r="Q578" s="25"/>
      <c r="R578" s="25"/>
      <c r="S578" s="25"/>
    </row>
    <row r="579" spans="1:19" x14ac:dyDescent="0.25">
      <c r="A579" s="65"/>
      <c r="B579" s="50"/>
      <c r="C579" s="50"/>
      <c r="D579" s="50"/>
      <c r="E579" s="50" t="str">
        <f>IF(D579="","",VLOOKUP(D579,'Product Master'!$B:$C,2,FALSE))</f>
        <v/>
      </c>
      <c r="F579" s="50" t="str">
        <f>IF(D579="","",IFERROR(VLOOKUP(D579,'Product Master'!$B:$G,3,FALSE),""))</f>
        <v/>
      </c>
      <c r="G579" s="51"/>
      <c r="H579" s="52" t="str">
        <f>IF(D579="","",VLOOKUP(D579,'Product Master'!$B:$F,5,FALSE))</f>
        <v/>
      </c>
      <c r="I579" s="52">
        <f>IFERROR(VLOOKUP(D579,'Product Master'!B:E,4,FALSE),0)</f>
        <v>0</v>
      </c>
      <c r="J579" s="53">
        <f>IFERROR(Table3[[#This Row],[QTY SOLD]]*Table3[[#This Row],[Selling Price]],0)</f>
        <v>0</v>
      </c>
      <c r="K579" s="50"/>
      <c r="L579" s="50">
        <f>Table3[[#This Row],[Total Sales]]-Table3[[#This Row],[Discount]]</f>
        <v>0</v>
      </c>
      <c r="M579" s="58">
        <f>Table3[[#This Row],[Net Sales]]-Table3[[#This Row],[Cost Price]]*Table3[[#This Row],[QTY SOLD]]</f>
        <v>0</v>
      </c>
      <c r="N579" s="25"/>
      <c r="O579" s="25"/>
      <c r="P579" s="25"/>
      <c r="Q579" s="25"/>
      <c r="R579" s="25"/>
      <c r="S579" s="25"/>
    </row>
    <row r="580" spans="1:19" x14ac:dyDescent="0.25">
      <c r="A580" s="65"/>
      <c r="B580" s="50"/>
      <c r="C580" s="50"/>
      <c r="D580" s="50"/>
      <c r="E580" s="50" t="str">
        <f>IF(D580="","",VLOOKUP(D580,'Product Master'!$B:$C,2,FALSE))</f>
        <v/>
      </c>
      <c r="F580" s="50" t="str">
        <f>IF(D580="","",IFERROR(VLOOKUP(D580,'Product Master'!$B:$G,3,FALSE),""))</f>
        <v/>
      </c>
      <c r="G580" s="51"/>
      <c r="H580" s="52" t="str">
        <f>IF(D580="","",VLOOKUP(D580,'Product Master'!$B:$F,5,FALSE))</f>
        <v/>
      </c>
      <c r="I580" s="52">
        <f>IFERROR(VLOOKUP(D580,'Product Master'!B:E,4,FALSE),0)</f>
        <v>0</v>
      </c>
      <c r="J580" s="53">
        <f>IFERROR(Table3[[#This Row],[QTY SOLD]]*Table3[[#This Row],[Selling Price]],0)</f>
        <v>0</v>
      </c>
      <c r="K580" s="50"/>
      <c r="L580" s="50">
        <f>Table3[[#This Row],[Total Sales]]-Table3[[#This Row],[Discount]]</f>
        <v>0</v>
      </c>
      <c r="M580" s="58">
        <f>Table3[[#This Row],[Net Sales]]-Table3[[#This Row],[Cost Price]]*Table3[[#This Row],[QTY SOLD]]</f>
        <v>0</v>
      </c>
      <c r="N580" s="25"/>
      <c r="O580" s="25"/>
      <c r="P580" s="25"/>
      <c r="Q580" s="25"/>
      <c r="R580" s="25"/>
      <c r="S580" s="25"/>
    </row>
    <row r="581" spans="1:19" x14ac:dyDescent="0.25">
      <c r="A581" s="65"/>
      <c r="B581" s="50"/>
      <c r="C581" s="50"/>
      <c r="D581" s="50"/>
      <c r="E581" s="50" t="str">
        <f>IF(D581="","",VLOOKUP(D581,'Product Master'!$B:$C,2,FALSE))</f>
        <v/>
      </c>
      <c r="F581" s="50" t="str">
        <f>IF(D581="","",IFERROR(VLOOKUP(D581,'Product Master'!$B:$G,3,FALSE),""))</f>
        <v/>
      </c>
      <c r="G581" s="51"/>
      <c r="H581" s="52" t="str">
        <f>IF(D581="","",VLOOKUP(D581,'Product Master'!$B:$F,5,FALSE))</f>
        <v/>
      </c>
      <c r="I581" s="52">
        <f>IFERROR(VLOOKUP(D581,'Product Master'!B:E,4,FALSE),0)</f>
        <v>0</v>
      </c>
      <c r="J581" s="53">
        <f>IFERROR(Table3[[#This Row],[QTY SOLD]]*Table3[[#This Row],[Selling Price]],0)</f>
        <v>0</v>
      </c>
      <c r="K581" s="50"/>
      <c r="L581" s="50">
        <f>Table3[[#This Row],[Total Sales]]-Table3[[#This Row],[Discount]]</f>
        <v>0</v>
      </c>
      <c r="M581" s="58">
        <f>Table3[[#This Row],[Net Sales]]-Table3[[#This Row],[Cost Price]]*Table3[[#This Row],[QTY SOLD]]</f>
        <v>0</v>
      </c>
      <c r="N581" s="25"/>
      <c r="O581" s="25"/>
      <c r="P581" s="25"/>
      <c r="Q581" s="25"/>
      <c r="R581" s="25"/>
      <c r="S581" s="25"/>
    </row>
    <row r="582" spans="1:19" x14ac:dyDescent="0.25">
      <c r="A582" s="65"/>
      <c r="B582" s="50"/>
      <c r="C582" s="50"/>
      <c r="D582" s="50"/>
      <c r="E582" s="50" t="str">
        <f>IF(D582="","",VLOOKUP(D582,'Product Master'!$B:$C,2,FALSE))</f>
        <v/>
      </c>
      <c r="F582" s="50" t="str">
        <f>IF(D582="","",IFERROR(VLOOKUP(D582,'Product Master'!$B:$G,3,FALSE),""))</f>
        <v/>
      </c>
      <c r="G582" s="51"/>
      <c r="H582" s="52" t="str">
        <f>IF(D582="","",VLOOKUP(D582,'Product Master'!$B:$F,5,FALSE))</f>
        <v/>
      </c>
      <c r="I582" s="52">
        <f>IFERROR(VLOOKUP(D582,'Product Master'!B:E,4,FALSE),0)</f>
        <v>0</v>
      </c>
      <c r="J582" s="53">
        <f>IFERROR(Table3[[#This Row],[QTY SOLD]]*Table3[[#This Row],[Selling Price]],0)</f>
        <v>0</v>
      </c>
      <c r="K582" s="50"/>
      <c r="L582" s="50">
        <f>Table3[[#This Row],[Total Sales]]-Table3[[#This Row],[Discount]]</f>
        <v>0</v>
      </c>
      <c r="M582" s="58">
        <f>Table3[[#This Row],[Net Sales]]-Table3[[#This Row],[Cost Price]]*Table3[[#This Row],[QTY SOLD]]</f>
        <v>0</v>
      </c>
      <c r="N582" s="25"/>
      <c r="O582" s="25"/>
      <c r="P582" s="25"/>
      <c r="Q582" s="25"/>
      <c r="R582" s="25"/>
      <c r="S582" s="25"/>
    </row>
    <row r="583" spans="1:19" x14ac:dyDescent="0.25">
      <c r="A583" s="65"/>
      <c r="B583" s="50"/>
      <c r="C583" s="50"/>
      <c r="D583" s="50"/>
      <c r="E583" s="50" t="str">
        <f>IF(D583="","",VLOOKUP(D583,'Product Master'!$B:$C,2,FALSE))</f>
        <v/>
      </c>
      <c r="F583" s="50" t="str">
        <f>IF(D583="","",IFERROR(VLOOKUP(D583,'Product Master'!$B:$G,3,FALSE),""))</f>
        <v/>
      </c>
      <c r="G583" s="51"/>
      <c r="H583" s="52" t="str">
        <f>IF(D583="","",VLOOKUP(D583,'Product Master'!$B:$F,5,FALSE))</f>
        <v/>
      </c>
      <c r="I583" s="52">
        <f>IFERROR(VLOOKUP(D583,'Product Master'!B:E,4,FALSE),0)</f>
        <v>0</v>
      </c>
      <c r="J583" s="53">
        <f>IFERROR(Table3[[#This Row],[QTY SOLD]]*Table3[[#This Row],[Selling Price]],0)</f>
        <v>0</v>
      </c>
      <c r="K583" s="50"/>
      <c r="L583" s="50">
        <f>Table3[[#This Row],[Total Sales]]-Table3[[#This Row],[Discount]]</f>
        <v>0</v>
      </c>
      <c r="M583" s="58">
        <f>Table3[[#This Row],[Net Sales]]-Table3[[#This Row],[Cost Price]]*Table3[[#This Row],[QTY SOLD]]</f>
        <v>0</v>
      </c>
      <c r="N583" s="25"/>
      <c r="O583" s="25"/>
      <c r="P583" s="25"/>
      <c r="Q583" s="25"/>
      <c r="R583" s="25"/>
      <c r="S583" s="25"/>
    </row>
    <row r="584" spans="1:19" x14ac:dyDescent="0.25">
      <c r="A584" s="65"/>
      <c r="B584" s="50"/>
      <c r="C584" s="50"/>
      <c r="D584" s="50"/>
      <c r="E584" s="50" t="str">
        <f>IF(D584="","",VLOOKUP(D584,'Product Master'!$B:$C,2,FALSE))</f>
        <v/>
      </c>
      <c r="F584" s="50" t="str">
        <f>IF(D584="","",IFERROR(VLOOKUP(D584,'Product Master'!$B:$G,3,FALSE),""))</f>
        <v/>
      </c>
      <c r="G584" s="51"/>
      <c r="H584" s="52" t="str">
        <f>IF(D584="","",VLOOKUP(D584,'Product Master'!$B:$F,5,FALSE))</f>
        <v/>
      </c>
      <c r="I584" s="52">
        <f>IFERROR(VLOOKUP(D584,'Product Master'!B:E,4,FALSE),0)</f>
        <v>0</v>
      </c>
      <c r="J584" s="53">
        <f>IFERROR(Table3[[#This Row],[QTY SOLD]]*Table3[[#This Row],[Selling Price]],0)</f>
        <v>0</v>
      </c>
      <c r="K584" s="50"/>
      <c r="L584" s="50">
        <f>Table3[[#This Row],[Total Sales]]-Table3[[#This Row],[Discount]]</f>
        <v>0</v>
      </c>
      <c r="M584" s="58">
        <f>Table3[[#This Row],[Net Sales]]-Table3[[#This Row],[Cost Price]]*Table3[[#This Row],[QTY SOLD]]</f>
        <v>0</v>
      </c>
      <c r="N584" s="25"/>
      <c r="O584" s="25"/>
      <c r="P584" s="25"/>
      <c r="Q584" s="25"/>
      <c r="R584" s="25"/>
      <c r="S584" s="25"/>
    </row>
    <row r="585" spans="1:19" x14ac:dyDescent="0.25">
      <c r="A585" s="65"/>
      <c r="B585" s="50"/>
      <c r="C585" s="50"/>
      <c r="D585" s="50"/>
      <c r="E585" s="50" t="str">
        <f>IF(D585="","",VLOOKUP(D585,'Product Master'!$B:$C,2,FALSE))</f>
        <v/>
      </c>
      <c r="F585" s="50" t="str">
        <f>IF(D585="","",IFERROR(VLOOKUP(D585,'Product Master'!$B:$G,3,FALSE),""))</f>
        <v/>
      </c>
      <c r="G585" s="51"/>
      <c r="H585" s="52" t="str">
        <f>IF(D585="","",VLOOKUP(D585,'Product Master'!$B:$F,5,FALSE))</f>
        <v/>
      </c>
      <c r="I585" s="52">
        <f>IFERROR(VLOOKUP(D585,'Product Master'!B:E,4,FALSE),0)</f>
        <v>0</v>
      </c>
      <c r="J585" s="53">
        <f>IFERROR(Table3[[#This Row],[QTY SOLD]]*Table3[[#This Row],[Selling Price]],0)</f>
        <v>0</v>
      </c>
      <c r="K585" s="50"/>
      <c r="L585" s="50">
        <f>Table3[[#This Row],[Total Sales]]-Table3[[#This Row],[Discount]]</f>
        <v>0</v>
      </c>
      <c r="M585" s="58">
        <f>Table3[[#This Row],[Net Sales]]-Table3[[#This Row],[Cost Price]]*Table3[[#This Row],[QTY SOLD]]</f>
        <v>0</v>
      </c>
      <c r="N585" s="25"/>
      <c r="O585" s="25"/>
      <c r="P585" s="25"/>
      <c r="Q585" s="25"/>
      <c r="R585" s="25"/>
      <c r="S585" s="25"/>
    </row>
    <row r="586" spans="1:19" x14ac:dyDescent="0.25">
      <c r="A586" s="65"/>
      <c r="B586" s="50"/>
      <c r="C586" s="50"/>
      <c r="D586" s="50"/>
      <c r="E586" s="50" t="str">
        <f>IF(D586="","",VLOOKUP(D586,'Product Master'!$B:$C,2,FALSE))</f>
        <v/>
      </c>
      <c r="F586" s="50" t="str">
        <f>IF(D586="","",IFERROR(VLOOKUP(D586,'Product Master'!$B:$G,3,FALSE),""))</f>
        <v/>
      </c>
      <c r="G586" s="51"/>
      <c r="H586" s="52" t="str">
        <f>IF(D586="","",VLOOKUP(D586,'Product Master'!$B:$F,5,FALSE))</f>
        <v/>
      </c>
      <c r="I586" s="52">
        <f>IFERROR(VLOOKUP(D586,'Product Master'!B:E,4,FALSE),0)</f>
        <v>0</v>
      </c>
      <c r="J586" s="53">
        <f>IFERROR(Table3[[#This Row],[QTY SOLD]]*Table3[[#This Row],[Selling Price]],0)</f>
        <v>0</v>
      </c>
      <c r="K586" s="50"/>
      <c r="L586" s="50">
        <f>Table3[[#This Row],[Total Sales]]-Table3[[#This Row],[Discount]]</f>
        <v>0</v>
      </c>
      <c r="M586" s="58">
        <f>Table3[[#This Row],[Net Sales]]-Table3[[#This Row],[Cost Price]]*Table3[[#This Row],[QTY SOLD]]</f>
        <v>0</v>
      </c>
      <c r="N586" s="25"/>
      <c r="O586" s="25"/>
      <c r="P586" s="25"/>
      <c r="Q586" s="25"/>
      <c r="R586" s="25"/>
      <c r="S586" s="25"/>
    </row>
    <row r="587" spans="1:19" x14ac:dyDescent="0.25">
      <c r="A587" s="65"/>
      <c r="B587" s="50"/>
      <c r="C587" s="50"/>
      <c r="D587" s="50"/>
      <c r="E587" s="50" t="str">
        <f>IF(D587="","",VLOOKUP(D587,'Product Master'!$B:$C,2,FALSE))</f>
        <v/>
      </c>
      <c r="F587" s="50" t="str">
        <f>IF(D587="","",IFERROR(VLOOKUP(D587,'Product Master'!$B:$G,3,FALSE),""))</f>
        <v/>
      </c>
      <c r="G587" s="51"/>
      <c r="H587" s="52" t="str">
        <f>IF(D587="","",VLOOKUP(D587,'Product Master'!$B:$F,5,FALSE))</f>
        <v/>
      </c>
      <c r="I587" s="52">
        <f>IFERROR(VLOOKUP(D587,'Product Master'!B:E,4,FALSE),0)</f>
        <v>0</v>
      </c>
      <c r="J587" s="53">
        <f>IFERROR(Table3[[#This Row],[QTY SOLD]]*Table3[[#This Row],[Selling Price]],0)</f>
        <v>0</v>
      </c>
      <c r="K587" s="50"/>
      <c r="L587" s="50">
        <f>Table3[[#This Row],[Total Sales]]-Table3[[#This Row],[Discount]]</f>
        <v>0</v>
      </c>
      <c r="M587" s="58">
        <f>Table3[[#This Row],[Net Sales]]-Table3[[#This Row],[Cost Price]]*Table3[[#This Row],[QTY SOLD]]</f>
        <v>0</v>
      </c>
      <c r="N587" s="25"/>
      <c r="O587" s="25"/>
      <c r="P587" s="25"/>
      <c r="Q587" s="25"/>
      <c r="R587" s="25"/>
      <c r="S587" s="25"/>
    </row>
    <row r="588" spans="1:19" x14ac:dyDescent="0.25">
      <c r="A588" s="65"/>
      <c r="B588" s="50"/>
      <c r="C588" s="50"/>
      <c r="D588" s="50"/>
      <c r="E588" s="50" t="str">
        <f>IF(D588="","",VLOOKUP(D588,'Product Master'!$B:$C,2,FALSE))</f>
        <v/>
      </c>
      <c r="F588" s="50" t="str">
        <f>IF(D588="","",IFERROR(VLOOKUP(D588,'Product Master'!$B:$G,3,FALSE),""))</f>
        <v/>
      </c>
      <c r="G588" s="51"/>
      <c r="H588" s="52" t="str">
        <f>IF(D588="","",VLOOKUP(D588,'Product Master'!$B:$F,5,FALSE))</f>
        <v/>
      </c>
      <c r="I588" s="52">
        <f>IFERROR(VLOOKUP(D588,'Product Master'!B:E,4,FALSE),0)</f>
        <v>0</v>
      </c>
      <c r="J588" s="53">
        <f>IFERROR(Table3[[#This Row],[QTY SOLD]]*Table3[[#This Row],[Selling Price]],0)</f>
        <v>0</v>
      </c>
      <c r="K588" s="50"/>
      <c r="L588" s="50">
        <f>Table3[[#This Row],[Total Sales]]-Table3[[#This Row],[Discount]]</f>
        <v>0</v>
      </c>
      <c r="M588" s="58">
        <f>Table3[[#This Row],[Net Sales]]-Table3[[#This Row],[Cost Price]]*Table3[[#This Row],[QTY SOLD]]</f>
        <v>0</v>
      </c>
      <c r="N588" s="25"/>
      <c r="O588" s="25"/>
      <c r="P588" s="25"/>
      <c r="Q588" s="25"/>
      <c r="R588" s="25"/>
      <c r="S588" s="25"/>
    </row>
    <row r="589" spans="1:19" x14ac:dyDescent="0.25">
      <c r="A589" s="65"/>
      <c r="B589" s="50"/>
      <c r="C589" s="50"/>
      <c r="D589" s="50"/>
      <c r="E589" s="50" t="str">
        <f>IF(D589="","",VLOOKUP(D589,'Product Master'!$B:$C,2,FALSE))</f>
        <v/>
      </c>
      <c r="F589" s="50" t="str">
        <f>IF(D589="","",IFERROR(VLOOKUP(D589,'Product Master'!$B:$G,3,FALSE),""))</f>
        <v/>
      </c>
      <c r="G589" s="51"/>
      <c r="H589" s="52" t="str">
        <f>IF(D589="","",VLOOKUP(D589,'Product Master'!$B:$F,5,FALSE))</f>
        <v/>
      </c>
      <c r="I589" s="52">
        <f>IFERROR(VLOOKUP(D589,'Product Master'!B:E,4,FALSE),0)</f>
        <v>0</v>
      </c>
      <c r="J589" s="53">
        <f>IFERROR(Table3[[#This Row],[QTY SOLD]]*Table3[[#This Row],[Selling Price]],0)</f>
        <v>0</v>
      </c>
      <c r="K589" s="50"/>
      <c r="L589" s="50">
        <f>Table3[[#This Row],[Total Sales]]-Table3[[#This Row],[Discount]]</f>
        <v>0</v>
      </c>
      <c r="M589" s="58">
        <f>Table3[[#This Row],[Net Sales]]-Table3[[#This Row],[Cost Price]]*Table3[[#This Row],[QTY SOLD]]</f>
        <v>0</v>
      </c>
      <c r="N589" s="25"/>
      <c r="O589" s="25"/>
      <c r="P589" s="25"/>
      <c r="Q589" s="25"/>
      <c r="R589" s="25"/>
      <c r="S589" s="25"/>
    </row>
    <row r="590" spans="1:19" x14ac:dyDescent="0.25">
      <c r="A590" s="65"/>
      <c r="B590" s="50"/>
      <c r="C590" s="50"/>
      <c r="D590" s="50"/>
      <c r="E590" s="50" t="str">
        <f>IF(D590="","",VLOOKUP(D590,'Product Master'!$B:$C,2,FALSE))</f>
        <v/>
      </c>
      <c r="F590" s="50" t="str">
        <f>IF(D590="","",IFERROR(VLOOKUP(D590,'Product Master'!$B:$G,3,FALSE),""))</f>
        <v/>
      </c>
      <c r="G590" s="51"/>
      <c r="H590" s="52" t="str">
        <f>IF(D590="","",VLOOKUP(D590,'Product Master'!$B:$F,5,FALSE))</f>
        <v/>
      </c>
      <c r="I590" s="52">
        <f>IFERROR(VLOOKUP(D590,'Product Master'!B:E,4,FALSE),0)</f>
        <v>0</v>
      </c>
      <c r="J590" s="53">
        <f>IFERROR(Table3[[#This Row],[QTY SOLD]]*Table3[[#This Row],[Selling Price]],0)</f>
        <v>0</v>
      </c>
      <c r="K590" s="50"/>
      <c r="L590" s="50">
        <f>Table3[[#This Row],[Total Sales]]-Table3[[#This Row],[Discount]]</f>
        <v>0</v>
      </c>
      <c r="M590" s="58">
        <f>Table3[[#This Row],[Net Sales]]-Table3[[#This Row],[Cost Price]]*Table3[[#This Row],[QTY SOLD]]</f>
        <v>0</v>
      </c>
      <c r="N590" s="25"/>
      <c r="O590" s="25"/>
      <c r="P590" s="25"/>
      <c r="Q590" s="25"/>
      <c r="R590" s="25"/>
      <c r="S590" s="25"/>
    </row>
    <row r="591" spans="1:19" x14ac:dyDescent="0.25">
      <c r="A591" s="65"/>
      <c r="B591" s="50"/>
      <c r="C591" s="50"/>
      <c r="D591" s="50"/>
      <c r="E591" s="50" t="str">
        <f>IF(D591="","",VLOOKUP(D591,'Product Master'!$B:$C,2,FALSE))</f>
        <v/>
      </c>
      <c r="F591" s="50" t="str">
        <f>IF(D591="","",IFERROR(VLOOKUP(D591,'Product Master'!$B:$G,3,FALSE),""))</f>
        <v/>
      </c>
      <c r="G591" s="51"/>
      <c r="H591" s="52" t="str">
        <f>IF(D591="","",VLOOKUP(D591,'Product Master'!$B:$F,5,FALSE))</f>
        <v/>
      </c>
      <c r="I591" s="52">
        <f>IFERROR(VLOOKUP(D591,'Product Master'!B:E,4,FALSE),0)</f>
        <v>0</v>
      </c>
      <c r="J591" s="53">
        <f>IFERROR(Table3[[#This Row],[QTY SOLD]]*Table3[[#This Row],[Selling Price]],0)</f>
        <v>0</v>
      </c>
      <c r="K591" s="50"/>
      <c r="L591" s="50">
        <f>Table3[[#This Row],[Total Sales]]-Table3[[#This Row],[Discount]]</f>
        <v>0</v>
      </c>
      <c r="M591" s="58">
        <f>Table3[[#This Row],[Net Sales]]-Table3[[#This Row],[Cost Price]]*Table3[[#This Row],[QTY SOLD]]</f>
        <v>0</v>
      </c>
      <c r="N591" s="25"/>
      <c r="O591" s="25"/>
      <c r="P591" s="25"/>
      <c r="Q591" s="25"/>
      <c r="R591" s="25"/>
      <c r="S591" s="25"/>
    </row>
    <row r="592" spans="1:19" x14ac:dyDescent="0.25">
      <c r="A592" s="65"/>
      <c r="B592" s="50"/>
      <c r="C592" s="50"/>
      <c r="D592" s="50"/>
      <c r="E592" s="50" t="str">
        <f>IF(D592="","",VLOOKUP(D592,'Product Master'!$B:$C,2,FALSE))</f>
        <v/>
      </c>
      <c r="F592" s="50" t="str">
        <f>IF(D592="","",IFERROR(VLOOKUP(D592,'Product Master'!$B:$G,3,FALSE),""))</f>
        <v/>
      </c>
      <c r="G592" s="51"/>
      <c r="H592" s="52" t="str">
        <f>IF(D592="","",VLOOKUP(D592,'Product Master'!$B:$F,5,FALSE))</f>
        <v/>
      </c>
      <c r="I592" s="52">
        <f>IFERROR(VLOOKUP(D592,'Product Master'!B:E,4,FALSE),0)</f>
        <v>0</v>
      </c>
      <c r="J592" s="53">
        <f>IFERROR(Table3[[#This Row],[QTY SOLD]]*Table3[[#This Row],[Selling Price]],0)</f>
        <v>0</v>
      </c>
      <c r="K592" s="50"/>
      <c r="L592" s="50">
        <f>Table3[[#This Row],[Total Sales]]-Table3[[#This Row],[Discount]]</f>
        <v>0</v>
      </c>
      <c r="M592" s="58">
        <f>Table3[[#This Row],[Net Sales]]-Table3[[#This Row],[Cost Price]]*Table3[[#This Row],[QTY SOLD]]</f>
        <v>0</v>
      </c>
      <c r="N592" s="25"/>
      <c r="O592" s="25"/>
      <c r="P592" s="25"/>
      <c r="Q592" s="25"/>
      <c r="R592" s="25"/>
      <c r="S592" s="25"/>
    </row>
    <row r="593" spans="1:19" x14ac:dyDescent="0.25">
      <c r="A593" s="65"/>
      <c r="B593" s="50"/>
      <c r="C593" s="50"/>
      <c r="D593" s="50"/>
      <c r="E593" s="50" t="str">
        <f>IF(D593="","",VLOOKUP(D593,'Product Master'!$B:$C,2,FALSE))</f>
        <v/>
      </c>
      <c r="F593" s="50" t="str">
        <f>IF(D593="","",IFERROR(VLOOKUP(D593,'Product Master'!$B:$G,3,FALSE),""))</f>
        <v/>
      </c>
      <c r="G593" s="51"/>
      <c r="H593" s="52" t="str">
        <f>IF(D593="","",VLOOKUP(D593,'Product Master'!$B:$F,5,FALSE))</f>
        <v/>
      </c>
      <c r="I593" s="52">
        <f>IFERROR(VLOOKUP(D593,'Product Master'!B:E,4,FALSE),0)</f>
        <v>0</v>
      </c>
      <c r="J593" s="53">
        <f>IFERROR(Table3[[#This Row],[QTY SOLD]]*Table3[[#This Row],[Selling Price]],0)</f>
        <v>0</v>
      </c>
      <c r="K593" s="50"/>
      <c r="L593" s="50">
        <f>Table3[[#This Row],[Total Sales]]-Table3[[#This Row],[Discount]]</f>
        <v>0</v>
      </c>
      <c r="M593" s="58">
        <f>Table3[[#This Row],[Net Sales]]-Table3[[#This Row],[Cost Price]]*Table3[[#This Row],[QTY SOLD]]</f>
        <v>0</v>
      </c>
      <c r="N593" s="25"/>
      <c r="O593" s="25"/>
      <c r="P593" s="25"/>
      <c r="Q593" s="25"/>
      <c r="R593" s="25"/>
      <c r="S593" s="25"/>
    </row>
    <row r="594" spans="1:19" x14ac:dyDescent="0.25">
      <c r="A594" s="65"/>
      <c r="B594" s="50"/>
      <c r="C594" s="50"/>
      <c r="D594" s="50"/>
      <c r="E594" s="50" t="str">
        <f>IF(D594="","",VLOOKUP(D594,'Product Master'!$B:$C,2,FALSE))</f>
        <v/>
      </c>
      <c r="F594" s="50" t="str">
        <f>IF(D594="","",IFERROR(VLOOKUP(D594,'Product Master'!$B:$G,3,FALSE),""))</f>
        <v/>
      </c>
      <c r="G594" s="51"/>
      <c r="H594" s="52" t="str">
        <f>IF(D594="","",VLOOKUP(D594,'Product Master'!$B:$F,5,FALSE))</f>
        <v/>
      </c>
      <c r="I594" s="52">
        <f>IFERROR(VLOOKUP(D594,'Product Master'!B:E,4,FALSE),0)</f>
        <v>0</v>
      </c>
      <c r="J594" s="53">
        <f>IFERROR(Table3[[#This Row],[QTY SOLD]]*Table3[[#This Row],[Selling Price]],0)</f>
        <v>0</v>
      </c>
      <c r="K594" s="50"/>
      <c r="L594" s="50">
        <f>Table3[[#This Row],[Total Sales]]-Table3[[#This Row],[Discount]]</f>
        <v>0</v>
      </c>
      <c r="M594" s="58">
        <f>Table3[[#This Row],[Net Sales]]-Table3[[#This Row],[Cost Price]]*Table3[[#This Row],[QTY SOLD]]</f>
        <v>0</v>
      </c>
      <c r="N594" s="25"/>
      <c r="O594" s="25"/>
      <c r="P594" s="25"/>
      <c r="Q594" s="25"/>
      <c r="R594" s="25"/>
      <c r="S594" s="25"/>
    </row>
    <row r="595" spans="1:19" x14ac:dyDescent="0.25">
      <c r="A595" s="65"/>
      <c r="B595" s="50"/>
      <c r="C595" s="50"/>
      <c r="D595" s="50"/>
      <c r="E595" s="50" t="str">
        <f>IF(D595="","",VLOOKUP(D595,'Product Master'!$B:$C,2,FALSE))</f>
        <v/>
      </c>
      <c r="F595" s="50" t="str">
        <f>IF(D595="","",IFERROR(VLOOKUP(D595,'Product Master'!$B:$G,3,FALSE),""))</f>
        <v/>
      </c>
      <c r="G595" s="51"/>
      <c r="H595" s="52" t="str">
        <f>IF(D595="","",VLOOKUP(D595,'Product Master'!$B:$F,5,FALSE))</f>
        <v/>
      </c>
      <c r="I595" s="52">
        <f>IFERROR(VLOOKUP(D595,'Product Master'!B:E,4,FALSE),0)</f>
        <v>0</v>
      </c>
      <c r="J595" s="53">
        <f>IFERROR(Table3[[#This Row],[QTY SOLD]]*Table3[[#This Row],[Selling Price]],0)</f>
        <v>0</v>
      </c>
      <c r="K595" s="50"/>
      <c r="L595" s="50">
        <f>Table3[[#This Row],[Total Sales]]-Table3[[#This Row],[Discount]]</f>
        <v>0</v>
      </c>
      <c r="M595" s="58">
        <f>Table3[[#This Row],[Net Sales]]-Table3[[#This Row],[Cost Price]]*Table3[[#This Row],[QTY SOLD]]</f>
        <v>0</v>
      </c>
      <c r="N595" s="25"/>
      <c r="O595" s="25"/>
      <c r="P595" s="25"/>
      <c r="Q595" s="25"/>
      <c r="R595" s="25"/>
      <c r="S595" s="25"/>
    </row>
    <row r="596" spans="1:19" x14ac:dyDescent="0.25">
      <c r="A596" s="65"/>
      <c r="B596" s="50"/>
      <c r="C596" s="50"/>
      <c r="D596" s="50"/>
      <c r="E596" s="50" t="str">
        <f>IF(D596="","",VLOOKUP(D596,'Product Master'!$B:$C,2,FALSE))</f>
        <v/>
      </c>
      <c r="F596" s="50" t="str">
        <f>IF(D596="","",IFERROR(VLOOKUP(D596,'Product Master'!$B:$G,3,FALSE),""))</f>
        <v/>
      </c>
      <c r="G596" s="51"/>
      <c r="H596" s="52" t="str">
        <f>IF(D596="","",VLOOKUP(D596,'Product Master'!$B:$F,5,FALSE))</f>
        <v/>
      </c>
      <c r="I596" s="52">
        <f>IFERROR(VLOOKUP(D596,'Product Master'!B:E,4,FALSE),0)</f>
        <v>0</v>
      </c>
      <c r="J596" s="53">
        <f>IFERROR(Table3[[#This Row],[QTY SOLD]]*Table3[[#This Row],[Selling Price]],0)</f>
        <v>0</v>
      </c>
      <c r="K596" s="50"/>
      <c r="L596" s="50">
        <f>Table3[[#This Row],[Total Sales]]-Table3[[#This Row],[Discount]]</f>
        <v>0</v>
      </c>
      <c r="M596" s="58">
        <f>Table3[[#This Row],[Net Sales]]-Table3[[#This Row],[Cost Price]]*Table3[[#This Row],[QTY SOLD]]</f>
        <v>0</v>
      </c>
      <c r="N596" s="25"/>
      <c r="O596" s="25"/>
      <c r="P596" s="25"/>
      <c r="Q596" s="25"/>
      <c r="R596" s="25"/>
      <c r="S596" s="25"/>
    </row>
    <row r="597" spans="1:19" x14ac:dyDescent="0.25">
      <c r="A597" s="65"/>
      <c r="B597" s="50"/>
      <c r="C597" s="50"/>
      <c r="D597" s="50"/>
      <c r="E597" s="50" t="str">
        <f>IF(D597="","",VLOOKUP(D597,'Product Master'!$B:$C,2,FALSE))</f>
        <v/>
      </c>
      <c r="F597" s="50" t="str">
        <f>IF(D597="","",IFERROR(VLOOKUP(D597,'Product Master'!$B:$G,3,FALSE),""))</f>
        <v/>
      </c>
      <c r="G597" s="51"/>
      <c r="H597" s="52" t="str">
        <f>IF(D597="","",VLOOKUP(D597,'Product Master'!$B:$F,5,FALSE))</f>
        <v/>
      </c>
      <c r="I597" s="52">
        <f>IFERROR(VLOOKUP(D597,'Product Master'!B:E,4,FALSE),0)</f>
        <v>0</v>
      </c>
      <c r="J597" s="53">
        <f>IFERROR(Table3[[#This Row],[QTY SOLD]]*Table3[[#This Row],[Selling Price]],0)</f>
        <v>0</v>
      </c>
      <c r="K597" s="50"/>
      <c r="L597" s="50">
        <f>Table3[[#This Row],[Total Sales]]-Table3[[#This Row],[Discount]]</f>
        <v>0</v>
      </c>
      <c r="M597" s="58">
        <f>Table3[[#This Row],[Net Sales]]-Table3[[#This Row],[Cost Price]]*Table3[[#This Row],[QTY SOLD]]</f>
        <v>0</v>
      </c>
      <c r="N597" s="25"/>
      <c r="O597" s="25"/>
      <c r="P597" s="25"/>
      <c r="Q597" s="25"/>
      <c r="R597" s="25"/>
      <c r="S597" s="25"/>
    </row>
    <row r="598" spans="1:19" x14ac:dyDescent="0.25">
      <c r="A598" s="65"/>
      <c r="B598" s="50"/>
      <c r="C598" s="50"/>
      <c r="D598" s="50"/>
      <c r="E598" s="50" t="str">
        <f>IF(D598="","",VLOOKUP(D598,'Product Master'!$B:$C,2,FALSE))</f>
        <v/>
      </c>
      <c r="F598" s="50" t="str">
        <f>IF(D598="","",IFERROR(VLOOKUP(D598,'Product Master'!$B:$G,3,FALSE),""))</f>
        <v/>
      </c>
      <c r="G598" s="51"/>
      <c r="H598" s="52" t="str">
        <f>IF(D598="","",VLOOKUP(D598,'Product Master'!$B:$F,5,FALSE))</f>
        <v/>
      </c>
      <c r="I598" s="52">
        <f>IFERROR(VLOOKUP(D598,'Product Master'!B:E,4,FALSE),0)</f>
        <v>0</v>
      </c>
      <c r="J598" s="53">
        <f>IFERROR(Table3[[#This Row],[QTY SOLD]]*Table3[[#This Row],[Selling Price]],0)</f>
        <v>0</v>
      </c>
      <c r="K598" s="50"/>
      <c r="L598" s="50">
        <f>Table3[[#This Row],[Total Sales]]-Table3[[#This Row],[Discount]]</f>
        <v>0</v>
      </c>
      <c r="M598" s="58">
        <f>Table3[[#This Row],[Net Sales]]-Table3[[#This Row],[Cost Price]]*Table3[[#This Row],[QTY SOLD]]</f>
        <v>0</v>
      </c>
      <c r="N598" s="25"/>
      <c r="O598" s="25"/>
      <c r="P598" s="25"/>
      <c r="Q598" s="25"/>
      <c r="R598" s="25"/>
      <c r="S598" s="25"/>
    </row>
    <row r="599" spans="1:19" x14ac:dyDescent="0.25">
      <c r="A599" s="65"/>
      <c r="B599" s="50"/>
      <c r="C599" s="50"/>
      <c r="D599" s="50"/>
      <c r="E599" s="50" t="str">
        <f>IF(D599="","",VLOOKUP(D599,'Product Master'!$B:$C,2,FALSE))</f>
        <v/>
      </c>
      <c r="F599" s="50" t="str">
        <f>IF(D599="","",IFERROR(VLOOKUP(D599,'Product Master'!$B:$G,3,FALSE),""))</f>
        <v/>
      </c>
      <c r="G599" s="51"/>
      <c r="H599" s="52" t="str">
        <f>IF(D599="","",VLOOKUP(D599,'Product Master'!$B:$F,5,FALSE))</f>
        <v/>
      </c>
      <c r="I599" s="52">
        <f>IFERROR(VLOOKUP(D599,'Product Master'!B:E,4,FALSE),0)</f>
        <v>0</v>
      </c>
      <c r="J599" s="53">
        <f>IFERROR(Table3[[#This Row],[QTY SOLD]]*Table3[[#This Row],[Selling Price]],0)</f>
        <v>0</v>
      </c>
      <c r="K599" s="50"/>
      <c r="L599" s="50">
        <f>Table3[[#This Row],[Total Sales]]-Table3[[#This Row],[Discount]]</f>
        <v>0</v>
      </c>
      <c r="M599" s="58">
        <f>Table3[[#This Row],[Net Sales]]-Table3[[#This Row],[Cost Price]]*Table3[[#This Row],[QTY SOLD]]</f>
        <v>0</v>
      </c>
      <c r="N599" s="25"/>
      <c r="O599" s="25"/>
      <c r="P599" s="25"/>
      <c r="Q599" s="25"/>
      <c r="R599" s="25"/>
      <c r="S599" s="25"/>
    </row>
    <row r="600" spans="1:19" x14ac:dyDescent="0.25">
      <c r="A600" s="65"/>
      <c r="B600" s="50"/>
      <c r="C600" s="50"/>
      <c r="D600" s="50"/>
      <c r="E600" s="50" t="str">
        <f>IF(D600="","",VLOOKUP(D600,'Product Master'!$B:$C,2,FALSE))</f>
        <v/>
      </c>
      <c r="F600" s="50" t="str">
        <f>IF(D600="","",IFERROR(VLOOKUP(D600,'Product Master'!$B:$G,3,FALSE),""))</f>
        <v/>
      </c>
      <c r="G600" s="51"/>
      <c r="H600" s="52" t="str">
        <f>IF(D600="","",VLOOKUP(D600,'Product Master'!$B:$F,5,FALSE))</f>
        <v/>
      </c>
      <c r="I600" s="52">
        <f>IFERROR(VLOOKUP(D600,'Product Master'!B:E,4,FALSE),0)</f>
        <v>0</v>
      </c>
      <c r="J600" s="53">
        <f>IFERROR(Table3[[#This Row],[QTY SOLD]]*Table3[[#This Row],[Selling Price]],0)</f>
        <v>0</v>
      </c>
      <c r="K600" s="50"/>
      <c r="L600" s="50">
        <f>Table3[[#This Row],[Total Sales]]-Table3[[#This Row],[Discount]]</f>
        <v>0</v>
      </c>
      <c r="M600" s="58">
        <f>Table3[[#This Row],[Net Sales]]-Table3[[#This Row],[Cost Price]]*Table3[[#This Row],[QTY SOLD]]</f>
        <v>0</v>
      </c>
      <c r="N600" s="25"/>
      <c r="O600" s="25"/>
      <c r="P600" s="25"/>
      <c r="Q600" s="25"/>
      <c r="R600" s="25"/>
      <c r="S600" s="25"/>
    </row>
    <row r="601" spans="1:19" x14ac:dyDescent="0.25">
      <c r="A601" s="65"/>
      <c r="B601" s="50"/>
      <c r="C601" s="50"/>
      <c r="D601" s="50"/>
      <c r="E601" s="50" t="str">
        <f>IF(D601="","",VLOOKUP(D601,'Product Master'!$B:$C,2,FALSE))</f>
        <v/>
      </c>
      <c r="F601" s="50" t="str">
        <f>IF(D601="","",IFERROR(VLOOKUP(D601,'Product Master'!$B:$G,3,FALSE),""))</f>
        <v/>
      </c>
      <c r="G601" s="51"/>
      <c r="H601" s="52" t="str">
        <f>IF(D601="","",VLOOKUP(D601,'Product Master'!$B:$F,5,FALSE))</f>
        <v/>
      </c>
      <c r="I601" s="52">
        <f>IFERROR(VLOOKUP(D601,'Product Master'!B:E,4,FALSE),0)</f>
        <v>0</v>
      </c>
      <c r="J601" s="53">
        <f>IFERROR(Table3[[#This Row],[QTY SOLD]]*Table3[[#This Row],[Selling Price]],0)</f>
        <v>0</v>
      </c>
      <c r="K601" s="50"/>
      <c r="L601" s="50">
        <f>Table3[[#This Row],[Total Sales]]-Table3[[#This Row],[Discount]]</f>
        <v>0</v>
      </c>
      <c r="M601" s="58">
        <f>Table3[[#This Row],[Net Sales]]-Table3[[#This Row],[Cost Price]]*Table3[[#This Row],[QTY SOLD]]</f>
        <v>0</v>
      </c>
      <c r="N601" s="25"/>
      <c r="O601" s="25"/>
      <c r="P601" s="25"/>
      <c r="Q601" s="25"/>
      <c r="R601" s="25"/>
      <c r="S601" s="25"/>
    </row>
    <row r="602" spans="1:19" x14ac:dyDescent="0.25">
      <c r="A602" s="65"/>
      <c r="B602" s="50"/>
      <c r="C602" s="50"/>
      <c r="D602" s="50"/>
      <c r="E602" s="50" t="str">
        <f>IF(D602="","",VLOOKUP(D602,'Product Master'!$B:$C,2,FALSE))</f>
        <v/>
      </c>
      <c r="F602" s="50" t="str">
        <f>IF(D602="","",IFERROR(VLOOKUP(D602,'Product Master'!$B:$G,3,FALSE),""))</f>
        <v/>
      </c>
      <c r="G602" s="51"/>
      <c r="H602" s="52" t="str">
        <f>IF(D602="","",VLOOKUP(D602,'Product Master'!$B:$F,5,FALSE))</f>
        <v/>
      </c>
      <c r="I602" s="52">
        <f>IFERROR(VLOOKUP(D602,'Product Master'!B:E,4,FALSE),0)</f>
        <v>0</v>
      </c>
      <c r="J602" s="53">
        <f>IFERROR(Table3[[#This Row],[QTY SOLD]]*Table3[[#This Row],[Selling Price]],0)</f>
        <v>0</v>
      </c>
      <c r="K602" s="50"/>
      <c r="L602" s="50">
        <f>Table3[[#This Row],[Total Sales]]-Table3[[#This Row],[Discount]]</f>
        <v>0</v>
      </c>
      <c r="M602" s="58">
        <f>Table3[[#This Row],[Net Sales]]-Table3[[#This Row],[Cost Price]]*Table3[[#This Row],[QTY SOLD]]</f>
        <v>0</v>
      </c>
      <c r="N602" s="25"/>
      <c r="O602" s="25"/>
      <c r="P602" s="25"/>
      <c r="Q602" s="25"/>
      <c r="R602" s="25"/>
      <c r="S602" s="25"/>
    </row>
    <row r="603" spans="1:19" x14ac:dyDescent="0.25">
      <c r="A603" s="65"/>
      <c r="B603" s="50"/>
      <c r="C603" s="50"/>
      <c r="D603" s="50"/>
      <c r="E603" s="50" t="str">
        <f>IF(D603="","",VLOOKUP(D603,'Product Master'!$B:$C,2,FALSE))</f>
        <v/>
      </c>
      <c r="F603" s="50" t="str">
        <f>IF(D603="","",IFERROR(VLOOKUP(D603,'Product Master'!$B:$G,3,FALSE),""))</f>
        <v/>
      </c>
      <c r="G603" s="51"/>
      <c r="H603" s="52" t="str">
        <f>IF(D603="","",VLOOKUP(D603,'Product Master'!$B:$F,5,FALSE))</f>
        <v/>
      </c>
      <c r="I603" s="52">
        <f>IFERROR(VLOOKUP(D603,'Product Master'!B:E,4,FALSE),0)</f>
        <v>0</v>
      </c>
      <c r="J603" s="53">
        <f>IFERROR(Table3[[#This Row],[QTY SOLD]]*Table3[[#This Row],[Selling Price]],0)</f>
        <v>0</v>
      </c>
      <c r="K603" s="50"/>
      <c r="L603" s="50">
        <f>Table3[[#This Row],[Total Sales]]-Table3[[#This Row],[Discount]]</f>
        <v>0</v>
      </c>
      <c r="M603" s="58">
        <f>Table3[[#This Row],[Net Sales]]-Table3[[#This Row],[Cost Price]]*Table3[[#This Row],[QTY SOLD]]</f>
        <v>0</v>
      </c>
      <c r="N603" s="25"/>
      <c r="O603" s="25"/>
      <c r="P603" s="25"/>
      <c r="Q603" s="25"/>
      <c r="R603" s="25"/>
      <c r="S603" s="25"/>
    </row>
    <row r="604" spans="1:19" x14ac:dyDescent="0.25">
      <c r="A604" s="65"/>
      <c r="B604" s="50"/>
      <c r="C604" s="50"/>
      <c r="D604" s="50"/>
      <c r="E604" s="50" t="str">
        <f>IF(D604="","",VLOOKUP(D604,'Product Master'!$B:$C,2,FALSE))</f>
        <v/>
      </c>
      <c r="F604" s="50" t="str">
        <f>IF(D604="","",IFERROR(VLOOKUP(D604,'Product Master'!$B:$G,3,FALSE),""))</f>
        <v/>
      </c>
      <c r="G604" s="51"/>
      <c r="H604" s="52" t="str">
        <f>IF(D604="","",VLOOKUP(D604,'Product Master'!$B:$F,5,FALSE))</f>
        <v/>
      </c>
      <c r="I604" s="52">
        <f>IFERROR(VLOOKUP(D604,'Product Master'!B:E,4,FALSE),0)</f>
        <v>0</v>
      </c>
      <c r="J604" s="53">
        <f>IFERROR(Table3[[#This Row],[QTY SOLD]]*Table3[[#This Row],[Selling Price]],0)</f>
        <v>0</v>
      </c>
      <c r="K604" s="50"/>
      <c r="L604" s="50">
        <f>Table3[[#This Row],[Total Sales]]-Table3[[#This Row],[Discount]]</f>
        <v>0</v>
      </c>
      <c r="M604" s="58">
        <f>Table3[[#This Row],[Net Sales]]-Table3[[#This Row],[Cost Price]]*Table3[[#This Row],[QTY SOLD]]</f>
        <v>0</v>
      </c>
      <c r="N604" s="25"/>
      <c r="O604" s="25"/>
      <c r="P604" s="25"/>
      <c r="Q604" s="25"/>
      <c r="R604" s="25"/>
      <c r="S604" s="25"/>
    </row>
    <row r="605" spans="1:19" x14ac:dyDescent="0.25">
      <c r="A605" s="65"/>
      <c r="B605" s="50"/>
      <c r="C605" s="50"/>
      <c r="D605" s="50"/>
      <c r="E605" s="50" t="str">
        <f>IF(D605="","",VLOOKUP(D605,'Product Master'!$B:$C,2,FALSE))</f>
        <v/>
      </c>
      <c r="F605" s="50" t="str">
        <f>IF(D605="","",IFERROR(VLOOKUP(D605,'Product Master'!$B:$G,3,FALSE),""))</f>
        <v/>
      </c>
      <c r="G605" s="51"/>
      <c r="H605" s="52" t="str">
        <f>IF(D605="","",VLOOKUP(D605,'Product Master'!$B:$F,5,FALSE))</f>
        <v/>
      </c>
      <c r="I605" s="52">
        <f>IFERROR(VLOOKUP(D605,'Product Master'!B:E,4,FALSE),0)</f>
        <v>0</v>
      </c>
      <c r="J605" s="53">
        <f>IFERROR(Table3[[#This Row],[QTY SOLD]]*Table3[[#This Row],[Selling Price]],0)</f>
        <v>0</v>
      </c>
      <c r="K605" s="50"/>
      <c r="L605" s="50">
        <f>Table3[[#This Row],[Total Sales]]-Table3[[#This Row],[Discount]]</f>
        <v>0</v>
      </c>
      <c r="M605" s="58">
        <f>Table3[[#This Row],[Net Sales]]-Table3[[#This Row],[Cost Price]]*Table3[[#This Row],[QTY SOLD]]</f>
        <v>0</v>
      </c>
      <c r="N605" s="25"/>
      <c r="O605" s="25"/>
      <c r="P605" s="25"/>
      <c r="Q605" s="25"/>
      <c r="R605" s="25"/>
      <c r="S605" s="25"/>
    </row>
    <row r="606" spans="1:19" x14ac:dyDescent="0.25">
      <c r="A606" s="65"/>
      <c r="B606" s="50"/>
      <c r="C606" s="50"/>
      <c r="D606" s="50"/>
      <c r="E606" s="50" t="str">
        <f>IF(D606="","",VLOOKUP(D606,'Product Master'!$B:$C,2,FALSE))</f>
        <v/>
      </c>
      <c r="F606" s="50" t="str">
        <f>IF(D606="","",IFERROR(VLOOKUP(D606,'Product Master'!$B:$G,3,FALSE),""))</f>
        <v/>
      </c>
      <c r="G606" s="51"/>
      <c r="H606" s="52" t="str">
        <f>IF(D606="","",VLOOKUP(D606,'Product Master'!$B:$F,5,FALSE))</f>
        <v/>
      </c>
      <c r="I606" s="52">
        <f>IFERROR(VLOOKUP(D606,'Product Master'!B:E,4,FALSE),0)</f>
        <v>0</v>
      </c>
      <c r="J606" s="53">
        <f>IFERROR(Table3[[#This Row],[QTY SOLD]]*Table3[[#This Row],[Selling Price]],0)</f>
        <v>0</v>
      </c>
      <c r="K606" s="50"/>
      <c r="L606" s="50">
        <f>Table3[[#This Row],[Total Sales]]-Table3[[#This Row],[Discount]]</f>
        <v>0</v>
      </c>
      <c r="M606" s="58">
        <f>Table3[[#This Row],[Net Sales]]-Table3[[#This Row],[Cost Price]]*Table3[[#This Row],[QTY SOLD]]</f>
        <v>0</v>
      </c>
      <c r="N606" s="25"/>
      <c r="O606" s="25"/>
      <c r="P606" s="25"/>
      <c r="Q606" s="25"/>
      <c r="R606" s="25"/>
      <c r="S606" s="25"/>
    </row>
    <row r="607" spans="1:19" x14ac:dyDescent="0.25">
      <c r="A607" s="65"/>
      <c r="B607" s="50"/>
      <c r="C607" s="50"/>
      <c r="D607" s="50"/>
      <c r="E607" s="50" t="str">
        <f>IF(D607="","",VLOOKUP(D607,'Product Master'!$B:$C,2,FALSE))</f>
        <v/>
      </c>
      <c r="F607" s="50" t="str">
        <f>IF(D607="","",IFERROR(VLOOKUP(D607,'Product Master'!$B:$G,3,FALSE),""))</f>
        <v/>
      </c>
      <c r="G607" s="51"/>
      <c r="H607" s="52" t="str">
        <f>IF(D607="","",VLOOKUP(D607,'Product Master'!$B:$F,5,FALSE))</f>
        <v/>
      </c>
      <c r="I607" s="52">
        <f>IFERROR(VLOOKUP(D607,'Product Master'!B:E,4,FALSE),0)</f>
        <v>0</v>
      </c>
      <c r="J607" s="53">
        <f>IFERROR(Table3[[#This Row],[QTY SOLD]]*Table3[[#This Row],[Selling Price]],0)</f>
        <v>0</v>
      </c>
      <c r="K607" s="50"/>
      <c r="L607" s="50">
        <f>Table3[[#This Row],[Total Sales]]-Table3[[#This Row],[Discount]]</f>
        <v>0</v>
      </c>
      <c r="M607" s="58">
        <f>Table3[[#This Row],[Net Sales]]-Table3[[#This Row],[Cost Price]]*Table3[[#This Row],[QTY SOLD]]</f>
        <v>0</v>
      </c>
      <c r="N607" s="25"/>
      <c r="O607" s="25"/>
      <c r="P607" s="25"/>
      <c r="Q607" s="25"/>
      <c r="R607" s="25"/>
      <c r="S607" s="25"/>
    </row>
    <row r="608" spans="1:19" x14ac:dyDescent="0.25">
      <c r="A608" s="65"/>
      <c r="B608" s="50"/>
      <c r="C608" s="50"/>
      <c r="D608" s="50"/>
      <c r="E608" s="50" t="str">
        <f>IF(D608="","",VLOOKUP(D608,'Product Master'!$B:$C,2,FALSE))</f>
        <v/>
      </c>
      <c r="F608" s="50" t="str">
        <f>IF(D608="","",IFERROR(VLOOKUP(D608,'Product Master'!$B:$G,3,FALSE),""))</f>
        <v/>
      </c>
      <c r="G608" s="51"/>
      <c r="H608" s="52" t="str">
        <f>IF(D608="","",VLOOKUP(D608,'Product Master'!$B:$F,5,FALSE))</f>
        <v/>
      </c>
      <c r="I608" s="52">
        <f>IFERROR(VLOOKUP(D608,'Product Master'!B:E,4,FALSE),0)</f>
        <v>0</v>
      </c>
      <c r="J608" s="53">
        <f>IFERROR(Table3[[#This Row],[QTY SOLD]]*Table3[[#This Row],[Selling Price]],0)</f>
        <v>0</v>
      </c>
      <c r="K608" s="50"/>
      <c r="L608" s="50">
        <f>Table3[[#This Row],[Total Sales]]-Table3[[#This Row],[Discount]]</f>
        <v>0</v>
      </c>
      <c r="M608" s="58">
        <f>Table3[[#This Row],[Net Sales]]-Table3[[#This Row],[Cost Price]]*Table3[[#This Row],[QTY SOLD]]</f>
        <v>0</v>
      </c>
      <c r="N608" s="25"/>
      <c r="O608" s="25"/>
      <c r="P608" s="25"/>
      <c r="Q608" s="25"/>
      <c r="R608" s="25"/>
      <c r="S608" s="25"/>
    </row>
    <row r="609" spans="1:19" x14ac:dyDescent="0.25">
      <c r="A609" s="65"/>
      <c r="B609" s="50"/>
      <c r="C609" s="50"/>
      <c r="D609" s="50"/>
      <c r="E609" s="50" t="str">
        <f>IF(D609="","",VLOOKUP(D609,'Product Master'!$B:$C,2,FALSE))</f>
        <v/>
      </c>
      <c r="F609" s="50" t="str">
        <f>IF(D609="","",IFERROR(VLOOKUP(D609,'Product Master'!$B:$G,3,FALSE),""))</f>
        <v/>
      </c>
      <c r="G609" s="51"/>
      <c r="H609" s="52" t="str">
        <f>IF(D609="","",VLOOKUP(D609,'Product Master'!$B:$F,5,FALSE))</f>
        <v/>
      </c>
      <c r="I609" s="52">
        <f>IFERROR(VLOOKUP(D609,'Product Master'!B:E,4,FALSE),0)</f>
        <v>0</v>
      </c>
      <c r="J609" s="53">
        <f>IFERROR(Table3[[#This Row],[QTY SOLD]]*Table3[[#This Row],[Selling Price]],0)</f>
        <v>0</v>
      </c>
      <c r="K609" s="50"/>
      <c r="L609" s="50">
        <f>Table3[[#This Row],[Total Sales]]-Table3[[#This Row],[Discount]]</f>
        <v>0</v>
      </c>
      <c r="M609" s="58">
        <f>Table3[[#This Row],[Net Sales]]-Table3[[#This Row],[Cost Price]]*Table3[[#This Row],[QTY SOLD]]</f>
        <v>0</v>
      </c>
      <c r="N609" s="25"/>
      <c r="O609" s="25"/>
      <c r="P609" s="25"/>
      <c r="Q609" s="25"/>
      <c r="R609" s="25"/>
      <c r="S609" s="25"/>
    </row>
    <row r="610" spans="1:19" x14ac:dyDescent="0.25">
      <c r="A610" s="65"/>
      <c r="B610" s="50"/>
      <c r="C610" s="50"/>
      <c r="D610" s="50"/>
      <c r="E610" s="50" t="str">
        <f>IF(D610="","",VLOOKUP(D610,'Product Master'!$B:$C,2,FALSE))</f>
        <v/>
      </c>
      <c r="F610" s="50" t="str">
        <f>IF(D610="","",IFERROR(VLOOKUP(D610,'Product Master'!$B:$G,3,FALSE),""))</f>
        <v/>
      </c>
      <c r="G610" s="51"/>
      <c r="H610" s="52" t="str">
        <f>IF(D610="","",VLOOKUP(D610,'Product Master'!$B:$F,5,FALSE))</f>
        <v/>
      </c>
      <c r="I610" s="52">
        <f>IFERROR(VLOOKUP(D610,'Product Master'!B:E,4,FALSE),0)</f>
        <v>0</v>
      </c>
      <c r="J610" s="53">
        <f>IFERROR(Table3[[#This Row],[QTY SOLD]]*Table3[[#This Row],[Selling Price]],0)</f>
        <v>0</v>
      </c>
      <c r="K610" s="50"/>
      <c r="L610" s="50">
        <f>Table3[[#This Row],[Total Sales]]-Table3[[#This Row],[Discount]]</f>
        <v>0</v>
      </c>
      <c r="M610" s="58">
        <f>Table3[[#This Row],[Net Sales]]-Table3[[#This Row],[Cost Price]]*Table3[[#This Row],[QTY SOLD]]</f>
        <v>0</v>
      </c>
      <c r="N610" s="25"/>
      <c r="O610" s="25"/>
      <c r="P610" s="25"/>
      <c r="Q610" s="25"/>
      <c r="R610" s="25"/>
      <c r="S610" s="25"/>
    </row>
    <row r="611" spans="1:19" x14ac:dyDescent="0.25">
      <c r="A611" s="65"/>
      <c r="B611" s="50"/>
      <c r="C611" s="50"/>
      <c r="D611" s="50"/>
      <c r="E611" s="50" t="str">
        <f>IF(D611="","",VLOOKUP(D611,'Product Master'!$B:$C,2,FALSE))</f>
        <v/>
      </c>
      <c r="F611" s="50" t="str">
        <f>IF(D611="","",IFERROR(VLOOKUP(D611,'Product Master'!$B:$G,3,FALSE),""))</f>
        <v/>
      </c>
      <c r="G611" s="51"/>
      <c r="H611" s="52" t="str">
        <f>IF(D611="","",VLOOKUP(D611,'Product Master'!$B:$F,5,FALSE))</f>
        <v/>
      </c>
      <c r="I611" s="52">
        <f>IFERROR(VLOOKUP(D611,'Product Master'!B:E,4,FALSE),0)</f>
        <v>0</v>
      </c>
      <c r="J611" s="53">
        <f>IFERROR(Table3[[#This Row],[QTY SOLD]]*Table3[[#This Row],[Selling Price]],0)</f>
        <v>0</v>
      </c>
      <c r="K611" s="50"/>
      <c r="L611" s="50">
        <f>Table3[[#This Row],[Total Sales]]-Table3[[#This Row],[Discount]]</f>
        <v>0</v>
      </c>
      <c r="M611" s="58">
        <f>Table3[[#This Row],[Net Sales]]-Table3[[#This Row],[Cost Price]]*Table3[[#This Row],[QTY SOLD]]</f>
        <v>0</v>
      </c>
      <c r="N611" s="25"/>
      <c r="O611" s="25"/>
      <c r="P611" s="25"/>
      <c r="Q611" s="25"/>
      <c r="R611" s="25"/>
      <c r="S611" s="25"/>
    </row>
    <row r="612" spans="1:19" x14ac:dyDescent="0.25">
      <c r="A612" s="65"/>
      <c r="B612" s="50"/>
      <c r="C612" s="50"/>
      <c r="D612" s="50"/>
      <c r="E612" s="50" t="str">
        <f>IF(D612="","",VLOOKUP(D612,'Product Master'!$B:$C,2,FALSE))</f>
        <v/>
      </c>
      <c r="F612" s="50" t="str">
        <f>IF(D612="","",IFERROR(VLOOKUP(D612,'Product Master'!$B:$G,3,FALSE),""))</f>
        <v/>
      </c>
      <c r="G612" s="51"/>
      <c r="H612" s="52" t="str">
        <f>IF(D612="","",VLOOKUP(D612,'Product Master'!$B:$F,5,FALSE))</f>
        <v/>
      </c>
      <c r="I612" s="52">
        <f>IFERROR(VLOOKUP(D612,'Product Master'!B:E,4,FALSE),0)</f>
        <v>0</v>
      </c>
      <c r="J612" s="53">
        <f>IFERROR(Table3[[#This Row],[QTY SOLD]]*Table3[[#This Row],[Selling Price]],0)</f>
        <v>0</v>
      </c>
      <c r="K612" s="50"/>
      <c r="L612" s="50">
        <f>Table3[[#This Row],[Total Sales]]-Table3[[#This Row],[Discount]]</f>
        <v>0</v>
      </c>
      <c r="M612" s="58">
        <f>Table3[[#This Row],[Net Sales]]-Table3[[#This Row],[Cost Price]]*Table3[[#This Row],[QTY SOLD]]</f>
        <v>0</v>
      </c>
      <c r="N612" s="25"/>
      <c r="O612" s="25"/>
      <c r="P612" s="25"/>
      <c r="Q612" s="25"/>
      <c r="R612" s="25"/>
      <c r="S612" s="25"/>
    </row>
    <row r="613" spans="1:19" x14ac:dyDescent="0.25">
      <c r="A613" s="65"/>
      <c r="B613" s="50"/>
      <c r="C613" s="50"/>
      <c r="D613" s="50"/>
      <c r="E613" s="50" t="str">
        <f>IF(D613="","",VLOOKUP(D613,'Product Master'!$B:$C,2,FALSE))</f>
        <v/>
      </c>
      <c r="F613" s="50" t="str">
        <f>IF(D613="","",IFERROR(VLOOKUP(D613,'Product Master'!$B:$G,3,FALSE),""))</f>
        <v/>
      </c>
      <c r="G613" s="51"/>
      <c r="H613" s="52" t="str">
        <f>IF(D613="","",VLOOKUP(D613,'Product Master'!$B:$F,5,FALSE))</f>
        <v/>
      </c>
      <c r="I613" s="52">
        <f>IFERROR(VLOOKUP(D613,'Product Master'!B:E,4,FALSE),0)</f>
        <v>0</v>
      </c>
      <c r="J613" s="53">
        <f>IFERROR(Table3[[#This Row],[QTY SOLD]]*Table3[[#This Row],[Selling Price]],0)</f>
        <v>0</v>
      </c>
      <c r="K613" s="50"/>
      <c r="L613" s="50">
        <f>Table3[[#This Row],[Total Sales]]-Table3[[#This Row],[Discount]]</f>
        <v>0</v>
      </c>
      <c r="M613" s="58">
        <f>Table3[[#This Row],[Net Sales]]-Table3[[#This Row],[Cost Price]]*Table3[[#This Row],[QTY SOLD]]</f>
        <v>0</v>
      </c>
      <c r="N613" s="25"/>
      <c r="O613" s="25"/>
      <c r="P613" s="25"/>
      <c r="Q613" s="25"/>
      <c r="R613" s="25"/>
      <c r="S613" s="25"/>
    </row>
    <row r="614" spans="1:19" x14ac:dyDescent="0.25">
      <c r="A614" s="65"/>
      <c r="B614" s="50"/>
      <c r="C614" s="50"/>
      <c r="D614" s="50"/>
      <c r="E614" s="50" t="str">
        <f>IF(D614="","",VLOOKUP(D614,'Product Master'!$B:$C,2,FALSE))</f>
        <v/>
      </c>
      <c r="F614" s="50" t="str">
        <f>IF(D614="","",IFERROR(VLOOKUP(D614,'Product Master'!$B:$G,3,FALSE),""))</f>
        <v/>
      </c>
      <c r="G614" s="51"/>
      <c r="H614" s="52" t="str">
        <f>IF(D614="","",VLOOKUP(D614,'Product Master'!$B:$F,5,FALSE))</f>
        <v/>
      </c>
      <c r="I614" s="52">
        <f>IFERROR(VLOOKUP(D614,'Product Master'!B:E,4,FALSE),0)</f>
        <v>0</v>
      </c>
      <c r="J614" s="53">
        <f>IFERROR(Table3[[#This Row],[QTY SOLD]]*Table3[[#This Row],[Selling Price]],0)</f>
        <v>0</v>
      </c>
      <c r="K614" s="50"/>
      <c r="L614" s="50">
        <f>Table3[[#This Row],[Total Sales]]-Table3[[#This Row],[Discount]]</f>
        <v>0</v>
      </c>
      <c r="M614" s="58">
        <f>Table3[[#This Row],[Net Sales]]-Table3[[#This Row],[Cost Price]]*Table3[[#This Row],[QTY SOLD]]</f>
        <v>0</v>
      </c>
      <c r="N614" s="25"/>
      <c r="O614" s="25"/>
      <c r="P614" s="25"/>
      <c r="Q614" s="25"/>
      <c r="R614" s="25"/>
      <c r="S614" s="25"/>
    </row>
    <row r="615" spans="1:19" x14ac:dyDescent="0.25">
      <c r="A615" s="65"/>
      <c r="B615" s="50"/>
      <c r="C615" s="50"/>
      <c r="D615" s="50"/>
      <c r="E615" s="50" t="str">
        <f>IF(D615="","",VLOOKUP(D615,'Product Master'!$B:$C,2,FALSE))</f>
        <v/>
      </c>
      <c r="F615" s="50" t="str">
        <f>IF(D615="","",IFERROR(VLOOKUP(D615,'Product Master'!$B:$G,3,FALSE),""))</f>
        <v/>
      </c>
      <c r="G615" s="51"/>
      <c r="H615" s="52" t="str">
        <f>IF(D615="","",VLOOKUP(D615,'Product Master'!$B:$F,5,FALSE))</f>
        <v/>
      </c>
      <c r="I615" s="52">
        <f>IFERROR(VLOOKUP(D615,'Product Master'!B:E,4,FALSE),0)</f>
        <v>0</v>
      </c>
      <c r="J615" s="53">
        <f>IFERROR(Table3[[#This Row],[QTY SOLD]]*Table3[[#This Row],[Selling Price]],0)</f>
        <v>0</v>
      </c>
      <c r="K615" s="50"/>
      <c r="L615" s="50">
        <f>Table3[[#This Row],[Total Sales]]-Table3[[#This Row],[Discount]]</f>
        <v>0</v>
      </c>
      <c r="M615" s="58">
        <f>Table3[[#This Row],[Net Sales]]-Table3[[#This Row],[Cost Price]]*Table3[[#This Row],[QTY SOLD]]</f>
        <v>0</v>
      </c>
      <c r="N615" s="25"/>
      <c r="O615" s="25"/>
      <c r="P615" s="25"/>
      <c r="Q615" s="25"/>
      <c r="R615" s="25"/>
      <c r="S615" s="25"/>
    </row>
    <row r="616" spans="1:19" x14ac:dyDescent="0.25">
      <c r="A616" s="65"/>
      <c r="B616" s="50"/>
      <c r="C616" s="50"/>
      <c r="D616" s="50"/>
      <c r="E616" s="50" t="str">
        <f>IF(D616="","",VLOOKUP(D616,'Product Master'!$B:$C,2,FALSE))</f>
        <v/>
      </c>
      <c r="F616" s="50" t="str">
        <f>IF(D616="","",IFERROR(VLOOKUP(D616,'Product Master'!$B:$G,3,FALSE),""))</f>
        <v/>
      </c>
      <c r="G616" s="51"/>
      <c r="H616" s="52" t="str">
        <f>IF(D616="","",VLOOKUP(D616,'Product Master'!$B:$F,5,FALSE))</f>
        <v/>
      </c>
      <c r="I616" s="52">
        <f>IFERROR(VLOOKUP(D616,'Product Master'!B:E,4,FALSE),0)</f>
        <v>0</v>
      </c>
      <c r="J616" s="53">
        <f>IFERROR(Table3[[#This Row],[QTY SOLD]]*Table3[[#This Row],[Selling Price]],0)</f>
        <v>0</v>
      </c>
      <c r="K616" s="50"/>
      <c r="L616" s="50">
        <f>Table3[[#This Row],[Total Sales]]-Table3[[#This Row],[Discount]]</f>
        <v>0</v>
      </c>
      <c r="M616" s="58">
        <f>Table3[[#This Row],[Net Sales]]-Table3[[#This Row],[Cost Price]]*Table3[[#This Row],[QTY SOLD]]</f>
        <v>0</v>
      </c>
      <c r="N616" s="25"/>
      <c r="O616" s="25"/>
      <c r="P616" s="25"/>
      <c r="Q616" s="25"/>
      <c r="R616" s="25"/>
      <c r="S616" s="25"/>
    </row>
    <row r="617" spans="1:19" x14ac:dyDescent="0.25">
      <c r="A617" s="65"/>
      <c r="B617" s="50"/>
      <c r="C617" s="50"/>
      <c r="D617" s="50"/>
      <c r="E617" s="50" t="str">
        <f>IF(D617="","",VLOOKUP(D617,'Product Master'!$B:$C,2,FALSE))</f>
        <v/>
      </c>
      <c r="F617" s="50" t="str">
        <f>IF(D617="","",IFERROR(VLOOKUP(D617,'Product Master'!$B:$G,3,FALSE),""))</f>
        <v/>
      </c>
      <c r="G617" s="51"/>
      <c r="H617" s="52" t="str">
        <f>IF(D617="","",VLOOKUP(D617,'Product Master'!$B:$F,5,FALSE))</f>
        <v/>
      </c>
      <c r="I617" s="52">
        <f>IFERROR(VLOOKUP(D617,'Product Master'!B:E,4,FALSE),0)</f>
        <v>0</v>
      </c>
      <c r="J617" s="53">
        <f>IFERROR(Table3[[#This Row],[QTY SOLD]]*Table3[[#This Row],[Selling Price]],0)</f>
        <v>0</v>
      </c>
      <c r="K617" s="50"/>
      <c r="L617" s="50">
        <f>Table3[[#This Row],[Total Sales]]-Table3[[#This Row],[Discount]]</f>
        <v>0</v>
      </c>
      <c r="M617" s="58">
        <f>Table3[[#This Row],[Net Sales]]-Table3[[#This Row],[Cost Price]]*Table3[[#This Row],[QTY SOLD]]</f>
        <v>0</v>
      </c>
      <c r="N617" s="25"/>
      <c r="O617" s="25"/>
      <c r="P617" s="25"/>
      <c r="Q617" s="25"/>
      <c r="R617" s="25"/>
      <c r="S617" s="25"/>
    </row>
    <row r="618" spans="1:19" x14ac:dyDescent="0.25">
      <c r="A618" s="65"/>
      <c r="B618" s="50"/>
      <c r="C618" s="50"/>
      <c r="D618" s="50"/>
      <c r="E618" s="50" t="str">
        <f>IF(D618="","",VLOOKUP(D618,'Product Master'!$B:$C,2,FALSE))</f>
        <v/>
      </c>
      <c r="F618" s="50" t="str">
        <f>IF(D618="","",IFERROR(VLOOKUP(D618,'Product Master'!$B:$G,3,FALSE),""))</f>
        <v/>
      </c>
      <c r="G618" s="51"/>
      <c r="H618" s="52" t="str">
        <f>IF(D618="","",VLOOKUP(D618,'Product Master'!$B:$F,5,FALSE))</f>
        <v/>
      </c>
      <c r="I618" s="52">
        <f>IFERROR(VLOOKUP(D618,'Product Master'!B:E,4,FALSE),0)</f>
        <v>0</v>
      </c>
      <c r="J618" s="53">
        <f>IFERROR(Table3[[#This Row],[QTY SOLD]]*Table3[[#This Row],[Selling Price]],0)</f>
        <v>0</v>
      </c>
      <c r="K618" s="50"/>
      <c r="L618" s="50">
        <f>Table3[[#This Row],[Total Sales]]-Table3[[#This Row],[Discount]]</f>
        <v>0</v>
      </c>
      <c r="M618" s="58">
        <f>Table3[[#This Row],[Net Sales]]-Table3[[#This Row],[Cost Price]]*Table3[[#This Row],[QTY SOLD]]</f>
        <v>0</v>
      </c>
      <c r="N618" s="25"/>
      <c r="O618" s="25"/>
      <c r="P618" s="25"/>
      <c r="Q618" s="25"/>
      <c r="R618" s="25"/>
      <c r="S618" s="25"/>
    </row>
    <row r="619" spans="1:19" x14ac:dyDescent="0.25">
      <c r="A619" s="65"/>
      <c r="B619" s="50"/>
      <c r="C619" s="50"/>
      <c r="D619" s="50"/>
      <c r="E619" s="50" t="str">
        <f>IF(D619="","",VLOOKUP(D619,'Product Master'!$B:$C,2,FALSE))</f>
        <v/>
      </c>
      <c r="F619" s="50" t="str">
        <f>IF(D619="","",IFERROR(VLOOKUP(D619,'Product Master'!$B:$G,3,FALSE),""))</f>
        <v/>
      </c>
      <c r="G619" s="51"/>
      <c r="H619" s="52" t="str">
        <f>IF(D619="","",VLOOKUP(D619,'Product Master'!$B:$F,5,FALSE))</f>
        <v/>
      </c>
      <c r="I619" s="52">
        <f>IFERROR(VLOOKUP(D619,'Product Master'!B:E,4,FALSE),0)</f>
        <v>0</v>
      </c>
      <c r="J619" s="53">
        <f>IFERROR(Table3[[#This Row],[QTY SOLD]]*Table3[[#This Row],[Selling Price]],0)</f>
        <v>0</v>
      </c>
      <c r="K619" s="50"/>
      <c r="L619" s="50">
        <f>Table3[[#This Row],[Total Sales]]-Table3[[#This Row],[Discount]]</f>
        <v>0</v>
      </c>
      <c r="M619" s="58">
        <f>Table3[[#This Row],[Net Sales]]-Table3[[#This Row],[Cost Price]]*Table3[[#This Row],[QTY SOLD]]</f>
        <v>0</v>
      </c>
      <c r="N619" s="25"/>
      <c r="O619" s="25"/>
      <c r="P619" s="25"/>
      <c r="Q619" s="25"/>
      <c r="R619" s="25"/>
      <c r="S619" s="25"/>
    </row>
    <row r="620" spans="1:19" x14ac:dyDescent="0.25">
      <c r="A620" s="65"/>
      <c r="B620" s="50"/>
      <c r="C620" s="50"/>
      <c r="D620" s="50"/>
      <c r="E620" s="50" t="str">
        <f>IF(D620="","",VLOOKUP(D620,'Product Master'!$B:$C,2,FALSE))</f>
        <v/>
      </c>
      <c r="F620" s="50" t="str">
        <f>IF(D620="","",IFERROR(VLOOKUP(D620,'Product Master'!$B:$G,3,FALSE),""))</f>
        <v/>
      </c>
      <c r="G620" s="51"/>
      <c r="H620" s="52" t="str">
        <f>IF(D620="","",VLOOKUP(D620,'Product Master'!$B:$F,5,FALSE))</f>
        <v/>
      </c>
      <c r="I620" s="52">
        <f>IFERROR(VLOOKUP(D620,'Product Master'!B:E,4,FALSE),0)</f>
        <v>0</v>
      </c>
      <c r="J620" s="53">
        <f>IFERROR(Table3[[#This Row],[QTY SOLD]]*Table3[[#This Row],[Selling Price]],0)</f>
        <v>0</v>
      </c>
      <c r="K620" s="50"/>
      <c r="L620" s="50">
        <f>Table3[[#This Row],[Total Sales]]-Table3[[#This Row],[Discount]]</f>
        <v>0</v>
      </c>
      <c r="M620" s="58">
        <f>Table3[[#This Row],[Net Sales]]-Table3[[#This Row],[Cost Price]]*Table3[[#This Row],[QTY SOLD]]</f>
        <v>0</v>
      </c>
      <c r="N620" s="25"/>
      <c r="O620" s="25"/>
      <c r="P620" s="25"/>
      <c r="Q620" s="25"/>
      <c r="R620" s="25"/>
      <c r="S620" s="25"/>
    </row>
    <row r="621" spans="1:19" x14ac:dyDescent="0.25">
      <c r="A621" s="65"/>
      <c r="B621" s="50"/>
      <c r="C621" s="50"/>
      <c r="D621" s="50"/>
      <c r="E621" s="50" t="str">
        <f>IF(D621="","",VLOOKUP(D621,'Product Master'!$B:$C,2,FALSE))</f>
        <v/>
      </c>
      <c r="F621" s="50" t="str">
        <f>IF(D621="","",IFERROR(VLOOKUP(D621,'Product Master'!$B:$G,3,FALSE),""))</f>
        <v/>
      </c>
      <c r="G621" s="51"/>
      <c r="H621" s="52" t="str">
        <f>IF(D621="","",VLOOKUP(D621,'Product Master'!$B:$F,5,FALSE))</f>
        <v/>
      </c>
      <c r="I621" s="52">
        <f>IFERROR(VLOOKUP(D621,'Product Master'!B:E,4,FALSE),0)</f>
        <v>0</v>
      </c>
      <c r="J621" s="53">
        <f>IFERROR(Table3[[#This Row],[QTY SOLD]]*Table3[[#This Row],[Selling Price]],0)</f>
        <v>0</v>
      </c>
      <c r="K621" s="50"/>
      <c r="L621" s="50">
        <f>Table3[[#This Row],[Total Sales]]-Table3[[#This Row],[Discount]]</f>
        <v>0</v>
      </c>
      <c r="M621" s="58">
        <f>Table3[[#This Row],[Net Sales]]-Table3[[#This Row],[Cost Price]]*Table3[[#This Row],[QTY SOLD]]</f>
        <v>0</v>
      </c>
      <c r="N621" s="25"/>
      <c r="O621" s="25"/>
      <c r="P621" s="25"/>
      <c r="Q621" s="25"/>
      <c r="R621" s="25"/>
      <c r="S621" s="25"/>
    </row>
    <row r="622" spans="1:19" x14ac:dyDescent="0.25">
      <c r="A622" s="65"/>
      <c r="B622" s="50"/>
      <c r="C622" s="50"/>
      <c r="D622" s="50"/>
      <c r="E622" s="50" t="str">
        <f>IF(D622="","",VLOOKUP(D622,'Product Master'!$B:$C,2,FALSE))</f>
        <v/>
      </c>
      <c r="F622" s="50" t="str">
        <f>IF(D622="","",IFERROR(VLOOKUP(D622,'Product Master'!$B:$G,3,FALSE),""))</f>
        <v/>
      </c>
      <c r="G622" s="51"/>
      <c r="H622" s="52" t="str">
        <f>IF(D622="","",VLOOKUP(D622,'Product Master'!$B:$F,5,FALSE))</f>
        <v/>
      </c>
      <c r="I622" s="52">
        <f>IFERROR(VLOOKUP(D622,'Product Master'!B:E,4,FALSE),0)</f>
        <v>0</v>
      </c>
      <c r="J622" s="53">
        <f>IFERROR(Table3[[#This Row],[QTY SOLD]]*Table3[[#This Row],[Selling Price]],0)</f>
        <v>0</v>
      </c>
      <c r="K622" s="50"/>
      <c r="L622" s="50">
        <f>Table3[[#This Row],[Total Sales]]-Table3[[#This Row],[Discount]]</f>
        <v>0</v>
      </c>
      <c r="M622" s="58">
        <f>Table3[[#This Row],[Net Sales]]-Table3[[#This Row],[Cost Price]]*Table3[[#This Row],[QTY SOLD]]</f>
        <v>0</v>
      </c>
      <c r="N622" s="25"/>
      <c r="O622" s="25"/>
      <c r="P622" s="25"/>
      <c r="Q622" s="25"/>
      <c r="R622" s="25"/>
      <c r="S622" s="25"/>
    </row>
    <row r="623" spans="1:19" x14ac:dyDescent="0.25">
      <c r="A623" s="65"/>
      <c r="B623" s="50"/>
      <c r="C623" s="50"/>
      <c r="D623" s="50"/>
      <c r="E623" s="50" t="str">
        <f>IF(D623="","",VLOOKUP(D623,'Product Master'!$B:$C,2,FALSE))</f>
        <v/>
      </c>
      <c r="F623" s="50" t="str">
        <f>IF(D623="","",IFERROR(VLOOKUP(D623,'Product Master'!$B:$G,3,FALSE),""))</f>
        <v/>
      </c>
      <c r="G623" s="51"/>
      <c r="H623" s="52" t="str">
        <f>IF(D623="","",VLOOKUP(D623,'Product Master'!$B:$F,5,FALSE))</f>
        <v/>
      </c>
      <c r="I623" s="52">
        <f>IFERROR(VLOOKUP(D623,'Product Master'!B:E,4,FALSE),0)</f>
        <v>0</v>
      </c>
      <c r="J623" s="53">
        <f>IFERROR(Table3[[#This Row],[QTY SOLD]]*Table3[[#This Row],[Selling Price]],0)</f>
        <v>0</v>
      </c>
      <c r="K623" s="50"/>
      <c r="L623" s="50">
        <f>Table3[[#This Row],[Total Sales]]-Table3[[#This Row],[Discount]]</f>
        <v>0</v>
      </c>
      <c r="M623" s="58">
        <f>Table3[[#This Row],[Net Sales]]-Table3[[#This Row],[Cost Price]]*Table3[[#This Row],[QTY SOLD]]</f>
        <v>0</v>
      </c>
      <c r="N623" s="25"/>
      <c r="O623" s="25"/>
      <c r="P623" s="25"/>
      <c r="Q623" s="25"/>
      <c r="R623" s="25"/>
      <c r="S623" s="25"/>
    </row>
    <row r="624" spans="1:19" x14ac:dyDescent="0.25">
      <c r="A624" s="65"/>
      <c r="B624" s="50"/>
      <c r="C624" s="50"/>
      <c r="D624" s="50"/>
      <c r="E624" s="50" t="str">
        <f>IF(D624="","",VLOOKUP(D624,'Product Master'!$B:$C,2,FALSE))</f>
        <v/>
      </c>
      <c r="F624" s="50" t="str">
        <f>IF(D624="","",IFERROR(VLOOKUP(D624,'Product Master'!$B:$G,3,FALSE),""))</f>
        <v/>
      </c>
      <c r="G624" s="51"/>
      <c r="H624" s="52" t="str">
        <f>IF(D624="","",VLOOKUP(D624,'Product Master'!$B:$F,5,FALSE))</f>
        <v/>
      </c>
      <c r="I624" s="52">
        <f>IFERROR(VLOOKUP(D624,'Product Master'!B:E,4,FALSE),0)</f>
        <v>0</v>
      </c>
      <c r="J624" s="53">
        <f>IFERROR(Table3[[#This Row],[QTY SOLD]]*Table3[[#This Row],[Selling Price]],0)</f>
        <v>0</v>
      </c>
      <c r="K624" s="50"/>
      <c r="L624" s="50">
        <f>Table3[[#This Row],[Total Sales]]-Table3[[#This Row],[Discount]]</f>
        <v>0</v>
      </c>
      <c r="M624" s="58">
        <f>Table3[[#This Row],[Net Sales]]-Table3[[#This Row],[Cost Price]]*Table3[[#This Row],[QTY SOLD]]</f>
        <v>0</v>
      </c>
      <c r="N624" s="25"/>
      <c r="O624" s="25"/>
      <c r="P624" s="25"/>
      <c r="Q624" s="25"/>
      <c r="R624" s="25"/>
      <c r="S624" s="25"/>
    </row>
    <row r="625" spans="1:19" x14ac:dyDescent="0.25">
      <c r="A625" s="65"/>
      <c r="B625" s="50"/>
      <c r="C625" s="50"/>
      <c r="D625" s="50"/>
      <c r="E625" s="50" t="str">
        <f>IF(D625="","",VLOOKUP(D625,'Product Master'!$B:$C,2,FALSE))</f>
        <v/>
      </c>
      <c r="F625" s="50" t="str">
        <f>IF(D625="","",IFERROR(VLOOKUP(D625,'Product Master'!$B:$G,3,FALSE),""))</f>
        <v/>
      </c>
      <c r="G625" s="51"/>
      <c r="H625" s="52" t="str">
        <f>IF(D625="","",VLOOKUP(D625,'Product Master'!$B:$F,5,FALSE))</f>
        <v/>
      </c>
      <c r="I625" s="52">
        <f>IFERROR(VLOOKUP(D625,'Product Master'!B:E,4,FALSE),0)</f>
        <v>0</v>
      </c>
      <c r="J625" s="53">
        <f>IFERROR(Table3[[#This Row],[QTY SOLD]]*Table3[[#This Row],[Selling Price]],0)</f>
        <v>0</v>
      </c>
      <c r="K625" s="50"/>
      <c r="L625" s="50">
        <f>Table3[[#This Row],[Total Sales]]-Table3[[#This Row],[Discount]]</f>
        <v>0</v>
      </c>
      <c r="M625" s="58">
        <f>Table3[[#This Row],[Net Sales]]-Table3[[#This Row],[Cost Price]]*Table3[[#This Row],[QTY SOLD]]</f>
        <v>0</v>
      </c>
      <c r="N625" s="25"/>
      <c r="O625" s="25"/>
      <c r="P625" s="25"/>
      <c r="Q625" s="25"/>
      <c r="R625" s="25"/>
      <c r="S625" s="25"/>
    </row>
    <row r="626" spans="1:19" x14ac:dyDescent="0.25">
      <c r="A626" s="65"/>
      <c r="B626" s="50"/>
      <c r="C626" s="50"/>
      <c r="D626" s="50"/>
      <c r="E626" s="50" t="str">
        <f>IF(D626="","",VLOOKUP(D626,'Product Master'!$B:$C,2,FALSE))</f>
        <v/>
      </c>
      <c r="F626" s="50" t="str">
        <f>IF(D626="","",IFERROR(VLOOKUP(D626,'Product Master'!$B:$G,3,FALSE),""))</f>
        <v/>
      </c>
      <c r="G626" s="51"/>
      <c r="H626" s="52" t="str">
        <f>IF(D626="","",VLOOKUP(D626,'Product Master'!$B:$F,5,FALSE))</f>
        <v/>
      </c>
      <c r="I626" s="52">
        <f>IFERROR(VLOOKUP(D626,'Product Master'!B:E,4,FALSE),0)</f>
        <v>0</v>
      </c>
      <c r="J626" s="53">
        <f>IFERROR(Table3[[#This Row],[QTY SOLD]]*Table3[[#This Row],[Selling Price]],0)</f>
        <v>0</v>
      </c>
      <c r="K626" s="50"/>
      <c r="L626" s="50">
        <f>Table3[[#This Row],[Total Sales]]-Table3[[#This Row],[Discount]]</f>
        <v>0</v>
      </c>
      <c r="M626" s="58">
        <f>Table3[[#This Row],[Net Sales]]-Table3[[#This Row],[Cost Price]]*Table3[[#This Row],[QTY SOLD]]</f>
        <v>0</v>
      </c>
      <c r="N626" s="25"/>
      <c r="O626" s="25"/>
      <c r="P626" s="25"/>
      <c r="Q626" s="25"/>
      <c r="R626" s="25"/>
      <c r="S626" s="25"/>
    </row>
    <row r="627" spans="1:19" x14ac:dyDescent="0.25">
      <c r="A627" s="65"/>
      <c r="B627" s="50"/>
      <c r="C627" s="50"/>
      <c r="D627" s="50"/>
      <c r="E627" s="50" t="str">
        <f>IF(D627="","",VLOOKUP(D627,'Product Master'!$B:$C,2,FALSE))</f>
        <v/>
      </c>
      <c r="F627" s="50" t="str">
        <f>IF(D627="","",IFERROR(VLOOKUP(D627,'Product Master'!$B:$G,3,FALSE),""))</f>
        <v/>
      </c>
      <c r="G627" s="51"/>
      <c r="H627" s="52" t="str">
        <f>IF(D627="","",VLOOKUP(D627,'Product Master'!$B:$F,5,FALSE))</f>
        <v/>
      </c>
      <c r="I627" s="52">
        <f>IFERROR(VLOOKUP(D627,'Product Master'!B:E,4,FALSE),0)</f>
        <v>0</v>
      </c>
      <c r="J627" s="53">
        <f>IFERROR(Table3[[#This Row],[QTY SOLD]]*Table3[[#This Row],[Selling Price]],0)</f>
        <v>0</v>
      </c>
      <c r="K627" s="50"/>
      <c r="L627" s="50">
        <f>Table3[[#This Row],[Total Sales]]-Table3[[#This Row],[Discount]]</f>
        <v>0</v>
      </c>
      <c r="M627" s="58">
        <f>Table3[[#This Row],[Net Sales]]-Table3[[#This Row],[Cost Price]]*Table3[[#This Row],[QTY SOLD]]</f>
        <v>0</v>
      </c>
      <c r="N627" s="25"/>
      <c r="O627" s="25"/>
      <c r="P627" s="25"/>
      <c r="Q627" s="25"/>
      <c r="R627" s="25"/>
      <c r="S627" s="25"/>
    </row>
    <row r="628" spans="1:19" x14ac:dyDescent="0.25">
      <c r="A628" s="65"/>
      <c r="B628" s="50"/>
      <c r="C628" s="50"/>
      <c r="D628" s="50"/>
      <c r="E628" s="50" t="str">
        <f>IF(D628="","",VLOOKUP(D628,'Product Master'!$B:$C,2,FALSE))</f>
        <v/>
      </c>
      <c r="F628" s="50" t="str">
        <f>IF(D628="","",IFERROR(VLOOKUP(D628,'Product Master'!$B:$G,3,FALSE),""))</f>
        <v/>
      </c>
      <c r="G628" s="51"/>
      <c r="H628" s="52" t="str">
        <f>IF(D628="","",VLOOKUP(D628,'Product Master'!$B:$F,5,FALSE))</f>
        <v/>
      </c>
      <c r="I628" s="52">
        <f>IFERROR(VLOOKUP(D628,'Product Master'!B:E,4,FALSE),0)</f>
        <v>0</v>
      </c>
      <c r="J628" s="53">
        <f>IFERROR(Table3[[#This Row],[QTY SOLD]]*Table3[[#This Row],[Selling Price]],0)</f>
        <v>0</v>
      </c>
      <c r="K628" s="50"/>
      <c r="L628" s="50">
        <f>Table3[[#This Row],[Total Sales]]-Table3[[#This Row],[Discount]]</f>
        <v>0</v>
      </c>
      <c r="M628" s="58">
        <f>Table3[[#This Row],[Net Sales]]-Table3[[#This Row],[Cost Price]]*Table3[[#This Row],[QTY SOLD]]</f>
        <v>0</v>
      </c>
      <c r="N628" s="25"/>
      <c r="O628" s="25"/>
      <c r="P628" s="25"/>
      <c r="Q628" s="25"/>
      <c r="R628" s="25"/>
      <c r="S628" s="25"/>
    </row>
    <row r="629" spans="1:19" x14ac:dyDescent="0.25">
      <c r="A629" s="65"/>
      <c r="B629" s="50"/>
      <c r="C629" s="50"/>
      <c r="D629" s="50"/>
      <c r="E629" s="50" t="str">
        <f>IF(D629="","",VLOOKUP(D629,'Product Master'!$B:$C,2,FALSE))</f>
        <v/>
      </c>
      <c r="F629" s="50" t="str">
        <f>IF(D629="","",IFERROR(VLOOKUP(D629,'Product Master'!$B:$G,3,FALSE),""))</f>
        <v/>
      </c>
      <c r="G629" s="51"/>
      <c r="H629" s="52" t="str">
        <f>IF(D629="","",VLOOKUP(D629,'Product Master'!$B:$F,5,FALSE))</f>
        <v/>
      </c>
      <c r="I629" s="52">
        <f>IFERROR(VLOOKUP(D629,'Product Master'!B:E,4,FALSE),0)</f>
        <v>0</v>
      </c>
      <c r="J629" s="53">
        <f>IFERROR(Table3[[#This Row],[QTY SOLD]]*Table3[[#This Row],[Selling Price]],0)</f>
        <v>0</v>
      </c>
      <c r="K629" s="50"/>
      <c r="L629" s="50">
        <f>Table3[[#This Row],[Total Sales]]-Table3[[#This Row],[Discount]]</f>
        <v>0</v>
      </c>
      <c r="M629" s="58">
        <f>Table3[[#This Row],[Net Sales]]-Table3[[#This Row],[Cost Price]]*Table3[[#This Row],[QTY SOLD]]</f>
        <v>0</v>
      </c>
      <c r="N629" s="25"/>
      <c r="O629" s="25"/>
      <c r="P629" s="25"/>
      <c r="Q629" s="25"/>
      <c r="R629" s="25"/>
      <c r="S629" s="25"/>
    </row>
    <row r="630" spans="1:19" x14ac:dyDescent="0.25">
      <c r="A630" s="65"/>
      <c r="B630" s="50"/>
      <c r="C630" s="50"/>
      <c r="D630" s="50"/>
      <c r="E630" s="50" t="str">
        <f>IF(D630="","",VLOOKUP(D630,'Product Master'!$B:$C,2,FALSE))</f>
        <v/>
      </c>
      <c r="F630" s="50" t="str">
        <f>IF(D630="","",IFERROR(VLOOKUP(D630,'Product Master'!$B:$G,3,FALSE),""))</f>
        <v/>
      </c>
      <c r="G630" s="51"/>
      <c r="H630" s="52" t="str">
        <f>IF(D630="","",VLOOKUP(D630,'Product Master'!$B:$F,5,FALSE))</f>
        <v/>
      </c>
      <c r="I630" s="52">
        <f>IFERROR(VLOOKUP(D630,'Product Master'!B:E,4,FALSE),0)</f>
        <v>0</v>
      </c>
      <c r="J630" s="53">
        <f>IFERROR(Table3[[#This Row],[QTY SOLD]]*Table3[[#This Row],[Selling Price]],0)</f>
        <v>0</v>
      </c>
      <c r="K630" s="50"/>
      <c r="L630" s="50">
        <f>Table3[[#This Row],[Total Sales]]-Table3[[#This Row],[Discount]]</f>
        <v>0</v>
      </c>
      <c r="M630" s="58">
        <f>Table3[[#This Row],[Net Sales]]-Table3[[#This Row],[Cost Price]]*Table3[[#This Row],[QTY SOLD]]</f>
        <v>0</v>
      </c>
      <c r="N630" s="25"/>
      <c r="O630" s="25"/>
      <c r="P630" s="25"/>
      <c r="Q630" s="25"/>
      <c r="R630" s="25"/>
      <c r="S630" s="25"/>
    </row>
    <row r="631" spans="1:19" x14ac:dyDescent="0.25">
      <c r="A631" s="65"/>
      <c r="B631" s="50"/>
      <c r="C631" s="50"/>
      <c r="D631" s="50"/>
      <c r="E631" s="50" t="str">
        <f>IF(D631="","",VLOOKUP(D631,'Product Master'!$B:$C,2,FALSE))</f>
        <v/>
      </c>
      <c r="F631" s="50" t="str">
        <f>IF(D631="","",IFERROR(VLOOKUP(D631,'Product Master'!$B:$G,3,FALSE),""))</f>
        <v/>
      </c>
      <c r="G631" s="51"/>
      <c r="H631" s="52" t="str">
        <f>IF(D631="","",VLOOKUP(D631,'Product Master'!$B:$F,5,FALSE))</f>
        <v/>
      </c>
      <c r="I631" s="52">
        <f>IFERROR(VLOOKUP(D631,'Product Master'!B:E,4,FALSE),0)</f>
        <v>0</v>
      </c>
      <c r="J631" s="53">
        <f>IFERROR(Table3[[#This Row],[QTY SOLD]]*Table3[[#This Row],[Selling Price]],0)</f>
        <v>0</v>
      </c>
      <c r="K631" s="50"/>
      <c r="L631" s="50">
        <f>Table3[[#This Row],[Total Sales]]-Table3[[#This Row],[Discount]]</f>
        <v>0</v>
      </c>
      <c r="M631" s="58">
        <f>Table3[[#This Row],[Net Sales]]-Table3[[#This Row],[Cost Price]]*Table3[[#This Row],[QTY SOLD]]</f>
        <v>0</v>
      </c>
      <c r="N631" s="25"/>
      <c r="O631" s="25"/>
      <c r="P631" s="25"/>
      <c r="Q631" s="25"/>
      <c r="R631" s="25"/>
      <c r="S631" s="25"/>
    </row>
    <row r="632" spans="1:19" x14ac:dyDescent="0.25">
      <c r="A632" s="65"/>
      <c r="B632" s="50"/>
      <c r="C632" s="50"/>
      <c r="D632" s="50"/>
      <c r="E632" s="50" t="str">
        <f>IF(D632="","",VLOOKUP(D632,'Product Master'!$B:$C,2,FALSE))</f>
        <v/>
      </c>
      <c r="F632" s="50" t="str">
        <f>IF(D632="","",IFERROR(VLOOKUP(D632,'Product Master'!$B:$G,3,FALSE),""))</f>
        <v/>
      </c>
      <c r="G632" s="51"/>
      <c r="H632" s="52" t="str">
        <f>IF(D632="","",VLOOKUP(D632,'Product Master'!$B:$F,5,FALSE))</f>
        <v/>
      </c>
      <c r="I632" s="52">
        <f>IFERROR(VLOOKUP(D632,'Product Master'!B:E,4,FALSE),0)</f>
        <v>0</v>
      </c>
      <c r="J632" s="53">
        <f>IFERROR(Table3[[#This Row],[QTY SOLD]]*Table3[[#This Row],[Selling Price]],0)</f>
        <v>0</v>
      </c>
      <c r="K632" s="50"/>
      <c r="L632" s="50">
        <f>Table3[[#This Row],[Total Sales]]-Table3[[#This Row],[Discount]]</f>
        <v>0</v>
      </c>
      <c r="M632" s="58">
        <f>Table3[[#This Row],[Net Sales]]-Table3[[#This Row],[Cost Price]]*Table3[[#This Row],[QTY SOLD]]</f>
        <v>0</v>
      </c>
      <c r="N632" s="25"/>
      <c r="O632" s="25"/>
      <c r="P632" s="25"/>
      <c r="Q632" s="25"/>
      <c r="R632" s="25"/>
      <c r="S632" s="25"/>
    </row>
    <row r="633" spans="1:19" x14ac:dyDescent="0.25">
      <c r="A633" s="65"/>
      <c r="B633" s="50"/>
      <c r="C633" s="50"/>
      <c r="D633" s="50"/>
      <c r="E633" s="50" t="str">
        <f>IF(D633="","",VLOOKUP(D633,'Product Master'!$B:$C,2,FALSE))</f>
        <v/>
      </c>
      <c r="F633" s="50" t="str">
        <f>IF(D633="","",IFERROR(VLOOKUP(D633,'Product Master'!$B:$G,3,FALSE),""))</f>
        <v/>
      </c>
      <c r="G633" s="51"/>
      <c r="H633" s="52" t="str">
        <f>IF(D633="","",VLOOKUP(D633,'Product Master'!$B:$F,5,FALSE))</f>
        <v/>
      </c>
      <c r="I633" s="52">
        <f>IFERROR(VLOOKUP(D633,'Product Master'!B:E,4,FALSE),0)</f>
        <v>0</v>
      </c>
      <c r="J633" s="53">
        <f>IFERROR(Table3[[#This Row],[QTY SOLD]]*Table3[[#This Row],[Selling Price]],0)</f>
        <v>0</v>
      </c>
      <c r="K633" s="50"/>
      <c r="L633" s="50">
        <f>Table3[[#This Row],[Total Sales]]-Table3[[#This Row],[Discount]]</f>
        <v>0</v>
      </c>
      <c r="M633" s="58">
        <f>Table3[[#This Row],[Net Sales]]-Table3[[#This Row],[Cost Price]]*Table3[[#This Row],[QTY SOLD]]</f>
        <v>0</v>
      </c>
      <c r="N633" s="25"/>
      <c r="O633" s="25"/>
      <c r="P633" s="25"/>
      <c r="Q633" s="25"/>
      <c r="R633" s="25"/>
      <c r="S633" s="25"/>
    </row>
    <row r="634" spans="1:19" x14ac:dyDescent="0.25">
      <c r="A634" s="65"/>
      <c r="B634" s="50"/>
      <c r="C634" s="50"/>
      <c r="D634" s="50"/>
      <c r="E634" s="50" t="str">
        <f>IF(D634="","",VLOOKUP(D634,'Product Master'!$B:$C,2,FALSE))</f>
        <v/>
      </c>
      <c r="F634" s="50" t="str">
        <f>IF(D634="","",IFERROR(VLOOKUP(D634,'Product Master'!$B:$G,3,FALSE),""))</f>
        <v/>
      </c>
      <c r="G634" s="51"/>
      <c r="H634" s="52" t="str">
        <f>IF(D634="","",VLOOKUP(D634,'Product Master'!$B:$F,5,FALSE))</f>
        <v/>
      </c>
      <c r="I634" s="52">
        <f>IFERROR(VLOOKUP(D634,'Product Master'!B:E,4,FALSE),0)</f>
        <v>0</v>
      </c>
      <c r="J634" s="53">
        <f>IFERROR(Table3[[#This Row],[QTY SOLD]]*Table3[[#This Row],[Selling Price]],0)</f>
        <v>0</v>
      </c>
      <c r="K634" s="50"/>
      <c r="L634" s="50">
        <f>Table3[[#This Row],[Total Sales]]-Table3[[#This Row],[Discount]]</f>
        <v>0</v>
      </c>
      <c r="M634" s="58">
        <f>Table3[[#This Row],[Net Sales]]-Table3[[#This Row],[Cost Price]]*Table3[[#This Row],[QTY SOLD]]</f>
        <v>0</v>
      </c>
      <c r="N634" s="25"/>
      <c r="O634" s="25"/>
      <c r="P634" s="25"/>
      <c r="Q634" s="25"/>
      <c r="R634" s="25"/>
      <c r="S634" s="25"/>
    </row>
    <row r="635" spans="1:19" x14ac:dyDescent="0.25">
      <c r="A635" s="65"/>
      <c r="B635" s="50"/>
      <c r="C635" s="50"/>
      <c r="D635" s="50"/>
      <c r="E635" s="50" t="str">
        <f>IF(D635="","",VLOOKUP(D635,'Product Master'!$B:$C,2,FALSE))</f>
        <v/>
      </c>
      <c r="F635" s="50" t="str">
        <f>IF(D635="","",IFERROR(VLOOKUP(D635,'Product Master'!$B:$G,3,FALSE),""))</f>
        <v/>
      </c>
      <c r="G635" s="51"/>
      <c r="H635" s="52" t="str">
        <f>IF(D635="","",VLOOKUP(D635,'Product Master'!$B:$F,5,FALSE))</f>
        <v/>
      </c>
      <c r="I635" s="52">
        <f>IFERROR(VLOOKUP(D635,'Product Master'!B:E,4,FALSE),0)</f>
        <v>0</v>
      </c>
      <c r="J635" s="53">
        <f>IFERROR(Table3[[#This Row],[QTY SOLD]]*Table3[[#This Row],[Selling Price]],0)</f>
        <v>0</v>
      </c>
      <c r="K635" s="50"/>
      <c r="L635" s="50">
        <f>Table3[[#This Row],[Total Sales]]-Table3[[#This Row],[Discount]]</f>
        <v>0</v>
      </c>
      <c r="M635" s="58">
        <f>Table3[[#This Row],[Net Sales]]-Table3[[#This Row],[Cost Price]]*Table3[[#This Row],[QTY SOLD]]</f>
        <v>0</v>
      </c>
      <c r="N635" s="25"/>
      <c r="O635" s="25"/>
      <c r="P635" s="25"/>
      <c r="Q635" s="25"/>
      <c r="R635" s="25"/>
      <c r="S635" s="25"/>
    </row>
    <row r="636" spans="1:19" x14ac:dyDescent="0.25">
      <c r="A636" s="65"/>
      <c r="B636" s="50"/>
      <c r="C636" s="50"/>
      <c r="D636" s="50"/>
      <c r="E636" s="50" t="str">
        <f>IF(D636="","",VLOOKUP(D636,'Product Master'!$B:$C,2,FALSE))</f>
        <v/>
      </c>
      <c r="F636" s="50" t="str">
        <f>IF(D636="","",IFERROR(VLOOKUP(D636,'Product Master'!$B:$G,3,FALSE),""))</f>
        <v/>
      </c>
      <c r="G636" s="51"/>
      <c r="H636" s="52" t="str">
        <f>IF(D636="","",VLOOKUP(D636,'Product Master'!$B:$F,5,FALSE))</f>
        <v/>
      </c>
      <c r="I636" s="52">
        <f>IFERROR(VLOOKUP(D636,'Product Master'!B:E,4,FALSE),0)</f>
        <v>0</v>
      </c>
      <c r="J636" s="53">
        <f>IFERROR(Table3[[#This Row],[QTY SOLD]]*Table3[[#This Row],[Selling Price]],0)</f>
        <v>0</v>
      </c>
      <c r="K636" s="50"/>
      <c r="L636" s="50">
        <f>Table3[[#This Row],[Total Sales]]-Table3[[#This Row],[Discount]]</f>
        <v>0</v>
      </c>
      <c r="M636" s="58">
        <f>Table3[[#This Row],[Net Sales]]-Table3[[#This Row],[Cost Price]]*Table3[[#This Row],[QTY SOLD]]</f>
        <v>0</v>
      </c>
      <c r="N636" s="25"/>
      <c r="O636" s="25"/>
      <c r="P636" s="25"/>
      <c r="Q636" s="25"/>
      <c r="R636" s="25"/>
      <c r="S636" s="25"/>
    </row>
    <row r="637" spans="1:19" x14ac:dyDescent="0.25">
      <c r="A637" s="65"/>
      <c r="B637" s="50"/>
      <c r="C637" s="50"/>
      <c r="D637" s="50"/>
      <c r="E637" s="50" t="str">
        <f>IF(D637="","",VLOOKUP(D637,'Product Master'!$B:$C,2,FALSE))</f>
        <v/>
      </c>
      <c r="F637" s="50" t="str">
        <f>IF(D637="","",IFERROR(VLOOKUP(D637,'Product Master'!$B:$G,3,FALSE),""))</f>
        <v/>
      </c>
      <c r="G637" s="51"/>
      <c r="H637" s="52" t="str">
        <f>IF(D637="","",VLOOKUP(D637,'Product Master'!$B:$F,5,FALSE))</f>
        <v/>
      </c>
      <c r="I637" s="52">
        <f>IFERROR(VLOOKUP(D637,'Product Master'!B:E,4,FALSE),0)</f>
        <v>0</v>
      </c>
      <c r="J637" s="53">
        <f>IFERROR(Table3[[#This Row],[QTY SOLD]]*Table3[[#This Row],[Selling Price]],0)</f>
        <v>0</v>
      </c>
      <c r="K637" s="50"/>
      <c r="L637" s="50">
        <f>Table3[[#This Row],[Total Sales]]-Table3[[#This Row],[Discount]]</f>
        <v>0</v>
      </c>
      <c r="M637" s="58">
        <f>Table3[[#This Row],[Net Sales]]-Table3[[#This Row],[Cost Price]]*Table3[[#This Row],[QTY SOLD]]</f>
        <v>0</v>
      </c>
      <c r="N637" s="25"/>
      <c r="O637" s="25"/>
      <c r="P637" s="25"/>
      <c r="Q637" s="25"/>
      <c r="R637" s="25"/>
      <c r="S637" s="25"/>
    </row>
    <row r="638" spans="1:19" x14ac:dyDescent="0.25">
      <c r="A638" s="65"/>
      <c r="B638" s="50"/>
      <c r="C638" s="50"/>
      <c r="D638" s="50"/>
      <c r="E638" s="50" t="str">
        <f>IF(D638="","",VLOOKUP(D638,'Product Master'!$B:$C,2,FALSE))</f>
        <v/>
      </c>
      <c r="F638" s="50" t="str">
        <f>IF(D638="","",IFERROR(VLOOKUP(D638,'Product Master'!$B:$G,3,FALSE),""))</f>
        <v/>
      </c>
      <c r="G638" s="51"/>
      <c r="H638" s="52" t="str">
        <f>IF(D638="","",VLOOKUP(D638,'Product Master'!$B:$F,5,FALSE))</f>
        <v/>
      </c>
      <c r="I638" s="52">
        <f>IFERROR(VLOOKUP(D638,'Product Master'!B:E,4,FALSE),0)</f>
        <v>0</v>
      </c>
      <c r="J638" s="53">
        <f>IFERROR(Table3[[#This Row],[QTY SOLD]]*Table3[[#This Row],[Selling Price]],0)</f>
        <v>0</v>
      </c>
      <c r="K638" s="50"/>
      <c r="L638" s="50">
        <f>Table3[[#This Row],[Total Sales]]-Table3[[#This Row],[Discount]]</f>
        <v>0</v>
      </c>
      <c r="M638" s="58">
        <f>Table3[[#This Row],[Net Sales]]-Table3[[#This Row],[Cost Price]]*Table3[[#This Row],[QTY SOLD]]</f>
        <v>0</v>
      </c>
      <c r="N638" s="25"/>
      <c r="O638" s="25"/>
      <c r="P638" s="25"/>
      <c r="Q638" s="25"/>
      <c r="R638" s="25"/>
      <c r="S638" s="25"/>
    </row>
    <row r="639" spans="1:19" x14ac:dyDescent="0.25">
      <c r="A639" s="65"/>
      <c r="B639" s="50"/>
      <c r="C639" s="50"/>
      <c r="D639" s="50"/>
      <c r="E639" s="50" t="str">
        <f>IF(D639="","",VLOOKUP(D639,'Product Master'!$B:$C,2,FALSE))</f>
        <v/>
      </c>
      <c r="F639" s="50" t="str">
        <f>IF(D639="","",IFERROR(VLOOKUP(D639,'Product Master'!$B:$G,3,FALSE),""))</f>
        <v/>
      </c>
      <c r="G639" s="51"/>
      <c r="H639" s="52" t="str">
        <f>IF(D639="","",VLOOKUP(D639,'Product Master'!$B:$F,5,FALSE))</f>
        <v/>
      </c>
      <c r="I639" s="52">
        <f>IFERROR(VLOOKUP(D639,'Product Master'!B:E,4,FALSE),0)</f>
        <v>0</v>
      </c>
      <c r="J639" s="53">
        <f>IFERROR(Table3[[#This Row],[QTY SOLD]]*Table3[[#This Row],[Selling Price]],0)</f>
        <v>0</v>
      </c>
      <c r="K639" s="50"/>
      <c r="L639" s="50">
        <f>Table3[[#This Row],[Total Sales]]-Table3[[#This Row],[Discount]]</f>
        <v>0</v>
      </c>
      <c r="M639" s="58">
        <f>Table3[[#This Row],[Net Sales]]-Table3[[#This Row],[Cost Price]]*Table3[[#This Row],[QTY SOLD]]</f>
        <v>0</v>
      </c>
      <c r="N639" s="25"/>
      <c r="O639" s="25"/>
      <c r="P639" s="25"/>
      <c r="Q639" s="25"/>
      <c r="R639" s="25"/>
      <c r="S639" s="25"/>
    </row>
    <row r="640" spans="1:19" x14ac:dyDescent="0.25">
      <c r="A640" s="65"/>
      <c r="B640" s="50"/>
      <c r="C640" s="50"/>
      <c r="D640" s="50"/>
      <c r="E640" s="50" t="str">
        <f>IF(D640="","",VLOOKUP(D640,'Product Master'!$B:$C,2,FALSE))</f>
        <v/>
      </c>
      <c r="F640" s="50" t="str">
        <f>IF(D640="","",IFERROR(VLOOKUP(D640,'Product Master'!$B:$G,3,FALSE),""))</f>
        <v/>
      </c>
      <c r="G640" s="51"/>
      <c r="H640" s="52" t="str">
        <f>IF(D640="","",VLOOKUP(D640,'Product Master'!$B:$F,5,FALSE))</f>
        <v/>
      </c>
      <c r="I640" s="52">
        <f>IFERROR(VLOOKUP(D640,'Product Master'!B:E,4,FALSE),0)</f>
        <v>0</v>
      </c>
      <c r="J640" s="53">
        <f>IFERROR(Table3[[#This Row],[QTY SOLD]]*Table3[[#This Row],[Selling Price]],0)</f>
        <v>0</v>
      </c>
      <c r="K640" s="50"/>
      <c r="L640" s="50">
        <f>Table3[[#This Row],[Total Sales]]-Table3[[#This Row],[Discount]]</f>
        <v>0</v>
      </c>
      <c r="M640" s="58">
        <f>Table3[[#This Row],[Net Sales]]-Table3[[#This Row],[Cost Price]]*Table3[[#This Row],[QTY SOLD]]</f>
        <v>0</v>
      </c>
      <c r="N640" s="25"/>
      <c r="O640" s="25"/>
      <c r="P640" s="25"/>
      <c r="Q640" s="25"/>
      <c r="R640" s="25"/>
      <c r="S640" s="25"/>
    </row>
    <row r="641" spans="1:19" x14ac:dyDescent="0.25">
      <c r="A641" s="65"/>
      <c r="B641" s="50"/>
      <c r="C641" s="50"/>
      <c r="D641" s="50"/>
      <c r="E641" s="50" t="str">
        <f>IF(D641="","",VLOOKUP(D641,'Product Master'!$B:$C,2,FALSE))</f>
        <v/>
      </c>
      <c r="F641" s="50" t="str">
        <f>IF(D641="","",IFERROR(VLOOKUP(D641,'Product Master'!$B:$G,3,FALSE),""))</f>
        <v/>
      </c>
      <c r="G641" s="51"/>
      <c r="H641" s="52" t="str">
        <f>IF(D641="","",VLOOKUP(D641,'Product Master'!$B:$F,5,FALSE))</f>
        <v/>
      </c>
      <c r="I641" s="52">
        <f>IFERROR(VLOOKUP(D641,'Product Master'!B:E,4,FALSE),0)</f>
        <v>0</v>
      </c>
      <c r="J641" s="53">
        <f>IFERROR(Table3[[#This Row],[QTY SOLD]]*Table3[[#This Row],[Selling Price]],0)</f>
        <v>0</v>
      </c>
      <c r="K641" s="50"/>
      <c r="L641" s="50">
        <f>Table3[[#This Row],[Total Sales]]-Table3[[#This Row],[Discount]]</f>
        <v>0</v>
      </c>
      <c r="M641" s="58">
        <f>Table3[[#This Row],[Net Sales]]-Table3[[#This Row],[Cost Price]]*Table3[[#This Row],[QTY SOLD]]</f>
        <v>0</v>
      </c>
      <c r="N641" s="25"/>
      <c r="O641" s="25"/>
      <c r="P641" s="25"/>
      <c r="Q641" s="25"/>
      <c r="R641" s="25"/>
      <c r="S641" s="25"/>
    </row>
    <row r="642" spans="1:19" x14ac:dyDescent="0.25">
      <c r="A642" s="65"/>
      <c r="B642" s="50"/>
      <c r="C642" s="50"/>
      <c r="D642" s="50"/>
      <c r="E642" s="50" t="str">
        <f>IF(D642="","",VLOOKUP(D642,'Product Master'!$B:$C,2,FALSE))</f>
        <v/>
      </c>
      <c r="F642" s="50" t="str">
        <f>IF(D642="","",IFERROR(VLOOKUP(D642,'Product Master'!$B:$G,3,FALSE),""))</f>
        <v/>
      </c>
      <c r="G642" s="51"/>
      <c r="H642" s="52" t="str">
        <f>IF(D642="","",VLOOKUP(D642,'Product Master'!$B:$F,5,FALSE))</f>
        <v/>
      </c>
      <c r="I642" s="52">
        <f>IFERROR(VLOOKUP(D642,'Product Master'!B:E,4,FALSE),0)</f>
        <v>0</v>
      </c>
      <c r="J642" s="53">
        <f>IFERROR(Table3[[#This Row],[QTY SOLD]]*Table3[[#This Row],[Selling Price]],0)</f>
        <v>0</v>
      </c>
      <c r="K642" s="50"/>
      <c r="L642" s="50">
        <f>Table3[[#This Row],[Total Sales]]-Table3[[#This Row],[Discount]]</f>
        <v>0</v>
      </c>
      <c r="M642" s="58">
        <f>Table3[[#This Row],[Net Sales]]-Table3[[#This Row],[Cost Price]]*Table3[[#This Row],[QTY SOLD]]</f>
        <v>0</v>
      </c>
      <c r="N642" s="25"/>
      <c r="O642" s="25"/>
      <c r="P642" s="25"/>
      <c r="Q642" s="25"/>
      <c r="R642" s="25"/>
      <c r="S642" s="25"/>
    </row>
    <row r="643" spans="1:19" x14ac:dyDescent="0.25">
      <c r="A643" s="65"/>
      <c r="B643" s="50"/>
      <c r="C643" s="50"/>
      <c r="D643" s="50"/>
      <c r="E643" s="50" t="str">
        <f>IF(D643="","",VLOOKUP(D643,'Product Master'!$B:$C,2,FALSE))</f>
        <v/>
      </c>
      <c r="F643" s="50" t="str">
        <f>IF(D643="","",IFERROR(VLOOKUP(D643,'Product Master'!$B:$G,3,FALSE),""))</f>
        <v/>
      </c>
      <c r="G643" s="51"/>
      <c r="H643" s="52" t="str">
        <f>IF(D643="","",VLOOKUP(D643,'Product Master'!$B:$F,5,FALSE))</f>
        <v/>
      </c>
      <c r="I643" s="52">
        <f>IFERROR(VLOOKUP(D643,'Product Master'!B:E,4,FALSE),0)</f>
        <v>0</v>
      </c>
      <c r="J643" s="53">
        <f>IFERROR(Table3[[#This Row],[QTY SOLD]]*Table3[[#This Row],[Selling Price]],0)</f>
        <v>0</v>
      </c>
      <c r="K643" s="50"/>
      <c r="L643" s="50">
        <f>Table3[[#This Row],[Total Sales]]-Table3[[#This Row],[Discount]]</f>
        <v>0</v>
      </c>
      <c r="M643" s="58">
        <f>Table3[[#This Row],[Net Sales]]-Table3[[#This Row],[Cost Price]]*Table3[[#This Row],[QTY SOLD]]</f>
        <v>0</v>
      </c>
      <c r="N643" s="25"/>
      <c r="O643" s="25"/>
      <c r="P643" s="25"/>
      <c r="Q643" s="25"/>
      <c r="R643" s="25"/>
      <c r="S643" s="25"/>
    </row>
    <row r="644" spans="1:19" x14ac:dyDescent="0.25">
      <c r="A644" s="65"/>
      <c r="B644" s="50"/>
      <c r="C644" s="50"/>
      <c r="D644" s="50"/>
      <c r="E644" s="50" t="str">
        <f>IF(D644="","",VLOOKUP(D644,'Product Master'!$B:$C,2,FALSE))</f>
        <v/>
      </c>
      <c r="F644" s="50" t="str">
        <f>IF(D644="","",IFERROR(VLOOKUP(D644,'Product Master'!$B:$G,3,FALSE),""))</f>
        <v/>
      </c>
      <c r="G644" s="51"/>
      <c r="H644" s="52" t="str">
        <f>IF(D644="","",VLOOKUP(D644,'Product Master'!$B:$F,5,FALSE))</f>
        <v/>
      </c>
      <c r="I644" s="52">
        <f>IFERROR(VLOOKUP(D644,'Product Master'!B:E,4,FALSE),0)</f>
        <v>0</v>
      </c>
      <c r="J644" s="53">
        <f>IFERROR(Table3[[#This Row],[QTY SOLD]]*Table3[[#This Row],[Selling Price]],0)</f>
        <v>0</v>
      </c>
      <c r="K644" s="50"/>
      <c r="L644" s="50">
        <f>Table3[[#This Row],[Total Sales]]-Table3[[#This Row],[Discount]]</f>
        <v>0</v>
      </c>
      <c r="M644" s="58">
        <f>Table3[[#This Row],[Net Sales]]-Table3[[#This Row],[Cost Price]]*Table3[[#This Row],[QTY SOLD]]</f>
        <v>0</v>
      </c>
      <c r="N644" s="25"/>
      <c r="O644" s="25"/>
      <c r="P644" s="25"/>
      <c r="Q644" s="25"/>
      <c r="R644" s="25"/>
      <c r="S644" s="25"/>
    </row>
    <row r="645" spans="1:19" x14ac:dyDescent="0.25">
      <c r="A645" s="65"/>
      <c r="B645" s="50"/>
      <c r="C645" s="50"/>
      <c r="D645" s="50"/>
      <c r="E645" s="50" t="str">
        <f>IF(D645="","",VLOOKUP(D645,'Product Master'!$B:$C,2,FALSE))</f>
        <v/>
      </c>
      <c r="F645" s="50" t="str">
        <f>IF(D645="","",IFERROR(VLOOKUP(D645,'Product Master'!$B:$G,3,FALSE),""))</f>
        <v/>
      </c>
      <c r="G645" s="51"/>
      <c r="H645" s="52" t="str">
        <f>IF(D645="","",VLOOKUP(D645,'Product Master'!$B:$F,5,FALSE))</f>
        <v/>
      </c>
      <c r="I645" s="52">
        <f>IFERROR(VLOOKUP(D645,'Product Master'!B:E,4,FALSE),0)</f>
        <v>0</v>
      </c>
      <c r="J645" s="53">
        <f>IFERROR(Table3[[#This Row],[QTY SOLD]]*Table3[[#This Row],[Selling Price]],0)</f>
        <v>0</v>
      </c>
      <c r="K645" s="50"/>
      <c r="L645" s="50">
        <f>Table3[[#This Row],[Total Sales]]-Table3[[#This Row],[Discount]]</f>
        <v>0</v>
      </c>
      <c r="M645" s="58">
        <f>Table3[[#This Row],[Net Sales]]-Table3[[#This Row],[Cost Price]]*Table3[[#This Row],[QTY SOLD]]</f>
        <v>0</v>
      </c>
      <c r="N645" s="25"/>
      <c r="O645" s="25"/>
      <c r="P645" s="25"/>
      <c r="Q645" s="25"/>
      <c r="R645" s="25"/>
      <c r="S645" s="25"/>
    </row>
    <row r="646" spans="1:19" x14ac:dyDescent="0.25">
      <c r="A646" s="65"/>
      <c r="B646" s="50"/>
      <c r="C646" s="50"/>
      <c r="D646" s="50"/>
      <c r="E646" s="50" t="str">
        <f>IF(D646="","",VLOOKUP(D646,'Product Master'!$B:$C,2,FALSE))</f>
        <v/>
      </c>
      <c r="F646" s="50" t="str">
        <f>IF(D646="","",IFERROR(VLOOKUP(D646,'Product Master'!$B:$G,3,FALSE),""))</f>
        <v/>
      </c>
      <c r="G646" s="51"/>
      <c r="H646" s="52" t="str">
        <f>IF(D646="","",VLOOKUP(D646,'Product Master'!$B:$F,5,FALSE))</f>
        <v/>
      </c>
      <c r="I646" s="52">
        <f>IFERROR(VLOOKUP(D646,'Product Master'!B:E,4,FALSE),0)</f>
        <v>0</v>
      </c>
      <c r="J646" s="53">
        <f>IFERROR(Table3[[#This Row],[QTY SOLD]]*Table3[[#This Row],[Selling Price]],0)</f>
        <v>0</v>
      </c>
      <c r="K646" s="50"/>
      <c r="L646" s="50">
        <f>Table3[[#This Row],[Total Sales]]-Table3[[#This Row],[Discount]]</f>
        <v>0</v>
      </c>
      <c r="M646" s="58">
        <f>Table3[[#This Row],[Net Sales]]-Table3[[#This Row],[Cost Price]]*Table3[[#This Row],[QTY SOLD]]</f>
        <v>0</v>
      </c>
      <c r="N646" s="25"/>
      <c r="O646" s="25"/>
      <c r="P646" s="25"/>
      <c r="Q646" s="25"/>
      <c r="R646" s="25"/>
      <c r="S646" s="25"/>
    </row>
    <row r="647" spans="1:19" x14ac:dyDescent="0.25">
      <c r="A647" s="65"/>
      <c r="B647" s="50"/>
      <c r="C647" s="50"/>
      <c r="D647" s="50"/>
      <c r="E647" s="50" t="str">
        <f>IF(D647="","",VLOOKUP(D647,'Product Master'!$B:$C,2,FALSE))</f>
        <v/>
      </c>
      <c r="F647" s="50" t="str">
        <f>IF(D647="","",IFERROR(VLOOKUP(D647,'Product Master'!$B:$G,3,FALSE),""))</f>
        <v/>
      </c>
      <c r="G647" s="51"/>
      <c r="H647" s="52" t="str">
        <f>IF(D647="","",VLOOKUP(D647,'Product Master'!$B:$F,5,FALSE))</f>
        <v/>
      </c>
      <c r="I647" s="52">
        <f>IFERROR(VLOOKUP(D647,'Product Master'!B:E,4,FALSE),0)</f>
        <v>0</v>
      </c>
      <c r="J647" s="53">
        <f>IFERROR(Table3[[#This Row],[QTY SOLD]]*Table3[[#This Row],[Selling Price]],0)</f>
        <v>0</v>
      </c>
      <c r="K647" s="50"/>
      <c r="L647" s="50">
        <f>Table3[[#This Row],[Total Sales]]-Table3[[#This Row],[Discount]]</f>
        <v>0</v>
      </c>
      <c r="M647" s="58">
        <f>Table3[[#This Row],[Net Sales]]-Table3[[#This Row],[Cost Price]]*Table3[[#This Row],[QTY SOLD]]</f>
        <v>0</v>
      </c>
      <c r="N647" s="25"/>
      <c r="O647" s="25"/>
      <c r="P647" s="25"/>
      <c r="Q647" s="25"/>
      <c r="R647" s="25"/>
      <c r="S647" s="25"/>
    </row>
    <row r="648" spans="1:19" x14ac:dyDescent="0.25">
      <c r="A648" s="65"/>
      <c r="B648" s="50"/>
      <c r="C648" s="50"/>
      <c r="D648" s="50"/>
      <c r="E648" s="50" t="str">
        <f>IF(D648="","",VLOOKUP(D648,'Product Master'!$B:$C,2,FALSE))</f>
        <v/>
      </c>
      <c r="F648" s="50" t="str">
        <f>IF(D648="","",IFERROR(VLOOKUP(D648,'Product Master'!$B:$G,3,FALSE),""))</f>
        <v/>
      </c>
      <c r="G648" s="51"/>
      <c r="H648" s="52" t="str">
        <f>IF(D648="","",VLOOKUP(D648,'Product Master'!$B:$F,5,FALSE))</f>
        <v/>
      </c>
      <c r="I648" s="52">
        <f>IFERROR(VLOOKUP(D648,'Product Master'!B:E,4,FALSE),0)</f>
        <v>0</v>
      </c>
      <c r="J648" s="53">
        <f>IFERROR(Table3[[#This Row],[QTY SOLD]]*Table3[[#This Row],[Selling Price]],0)</f>
        <v>0</v>
      </c>
      <c r="K648" s="50"/>
      <c r="L648" s="50">
        <f>Table3[[#This Row],[Total Sales]]-Table3[[#This Row],[Discount]]</f>
        <v>0</v>
      </c>
      <c r="M648" s="58">
        <f>Table3[[#This Row],[Net Sales]]-Table3[[#This Row],[Cost Price]]*Table3[[#This Row],[QTY SOLD]]</f>
        <v>0</v>
      </c>
      <c r="N648" s="25"/>
      <c r="O648" s="25"/>
      <c r="P648" s="25"/>
      <c r="Q648" s="25"/>
      <c r="R648" s="25"/>
      <c r="S648" s="25"/>
    </row>
    <row r="649" spans="1:19" x14ac:dyDescent="0.25">
      <c r="A649" s="65"/>
      <c r="B649" s="50"/>
      <c r="C649" s="50"/>
      <c r="D649" s="50"/>
      <c r="E649" s="50" t="str">
        <f>IF(D649="","",VLOOKUP(D649,'Product Master'!$B:$C,2,FALSE))</f>
        <v/>
      </c>
      <c r="F649" s="50" t="str">
        <f>IF(D649="","",IFERROR(VLOOKUP(D649,'Product Master'!$B:$G,3,FALSE),""))</f>
        <v/>
      </c>
      <c r="G649" s="51"/>
      <c r="H649" s="52" t="str">
        <f>IF(D649="","",VLOOKUP(D649,'Product Master'!$B:$F,5,FALSE))</f>
        <v/>
      </c>
      <c r="I649" s="52">
        <f>IFERROR(VLOOKUP(D649,'Product Master'!B:E,4,FALSE),0)</f>
        <v>0</v>
      </c>
      <c r="J649" s="53">
        <f>IFERROR(Table3[[#This Row],[QTY SOLD]]*Table3[[#This Row],[Selling Price]],0)</f>
        <v>0</v>
      </c>
      <c r="K649" s="50"/>
      <c r="L649" s="50">
        <f>Table3[[#This Row],[Total Sales]]-Table3[[#This Row],[Discount]]</f>
        <v>0</v>
      </c>
      <c r="M649" s="58">
        <f>Table3[[#This Row],[Net Sales]]-Table3[[#This Row],[Cost Price]]*Table3[[#This Row],[QTY SOLD]]</f>
        <v>0</v>
      </c>
      <c r="N649" s="25"/>
      <c r="O649" s="25"/>
      <c r="P649" s="25"/>
      <c r="Q649" s="25"/>
      <c r="R649" s="25"/>
      <c r="S649" s="25"/>
    </row>
    <row r="650" spans="1:19" x14ac:dyDescent="0.25">
      <c r="A650" s="65"/>
      <c r="B650" s="50"/>
      <c r="C650" s="50"/>
      <c r="D650" s="50"/>
      <c r="E650" s="50" t="str">
        <f>IF(D650="","",VLOOKUP(D650,'Product Master'!$B:$C,2,FALSE))</f>
        <v/>
      </c>
      <c r="F650" s="50" t="str">
        <f>IF(D650="","",IFERROR(VLOOKUP(D650,'Product Master'!$B:$G,3,FALSE),""))</f>
        <v/>
      </c>
      <c r="G650" s="51"/>
      <c r="H650" s="52" t="str">
        <f>IF(D650="","",VLOOKUP(D650,'Product Master'!$B:$F,5,FALSE))</f>
        <v/>
      </c>
      <c r="I650" s="52">
        <f>IFERROR(VLOOKUP(D650,'Product Master'!B:E,4,FALSE),0)</f>
        <v>0</v>
      </c>
      <c r="J650" s="53">
        <f>IFERROR(Table3[[#This Row],[QTY SOLD]]*Table3[[#This Row],[Selling Price]],0)</f>
        <v>0</v>
      </c>
      <c r="K650" s="50"/>
      <c r="L650" s="50">
        <f>Table3[[#This Row],[Total Sales]]-Table3[[#This Row],[Discount]]</f>
        <v>0</v>
      </c>
      <c r="M650" s="58">
        <f>Table3[[#This Row],[Net Sales]]-Table3[[#This Row],[Cost Price]]*Table3[[#This Row],[QTY SOLD]]</f>
        <v>0</v>
      </c>
      <c r="N650" s="25"/>
      <c r="O650" s="25"/>
      <c r="P650" s="25"/>
      <c r="Q650" s="25"/>
      <c r="R650" s="25"/>
      <c r="S650" s="25"/>
    </row>
    <row r="651" spans="1:19" x14ac:dyDescent="0.25">
      <c r="A651" s="65"/>
      <c r="B651" s="50"/>
      <c r="C651" s="50"/>
      <c r="D651" s="50"/>
      <c r="E651" s="50" t="str">
        <f>IF(D651="","",VLOOKUP(D651,'Product Master'!$B:$C,2,FALSE))</f>
        <v/>
      </c>
      <c r="F651" s="50" t="str">
        <f>IF(D651="","",IFERROR(VLOOKUP(D651,'Product Master'!$B:$G,3,FALSE),""))</f>
        <v/>
      </c>
      <c r="G651" s="51"/>
      <c r="H651" s="52" t="str">
        <f>IF(D651="","",VLOOKUP(D651,'Product Master'!$B:$F,5,FALSE))</f>
        <v/>
      </c>
      <c r="I651" s="52">
        <f>IFERROR(VLOOKUP(D651,'Product Master'!B:E,4,FALSE),0)</f>
        <v>0</v>
      </c>
      <c r="J651" s="53">
        <f>IFERROR(Table3[[#This Row],[QTY SOLD]]*Table3[[#This Row],[Selling Price]],0)</f>
        <v>0</v>
      </c>
      <c r="K651" s="50"/>
      <c r="L651" s="50">
        <f>Table3[[#This Row],[Total Sales]]-Table3[[#This Row],[Discount]]</f>
        <v>0</v>
      </c>
      <c r="M651" s="58">
        <f>Table3[[#This Row],[Net Sales]]-Table3[[#This Row],[Cost Price]]*Table3[[#This Row],[QTY SOLD]]</f>
        <v>0</v>
      </c>
      <c r="N651" s="25"/>
      <c r="O651" s="25"/>
      <c r="P651" s="25"/>
      <c r="Q651" s="25"/>
      <c r="R651" s="25"/>
      <c r="S651" s="25"/>
    </row>
    <row r="652" spans="1:19" x14ac:dyDescent="0.25">
      <c r="A652" s="65"/>
      <c r="B652" s="50"/>
      <c r="C652" s="50"/>
      <c r="D652" s="50"/>
      <c r="E652" s="50" t="str">
        <f>IF(D652="","",VLOOKUP(D652,'Product Master'!$B:$C,2,FALSE))</f>
        <v/>
      </c>
      <c r="F652" s="50" t="str">
        <f>IF(D652="","",IFERROR(VLOOKUP(D652,'Product Master'!$B:$G,3,FALSE),""))</f>
        <v/>
      </c>
      <c r="G652" s="51"/>
      <c r="H652" s="52" t="str">
        <f>IF(D652="","",VLOOKUP(D652,'Product Master'!$B:$F,5,FALSE))</f>
        <v/>
      </c>
      <c r="I652" s="52">
        <f>IFERROR(VLOOKUP(D652,'Product Master'!B:E,4,FALSE),0)</f>
        <v>0</v>
      </c>
      <c r="J652" s="53">
        <f>IFERROR(Table3[[#This Row],[QTY SOLD]]*Table3[[#This Row],[Selling Price]],0)</f>
        <v>0</v>
      </c>
      <c r="K652" s="50"/>
      <c r="L652" s="50">
        <f>Table3[[#This Row],[Total Sales]]-Table3[[#This Row],[Discount]]</f>
        <v>0</v>
      </c>
      <c r="M652" s="58">
        <f>Table3[[#This Row],[Net Sales]]-Table3[[#This Row],[Cost Price]]*Table3[[#This Row],[QTY SOLD]]</f>
        <v>0</v>
      </c>
      <c r="N652" s="25"/>
      <c r="O652" s="25"/>
      <c r="P652" s="25"/>
      <c r="Q652" s="25"/>
      <c r="R652" s="25"/>
      <c r="S652" s="25"/>
    </row>
    <row r="653" spans="1:19" x14ac:dyDescent="0.25">
      <c r="A653" s="65"/>
      <c r="B653" s="50"/>
      <c r="C653" s="50"/>
      <c r="D653" s="50"/>
      <c r="E653" s="50" t="str">
        <f>IF(D653="","",VLOOKUP(D653,'Product Master'!$B:$C,2,FALSE))</f>
        <v/>
      </c>
      <c r="F653" s="50" t="str">
        <f>IF(D653="","",IFERROR(VLOOKUP(D653,'Product Master'!$B:$G,3,FALSE),""))</f>
        <v/>
      </c>
      <c r="G653" s="51"/>
      <c r="H653" s="52" t="str">
        <f>IF(D653="","",VLOOKUP(D653,'Product Master'!$B:$F,5,FALSE))</f>
        <v/>
      </c>
      <c r="I653" s="52">
        <f>IFERROR(VLOOKUP(D653,'Product Master'!B:E,4,FALSE),0)</f>
        <v>0</v>
      </c>
      <c r="J653" s="53">
        <f>IFERROR(Table3[[#This Row],[QTY SOLD]]*Table3[[#This Row],[Selling Price]],0)</f>
        <v>0</v>
      </c>
      <c r="K653" s="50"/>
      <c r="L653" s="50">
        <f>Table3[[#This Row],[Total Sales]]-Table3[[#This Row],[Discount]]</f>
        <v>0</v>
      </c>
      <c r="M653" s="58">
        <f>Table3[[#This Row],[Net Sales]]-Table3[[#This Row],[Cost Price]]*Table3[[#This Row],[QTY SOLD]]</f>
        <v>0</v>
      </c>
      <c r="N653" s="25"/>
      <c r="O653" s="25"/>
      <c r="P653" s="25"/>
      <c r="Q653" s="25"/>
      <c r="R653" s="25"/>
      <c r="S653" s="25"/>
    </row>
    <row r="654" spans="1:19" x14ac:dyDescent="0.25">
      <c r="A654" s="65"/>
      <c r="B654" s="50"/>
      <c r="C654" s="50"/>
      <c r="D654" s="50"/>
      <c r="E654" s="50" t="str">
        <f>IF(D654="","",VLOOKUP(D654,'Product Master'!$B:$C,2,FALSE))</f>
        <v/>
      </c>
      <c r="F654" s="50" t="str">
        <f>IF(D654="","",IFERROR(VLOOKUP(D654,'Product Master'!$B:$G,3,FALSE),""))</f>
        <v/>
      </c>
      <c r="G654" s="51"/>
      <c r="H654" s="52" t="str">
        <f>IF(D654="","",VLOOKUP(D654,'Product Master'!$B:$F,5,FALSE))</f>
        <v/>
      </c>
      <c r="I654" s="52">
        <f>IFERROR(VLOOKUP(D654,'Product Master'!B:E,4,FALSE),0)</f>
        <v>0</v>
      </c>
      <c r="J654" s="53">
        <f>IFERROR(Table3[[#This Row],[QTY SOLD]]*Table3[[#This Row],[Selling Price]],0)</f>
        <v>0</v>
      </c>
      <c r="K654" s="50"/>
      <c r="L654" s="50">
        <f>Table3[[#This Row],[Total Sales]]-Table3[[#This Row],[Discount]]</f>
        <v>0</v>
      </c>
      <c r="M654" s="58">
        <f>Table3[[#This Row],[Net Sales]]-Table3[[#This Row],[Cost Price]]*Table3[[#This Row],[QTY SOLD]]</f>
        <v>0</v>
      </c>
      <c r="N654" s="25"/>
      <c r="O654" s="25"/>
      <c r="P654" s="25"/>
      <c r="Q654" s="25"/>
      <c r="R654" s="25"/>
      <c r="S654" s="25"/>
    </row>
    <row r="655" spans="1:19" x14ac:dyDescent="0.25">
      <c r="A655" s="65"/>
      <c r="B655" s="50"/>
      <c r="C655" s="50"/>
      <c r="D655" s="50"/>
      <c r="E655" s="50" t="str">
        <f>IF(D655="","",VLOOKUP(D655,'Product Master'!$B:$C,2,FALSE))</f>
        <v/>
      </c>
      <c r="F655" s="50" t="str">
        <f>IF(D655="","",IFERROR(VLOOKUP(D655,'Product Master'!$B:$G,3,FALSE),""))</f>
        <v/>
      </c>
      <c r="G655" s="51"/>
      <c r="H655" s="52" t="str">
        <f>IF(D655="","",VLOOKUP(D655,'Product Master'!$B:$F,5,FALSE))</f>
        <v/>
      </c>
      <c r="I655" s="52">
        <f>IFERROR(VLOOKUP(D655,'Product Master'!B:E,4,FALSE),0)</f>
        <v>0</v>
      </c>
      <c r="J655" s="53">
        <f>IFERROR(Table3[[#This Row],[QTY SOLD]]*Table3[[#This Row],[Selling Price]],0)</f>
        <v>0</v>
      </c>
      <c r="K655" s="50"/>
      <c r="L655" s="50">
        <f>Table3[[#This Row],[Total Sales]]-Table3[[#This Row],[Discount]]</f>
        <v>0</v>
      </c>
      <c r="M655" s="58">
        <f>Table3[[#This Row],[Net Sales]]-Table3[[#This Row],[Cost Price]]*Table3[[#This Row],[QTY SOLD]]</f>
        <v>0</v>
      </c>
      <c r="N655" s="25"/>
      <c r="O655" s="25"/>
      <c r="P655" s="25"/>
      <c r="Q655" s="25"/>
      <c r="R655" s="25"/>
      <c r="S655" s="25"/>
    </row>
    <row r="656" spans="1:19" x14ac:dyDescent="0.25">
      <c r="A656" s="65"/>
      <c r="B656" s="50"/>
      <c r="C656" s="50"/>
      <c r="D656" s="50"/>
      <c r="E656" s="50" t="str">
        <f>IF(D656="","",VLOOKUP(D656,'Product Master'!$B:$C,2,FALSE))</f>
        <v/>
      </c>
      <c r="F656" s="50" t="str">
        <f>IF(D656="","",IFERROR(VLOOKUP(D656,'Product Master'!$B:$G,3,FALSE),""))</f>
        <v/>
      </c>
      <c r="G656" s="51"/>
      <c r="H656" s="52" t="str">
        <f>IF(D656="","",VLOOKUP(D656,'Product Master'!$B:$F,5,FALSE))</f>
        <v/>
      </c>
      <c r="I656" s="52">
        <f>IFERROR(VLOOKUP(D656,'Product Master'!B:E,4,FALSE),0)</f>
        <v>0</v>
      </c>
      <c r="J656" s="53">
        <f>IFERROR(Table3[[#This Row],[QTY SOLD]]*Table3[[#This Row],[Selling Price]],0)</f>
        <v>0</v>
      </c>
      <c r="K656" s="50"/>
      <c r="L656" s="50">
        <f>Table3[[#This Row],[Total Sales]]-Table3[[#This Row],[Discount]]</f>
        <v>0</v>
      </c>
      <c r="M656" s="58">
        <f>Table3[[#This Row],[Net Sales]]-Table3[[#This Row],[Cost Price]]*Table3[[#This Row],[QTY SOLD]]</f>
        <v>0</v>
      </c>
      <c r="N656" s="25"/>
      <c r="O656" s="25"/>
      <c r="P656" s="25"/>
      <c r="Q656" s="25"/>
      <c r="R656" s="25"/>
      <c r="S656" s="25"/>
    </row>
    <row r="657" spans="1:19" x14ac:dyDescent="0.25">
      <c r="A657" s="65"/>
      <c r="B657" s="50"/>
      <c r="C657" s="50"/>
      <c r="D657" s="50"/>
      <c r="E657" s="50" t="str">
        <f>IF(D657="","",VLOOKUP(D657,'Product Master'!$B:$C,2,FALSE))</f>
        <v/>
      </c>
      <c r="F657" s="50" t="str">
        <f>IF(D657="","",IFERROR(VLOOKUP(D657,'Product Master'!$B:$G,3,FALSE),""))</f>
        <v/>
      </c>
      <c r="G657" s="51"/>
      <c r="H657" s="52" t="str">
        <f>IF(D657="","",VLOOKUP(D657,'Product Master'!$B:$F,5,FALSE))</f>
        <v/>
      </c>
      <c r="I657" s="52">
        <f>IFERROR(VLOOKUP(D657,'Product Master'!B:E,4,FALSE),0)</f>
        <v>0</v>
      </c>
      <c r="J657" s="53">
        <f>IFERROR(Table3[[#This Row],[QTY SOLD]]*Table3[[#This Row],[Selling Price]],0)</f>
        <v>0</v>
      </c>
      <c r="K657" s="50"/>
      <c r="L657" s="50">
        <f>Table3[[#This Row],[Total Sales]]-Table3[[#This Row],[Discount]]</f>
        <v>0</v>
      </c>
      <c r="M657" s="58">
        <f>Table3[[#This Row],[Net Sales]]-Table3[[#This Row],[Cost Price]]*Table3[[#This Row],[QTY SOLD]]</f>
        <v>0</v>
      </c>
      <c r="N657" s="25"/>
      <c r="O657" s="25"/>
      <c r="P657" s="25"/>
      <c r="Q657" s="25"/>
      <c r="R657" s="25"/>
      <c r="S657" s="25"/>
    </row>
    <row r="658" spans="1:19" x14ac:dyDescent="0.25">
      <c r="A658" s="65"/>
      <c r="B658" s="50"/>
      <c r="C658" s="50"/>
      <c r="D658" s="50"/>
      <c r="E658" s="50" t="str">
        <f>IF(D658="","",VLOOKUP(D658,'Product Master'!$B:$C,2,FALSE))</f>
        <v/>
      </c>
      <c r="F658" s="50" t="str">
        <f>IF(D658="","",IFERROR(VLOOKUP(D658,'Product Master'!$B:$G,3,FALSE),""))</f>
        <v/>
      </c>
      <c r="G658" s="51"/>
      <c r="H658" s="52" t="str">
        <f>IF(D658="","",VLOOKUP(D658,'Product Master'!$B:$F,5,FALSE))</f>
        <v/>
      </c>
      <c r="I658" s="52">
        <f>IFERROR(VLOOKUP(D658,'Product Master'!B:E,4,FALSE),0)</f>
        <v>0</v>
      </c>
      <c r="J658" s="53">
        <f>IFERROR(Table3[[#This Row],[QTY SOLD]]*Table3[[#This Row],[Selling Price]],0)</f>
        <v>0</v>
      </c>
      <c r="K658" s="50"/>
      <c r="L658" s="50">
        <f>Table3[[#This Row],[Total Sales]]-Table3[[#This Row],[Discount]]</f>
        <v>0</v>
      </c>
      <c r="M658" s="58">
        <f>Table3[[#This Row],[Net Sales]]-Table3[[#This Row],[Cost Price]]*Table3[[#This Row],[QTY SOLD]]</f>
        <v>0</v>
      </c>
      <c r="N658" s="25"/>
      <c r="O658" s="25"/>
      <c r="P658" s="25"/>
      <c r="Q658" s="25"/>
      <c r="R658" s="25"/>
      <c r="S658" s="25"/>
    </row>
    <row r="659" spans="1:19" x14ac:dyDescent="0.25">
      <c r="A659" s="65"/>
      <c r="B659" s="50"/>
      <c r="C659" s="50"/>
      <c r="D659" s="50"/>
      <c r="E659" s="50" t="str">
        <f>IF(D659="","",VLOOKUP(D659,'Product Master'!$B:$C,2,FALSE))</f>
        <v/>
      </c>
      <c r="F659" s="50" t="str">
        <f>IF(D659="","",IFERROR(VLOOKUP(D659,'Product Master'!$B:$G,3,FALSE),""))</f>
        <v/>
      </c>
      <c r="G659" s="51"/>
      <c r="H659" s="52" t="str">
        <f>IF(D659="","",VLOOKUP(D659,'Product Master'!$B:$F,5,FALSE))</f>
        <v/>
      </c>
      <c r="I659" s="52">
        <f>IFERROR(VLOOKUP(D659,'Product Master'!B:E,4,FALSE),0)</f>
        <v>0</v>
      </c>
      <c r="J659" s="53">
        <f>IFERROR(Table3[[#This Row],[QTY SOLD]]*Table3[[#This Row],[Selling Price]],0)</f>
        <v>0</v>
      </c>
      <c r="K659" s="50"/>
      <c r="L659" s="50">
        <f>Table3[[#This Row],[Total Sales]]-Table3[[#This Row],[Discount]]</f>
        <v>0</v>
      </c>
      <c r="M659" s="58">
        <f>Table3[[#This Row],[Net Sales]]-Table3[[#This Row],[Cost Price]]*Table3[[#This Row],[QTY SOLD]]</f>
        <v>0</v>
      </c>
      <c r="N659" s="25"/>
      <c r="O659" s="25"/>
      <c r="P659" s="25"/>
      <c r="Q659" s="25"/>
      <c r="R659" s="25"/>
      <c r="S659" s="25"/>
    </row>
    <row r="660" spans="1:19" x14ac:dyDescent="0.25">
      <c r="A660" s="65"/>
      <c r="B660" s="50"/>
      <c r="C660" s="50"/>
      <c r="D660" s="50"/>
      <c r="E660" s="50" t="str">
        <f>IF(D660="","",VLOOKUP(D660,'Product Master'!$B:$C,2,FALSE))</f>
        <v/>
      </c>
      <c r="F660" s="50" t="str">
        <f>IF(D660="","",IFERROR(VLOOKUP(D660,'Product Master'!$B:$G,3,FALSE),""))</f>
        <v/>
      </c>
      <c r="G660" s="51"/>
      <c r="H660" s="52" t="str">
        <f>IF(D660="","",VLOOKUP(D660,'Product Master'!$B:$F,5,FALSE))</f>
        <v/>
      </c>
      <c r="I660" s="52">
        <f>IFERROR(VLOOKUP(D660,'Product Master'!B:E,4,FALSE),0)</f>
        <v>0</v>
      </c>
      <c r="J660" s="53">
        <f>IFERROR(Table3[[#This Row],[QTY SOLD]]*Table3[[#This Row],[Selling Price]],0)</f>
        <v>0</v>
      </c>
      <c r="K660" s="50"/>
      <c r="L660" s="50">
        <f>Table3[[#This Row],[Total Sales]]-Table3[[#This Row],[Discount]]</f>
        <v>0</v>
      </c>
      <c r="M660" s="58">
        <f>Table3[[#This Row],[Net Sales]]-Table3[[#This Row],[Cost Price]]*Table3[[#This Row],[QTY SOLD]]</f>
        <v>0</v>
      </c>
      <c r="N660" s="25"/>
      <c r="O660" s="25"/>
      <c r="P660" s="25"/>
      <c r="Q660" s="25"/>
      <c r="R660" s="25"/>
      <c r="S660" s="25"/>
    </row>
    <row r="661" spans="1:19" x14ac:dyDescent="0.25">
      <c r="A661" s="65"/>
      <c r="B661" s="50"/>
      <c r="C661" s="50"/>
      <c r="D661" s="50"/>
      <c r="E661" s="50" t="str">
        <f>IF(D661="","",VLOOKUP(D661,'Product Master'!$B:$C,2,FALSE))</f>
        <v/>
      </c>
      <c r="F661" s="50" t="str">
        <f>IF(D661="","",IFERROR(VLOOKUP(D661,'Product Master'!$B:$G,3,FALSE),""))</f>
        <v/>
      </c>
      <c r="G661" s="51"/>
      <c r="H661" s="52" t="str">
        <f>IF(D661="","",VLOOKUP(D661,'Product Master'!$B:$F,5,FALSE))</f>
        <v/>
      </c>
      <c r="I661" s="52">
        <f>IFERROR(VLOOKUP(D661,'Product Master'!B:E,4,FALSE),0)</f>
        <v>0</v>
      </c>
      <c r="J661" s="53">
        <f>IFERROR(Table3[[#This Row],[QTY SOLD]]*Table3[[#This Row],[Selling Price]],0)</f>
        <v>0</v>
      </c>
      <c r="K661" s="50"/>
      <c r="L661" s="50">
        <f>Table3[[#This Row],[Total Sales]]-Table3[[#This Row],[Discount]]</f>
        <v>0</v>
      </c>
      <c r="M661" s="58">
        <f>Table3[[#This Row],[Net Sales]]-Table3[[#This Row],[Cost Price]]*Table3[[#This Row],[QTY SOLD]]</f>
        <v>0</v>
      </c>
      <c r="N661" s="25"/>
      <c r="O661" s="25"/>
      <c r="P661" s="25"/>
      <c r="Q661" s="25"/>
      <c r="R661" s="25"/>
      <c r="S661" s="25"/>
    </row>
    <row r="662" spans="1:19" x14ac:dyDescent="0.25">
      <c r="A662" s="65"/>
      <c r="B662" s="50"/>
      <c r="C662" s="50"/>
      <c r="D662" s="50"/>
      <c r="E662" s="50" t="str">
        <f>IF(D662="","",VLOOKUP(D662,'Product Master'!$B:$C,2,FALSE))</f>
        <v/>
      </c>
      <c r="F662" s="50" t="str">
        <f>IF(D662="","",IFERROR(VLOOKUP(D662,'Product Master'!$B:$G,3,FALSE),""))</f>
        <v/>
      </c>
      <c r="G662" s="51"/>
      <c r="H662" s="52" t="str">
        <f>IF(D662="","",VLOOKUP(D662,'Product Master'!$B:$F,5,FALSE))</f>
        <v/>
      </c>
      <c r="I662" s="52">
        <f>IFERROR(VLOOKUP(D662,'Product Master'!B:E,4,FALSE),0)</f>
        <v>0</v>
      </c>
      <c r="J662" s="53">
        <f>IFERROR(Table3[[#This Row],[QTY SOLD]]*Table3[[#This Row],[Selling Price]],0)</f>
        <v>0</v>
      </c>
      <c r="K662" s="50"/>
      <c r="L662" s="50">
        <f>Table3[[#This Row],[Total Sales]]-Table3[[#This Row],[Discount]]</f>
        <v>0</v>
      </c>
      <c r="M662" s="58">
        <f>Table3[[#This Row],[Net Sales]]-Table3[[#This Row],[Cost Price]]*Table3[[#This Row],[QTY SOLD]]</f>
        <v>0</v>
      </c>
      <c r="N662" s="25"/>
      <c r="O662" s="25"/>
      <c r="P662" s="25"/>
      <c r="Q662" s="25"/>
      <c r="R662" s="25"/>
      <c r="S662" s="25"/>
    </row>
    <row r="663" spans="1:19" x14ac:dyDescent="0.25">
      <c r="A663" s="65"/>
      <c r="B663" s="50"/>
      <c r="C663" s="50"/>
      <c r="D663" s="50"/>
      <c r="E663" s="50" t="str">
        <f>IF(D663="","",VLOOKUP(D663,'Product Master'!$B:$C,2,FALSE))</f>
        <v/>
      </c>
      <c r="F663" s="50" t="str">
        <f>IF(D663="","",IFERROR(VLOOKUP(D663,'Product Master'!$B:$G,3,FALSE),""))</f>
        <v/>
      </c>
      <c r="G663" s="51"/>
      <c r="H663" s="52" t="str">
        <f>IF(D663="","",VLOOKUP(D663,'Product Master'!$B:$F,5,FALSE))</f>
        <v/>
      </c>
      <c r="I663" s="52">
        <f>IFERROR(VLOOKUP(D663,'Product Master'!B:E,4,FALSE),0)</f>
        <v>0</v>
      </c>
      <c r="J663" s="53">
        <f>IFERROR(Table3[[#This Row],[QTY SOLD]]*Table3[[#This Row],[Selling Price]],0)</f>
        <v>0</v>
      </c>
      <c r="K663" s="50"/>
      <c r="L663" s="50">
        <f>Table3[[#This Row],[Total Sales]]-Table3[[#This Row],[Discount]]</f>
        <v>0</v>
      </c>
      <c r="M663" s="58">
        <f>Table3[[#This Row],[Net Sales]]-Table3[[#This Row],[Cost Price]]*Table3[[#This Row],[QTY SOLD]]</f>
        <v>0</v>
      </c>
      <c r="N663" s="25"/>
      <c r="O663" s="25"/>
      <c r="P663" s="25"/>
      <c r="Q663" s="25"/>
      <c r="R663" s="25"/>
      <c r="S663" s="25"/>
    </row>
    <row r="664" spans="1:19" x14ac:dyDescent="0.25">
      <c r="A664" s="65"/>
      <c r="B664" s="50"/>
      <c r="C664" s="50"/>
      <c r="D664" s="50"/>
      <c r="E664" s="50" t="str">
        <f>IF(D664="","",VLOOKUP(D664,'Product Master'!$B:$C,2,FALSE))</f>
        <v/>
      </c>
      <c r="F664" s="50" t="str">
        <f>IF(D664="","",IFERROR(VLOOKUP(D664,'Product Master'!$B:$G,3,FALSE),""))</f>
        <v/>
      </c>
      <c r="G664" s="51"/>
      <c r="H664" s="52" t="str">
        <f>IF(D664="","",VLOOKUP(D664,'Product Master'!$B:$F,5,FALSE))</f>
        <v/>
      </c>
      <c r="I664" s="52">
        <f>IFERROR(VLOOKUP(D664,'Product Master'!B:E,4,FALSE),0)</f>
        <v>0</v>
      </c>
      <c r="J664" s="53">
        <f>IFERROR(Table3[[#This Row],[QTY SOLD]]*Table3[[#This Row],[Selling Price]],0)</f>
        <v>0</v>
      </c>
      <c r="K664" s="50"/>
      <c r="L664" s="50">
        <f>Table3[[#This Row],[Total Sales]]-Table3[[#This Row],[Discount]]</f>
        <v>0</v>
      </c>
      <c r="M664" s="58">
        <f>Table3[[#This Row],[Net Sales]]-Table3[[#This Row],[Cost Price]]*Table3[[#This Row],[QTY SOLD]]</f>
        <v>0</v>
      </c>
      <c r="N664" s="25"/>
      <c r="O664" s="25"/>
      <c r="P664" s="25"/>
      <c r="Q664" s="25"/>
      <c r="R664" s="25"/>
      <c r="S664" s="25"/>
    </row>
    <row r="665" spans="1:19" x14ac:dyDescent="0.25">
      <c r="A665" s="65"/>
      <c r="B665" s="50"/>
      <c r="C665" s="50"/>
      <c r="D665" s="50"/>
      <c r="E665" s="50" t="str">
        <f>IF(D665="","",VLOOKUP(D665,'Product Master'!$B:$C,2,FALSE))</f>
        <v/>
      </c>
      <c r="F665" s="50" t="str">
        <f>IF(D665="","",IFERROR(VLOOKUP(D665,'Product Master'!$B:$G,3,FALSE),""))</f>
        <v/>
      </c>
      <c r="G665" s="51"/>
      <c r="H665" s="52" t="str">
        <f>IF(D665="","",VLOOKUP(D665,'Product Master'!$B:$F,5,FALSE))</f>
        <v/>
      </c>
      <c r="I665" s="52">
        <f>IFERROR(VLOOKUP(D665,'Product Master'!B:E,4,FALSE),0)</f>
        <v>0</v>
      </c>
      <c r="J665" s="53">
        <f>IFERROR(Table3[[#This Row],[QTY SOLD]]*Table3[[#This Row],[Selling Price]],0)</f>
        <v>0</v>
      </c>
      <c r="K665" s="50"/>
      <c r="L665" s="50">
        <f>Table3[[#This Row],[Total Sales]]-Table3[[#This Row],[Discount]]</f>
        <v>0</v>
      </c>
      <c r="M665" s="58">
        <f>Table3[[#This Row],[Net Sales]]-Table3[[#This Row],[Cost Price]]*Table3[[#This Row],[QTY SOLD]]</f>
        <v>0</v>
      </c>
      <c r="N665" s="25"/>
      <c r="O665" s="25"/>
      <c r="P665" s="25"/>
      <c r="Q665" s="25"/>
      <c r="R665" s="25"/>
      <c r="S665" s="25"/>
    </row>
    <row r="666" spans="1:19" x14ac:dyDescent="0.25">
      <c r="A666" s="65"/>
      <c r="B666" s="50"/>
      <c r="C666" s="50"/>
      <c r="D666" s="50"/>
      <c r="E666" s="50" t="str">
        <f>IF(D666="","",VLOOKUP(D666,'Product Master'!$B:$C,2,FALSE))</f>
        <v/>
      </c>
      <c r="F666" s="50" t="str">
        <f>IF(D666="","",IFERROR(VLOOKUP(D666,'Product Master'!$B:$G,3,FALSE),""))</f>
        <v/>
      </c>
      <c r="G666" s="51"/>
      <c r="H666" s="52" t="str">
        <f>IF(D666="","",VLOOKUP(D666,'Product Master'!$B:$F,5,FALSE))</f>
        <v/>
      </c>
      <c r="I666" s="52">
        <f>IFERROR(VLOOKUP(D666,'Product Master'!B:E,4,FALSE),0)</f>
        <v>0</v>
      </c>
      <c r="J666" s="53">
        <f>IFERROR(Table3[[#This Row],[QTY SOLD]]*Table3[[#This Row],[Selling Price]],0)</f>
        <v>0</v>
      </c>
      <c r="K666" s="50"/>
      <c r="L666" s="50">
        <f>Table3[[#This Row],[Total Sales]]-Table3[[#This Row],[Discount]]</f>
        <v>0</v>
      </c>
      <c r="M666" s="58">
        <f>Table3[[#This Row],[Net Sales]]-Table3[[#This Row],[Cost Price]]*Table3[[#This Row],[QTY SOLD]]</f>
        <v>0</v>
      </c>
      <c r="N666" s="25"/>
      <c r="O666" s="25"/>
      <c r="P666" s="25"/>
      <c r="Q666" s="25"/>
      <c r="R666" s="25"/>
      <c r="S666" s="25"/>
    </row>
    <row r="667" spans="1:19" x14ac:dyDescent="0.25">
      <c r="A667" s="65"/>
      <c r="B667" s="50"/>
      <c r="C667" s="50"/>
      <c r="D667" s="50"/>
      <c r="E667" s="50" t="str">
        <f>IF(D667="","",VLOOKUP(D667,'Product Master'!$B:$C,2,FALSE))</f>
        <v/>
      </c>
      <c r="F667" s="50" t="str">
        <f>IF(D667="","",IFERROR(VLOOKUP(D667,'Product Master'!$B:$G,3,FALSE),""))</f>
        <v/>
      </c>
      <c r="G667" s="51"/>
      <c r="H667" s="52" t="str">
        <f>IF(D667="","",VLOOKUP(D667,'Product Master'!$B:$F,5,FALSE))</f>
        <v/>
      </c>
      <c r="I667" s="52">
        <f>IFERROR(VLOOKUP(D667,'Product Master'!B:E,4,FALSE),0)</f>
        <v>0</v>
      </c>
      <c r="J667" s="53">
        <f>IFERROR(Table3[[#This Row],[QTY SOLD]]*Table3[[#This Row],[Selling Price]],0)</f>
        <v>0</v>
      </c>
      <c r="K667" s="50"/>
      <c r="L667" s="50">
        <f>Table3[[#This Row],[Total Sales]]-Table3[[#This Row],[Discount]]</f>
        <v>0</v>
      </c>
      <c r="M667" s="58">
        <f>Table3[[#This Row],[Net Sales]]-Table3[[#This Row],[Cost Price]]*Table3[[#This Row],[QTY SOLD]]</f>
        <v>0</v>
      </c>
      <c r="N667" s="25"/>
      <c r="O667" s="25"/>
      <c r="P667" s="25"/>
      <c r="Q667" s="25"/>
      <c r="R667" s="25"/>
      <c r="S667" s="25"/>
    </row>
    <row r="668" spans="1:19" x14ac:dyDescent="0.25">
      <c r="A668" s="65"/>
      <c r="B668" s="50"/>
      <c r="C668" s="50"/>
      <c r="D668" s="50"/>
      <c r="E668" s="50" t="str">
        <f>IF(D668="","",VLOOKUP(D668,'Product Master'!$B:$C,2,FALSE))</f>
        <v/>
      </c>
      <c r="F668" s="50" t="str">
        <f>IF(D668="","",IFERROR(VLOOKUP(D668,'Product Master'!$B:$G,3,FALSE),""))</f>
        <v/>
      </c>
      <c r="G668" s="51"/>
      <c r="H668" s="52" t="str">
        <f>IF(D668="","",VLOOKUP(D668,'Product Master'!$B:$F,5,FALSE))</f>
        <v/>
      </c>
      <c r="I668" s="52">
        <f>IFERROR(VLOOKUP(D668,'Product Master'!B:E,4,FALSE),0)</f>
        <v>0</v>
      </c>
      <c r="J668" s="53">
        <f>IFERROR(Table3[[#This Row],[QTY SOLD]]*Table3[[#This Row],[Selling Price]],0)</f>
        <v>0</v>
      </c>
      <c r="K668" s="50"/>
      <c r="L668" s="50">
        <f>Table3[[#This Row],[Total Sales]]-Table3[[#This Row],[Discount]]</f>
        <v>0</v>
      </c>
      <c r="M668" s="58">
        <f>Table3[[#This Row],[Net Sales]]-Table3[[#This Row],[Cost Price]]*Table3[[#This Row],[QTY SOLD]]</f>
        <v>0</v>
      </c>
      <c r="N668" s="25"/>
      <c r="O668" s="25"/>
      <c r="P668" s="25"/>
      <c r="Q668" s="25"/>
      <c r="R668" s="25"/>
      <c r="S668" s="25"/>
    </row>
    <row r="669" spans="1:19" x14ac:dyDescent="0.25">
      <c r="A669" s="65"/>
      <c r="B669" s="50"/>
      <c r="C669" s="50"/>
      <c r="D669" s="50"/>
      <c r="E669" s="50" t="str">
        <f>IF(D669="","",VLOOKUP(D669,'Product Master'!$B:$C,2,FALSE))</f>
        <v/>
      </c>
      <c r="F669" s="50" t="str">
        <f>IF(D669="","",IFERROR(VLOOKUP(D669,'Product Master'!$B:$G,3,FALSE),""))</f>
        <v/>
      </c>
      <c r="G669" s="51"/>
      <c r="H669" s="52" t="str">
        <f>IF(D669="","",VLOOKUP(D669,'Product Master'!$B:$F,5,FALSE))</f>
        <v/>
      </c>
      <c r="I669" s="52">
        <f>IFERROR(VLOOKUP(D669,'Product Master'!B:E,4,FALSE),0)</f>
        <v>0</v>
      </c>
      <c r="J669" s="53">
        <f>IFERROR(Table3[[#This Row],[QTY SOLD]]*Table3[[#This Row],[Selling Price]],0)</f>
        <v>0</v>
      </c>
      <c r="K669" s="50"/>
      <c r="L669" s="50">
        <f>Table3[[#This Row],[Total Sales]]-Table3[[#This Row],[Discount]]</f>
        <v>0</v>
      </c>
      <c r="M669" s="58">
        <f>Table3[[#This Row],[Net Sales]]-Table3[[#This Row],[Cost Price]]*Table3[[#This Row],[QTY SOLD]]</f>
        <v>0</v>
      </c>
      <c r="N669" s="25"/>
      <c r="O669" s="25"/>
      <c r="P669" s="25"/>
      <c r="Q669" s="25"/>
      <c r="R669" s="25"/>
      <c r="S669" s="25"/>
    </row>
    <row r="670" spans="1:19" x14ac:dyDescent="0.25">
      <c r="A670" s="65"/>
      <c r="B670" s="50"/>
      <c r="C670" s="50"/>
      <c r="D670" s="50"/>
      <c r="E670" s="50" t="str">
        <f>IF(D670="","",VLOOKUP(D670,'Product Master'!$B:$C,2,FALSE))</f>
        <v/>
      </c>
      <c r="F670" s="50" t="str">
        <f>IF(D670="","",IFERROR(VLOOKUP(D670,'Product Master'!$B:$G,3,FALSE),""))</f>
        <v/>
      </c>
      <c r="G670" s="51"/>
      <c r="H670" s="52" t="str">
        <f>IF(D670="","",VLOOKUP(D670,'Product Master'!$B:$F,5,FALSE))</f>
        <v/>
      </c>
      <c r="I670" s="52">
        <f>IFERROR(VLOOKUP(D670,'Product Master'!B:E,4,FALSE),0)</f>
        <v>0</v>
      </c>
      <c r="J670" s="53">
        <f>IFERROR(Table3[[#This Row],[QTY SOLD]]*Table3[[#This Row],[Selling Price]],0)</f>
        <v>0</v>
      </c>
      <c r="K670" s="50"/>
      <c r="L670" s="50">
        <f>Table3[[#This Row],[Total Sales]]-Table3[[#This Row],[Discount]]</f>
        <v>0</v>
      </c>
      <c r="M670" s="58">
        <f>Table3[[#This Row],[Net Sales]]-Table3[[#This Row],[Cost Price]]*Table3[[#This Row],[QTY SOLD]]</f>
        <v>0</v>
      </c>
      <c r="N670" s="25"/>
      <c r="O670" s="25"/>
      <c r="P670" s="25"/>
      <c r="Q670" s="25"/>
      <c r="R670" s="25"/>
      <c r="S670" s="25"/>
    </row>
    <row r="671" spans="1:19" x14ac:dyDescent="0.25">
      <c r="A671" s="65"/>
      <c r="B671" s="50"/>
      <c r="C671" s="50"/>
      <c r="D671" s="50"/>
      <c r="E671" s="50" t="str">
        <f>IF(D671="","",VLOOKUP(D671,'Product Master'!$B:$C,2,FALSE))</f>
        <v/>
      </c>
      <c r="F671" s="50" t="str">
        <f>IF(D671="","",IFERROR(VLOOKUP(D671,'Product Master'!$B:$G,3,FALSE),""))</f>
        <v/>
      </c>
      <c r="G671" s="51"/>
      <c r="H671" s="52" t="str">
        <f>IF(D671="","",VLOOKUP(D671,'Product Master'!$B:$F,5,FALSE))</f>
        <v/>
      </c>
      <c r="I671" s="52">
        <f>IFERROR(VLOOKUP(D671,'Product Master'!B:E,4,FALSE),0)</f>
        <v>0</v>
      </c>
      <c r="J671" s="53">
        <f>IFERROR(Table3[[#This Row],[QTY SOLD]]*Table3[[#This Row],[Selling Price]],0)</f>
        <v>0</v>
      </c>
      <c r="K671" s="50"/>
      <c r="L671" s="50">
        <f>Table3[[#This Row],[Total Sales]]-Table3[[#This Row],[Discount]]</f>
        <v>0</v>
      </c>
      <c r="M671" s="58">
        <f>Table3[[#This Row],[Net Sales]]-Table3[[#This Row],[Cost Price]]*Table3[[#This Row],[QTY SOLD]]</f>
        <v>0</v>
      </c>
      <c r="N671" s="25"/>
      <c r="O671" s="25"/>
      <c r="P671" s="25"/>
      <c r="Q671" s="25"/>
      <c r="R671" s="25"/>
      <c r="S671" s="25"/>
    </row>
    <row r="672" spans="1:19" x14ac:dyDescent="0.25">
      <c r="A672" s="65"/>
      <c r="B672" s="50"/>
      <c r="C672" s="50"/>
      <c r="D672" s="50"/>
      <c r="E672" s="50" t="str">
        <f>IF(D672="","",VLOOKUP(D672,'Product Master'!$B:$C,2,FALSE))</f>
        <v/>
      </c>
      <c r="F672" s="50" t="str">
        <f>IF(D672="","",IFERROR(VLOOKUP(D672,'Product Master'!$B:$G,3,FALSE),""))</f>
        <v/>
      </c>
      <c r="G672" s="51"/>
      <c r="H672" s="52" t="str">
        <f>IF(D672="","",VLOOKUP(D672,'Product Master'!$B:$F,5,FALSE))</f>
        <v/>
      </c>
      <c r="I672" s="52">
        <f>IFERROR(VLOOKUP(D672,'Product Master'!B:E,4,FALSE),0)</f>
        <v>0</v>
      </c>
      <c r="J672" s="53">
        <f>IFERROR(Table3[[#This Row],[QTY SOLD]]*Table3[[#This Row],[Selling Price]],0)</f>
        <v>0</v>
      </c>
      <c r="K672" s="50"/>
      <c r="L672" s="50">
        <f>Table3[[#This Row],[Total Sales]]-Table3[[#This Row],[Discount]]</f>
        <v>0</v>
      </c>
      <c r="M672" s="58">
        <f>Table3[[#This Row],[Net Sales]]-Table3[[#This Row],[Cost Price]]*Table3[[#This Row],[QTY SOLD]]</f>
        <v>0</v>
      </c>
      <c r="N672" s="25"/>
      <c r="O672" s="25"/>
      <c r="P672" s="25"/>
      <c r="Q672" s="25"/>
      <c r="R672" s="25"/>
      <c r="S672" s="25"/>
    </row>
    <row r="673" spans="1:19" x14ac:dyDescent="0.25">
      <c r="A673" s="65"/>
      <c r="B673" s="50"/>
      <c r="C673" s="50"/>
      <c r="D673" s="50"/>
      <c r="E673" s="50" t="str">
        <f>IF(D673="","",VLOOKUP(D673,'Product Master'!$B:$C,2,FALSE))</f>
        <v/>
      </c>
      <c r="F673" s="50" t="str">
        <f>IF(D673="","",IFERROR(VLOOKUP(D673,'Product Master'!$B:$G,3,FALSE),""))</f>
        <v/>
      </c>
      <c r="G673" s="51"/>
      <c r="H673" s="52" t="str">
        <f>IF(D673="","",VLOOKUP(D673,'Product Master'!$B:$F,5,FALSE))</f>
        <v/>
      </c>
      <c r="I673" s="52">
        <f>IFERROR(VLOOKUP(D673,'Product Master'!B:E,4,FALSE),0)</f>
        <v>0</v>
      </c>
      <c r="J673" s="53">
        <f>IFERROR(Table3[[#This Row],[QTY SOLD]]*Table3[[#This Row],[Selling Price]],0)</f>
        <v>0</v>
      </c>
      <c r="K673" s="50"/>
      <c r="L673" s="50">
        <f>Table3[[#This Row],[Total Sales]]-Table3[[#This Row],[Discount]]</f>
        <v>0</v>
      </c>
      <c r="M673" s="58">
        <f>Table3[[#This Row],[Net Sales]]-Table3[[#This Row],[Cost Price]]*Table3[[#This Row],[QTY SOLD]]</f>
        <v>0</v>
      </c>
      <c r="N673" s="25"/>
      <c r="O673" s="25"/>
      <c r="P673" s="25"/>
      <c r="Q673" s="25"/>
      <c r="R673" s="25"/>
      <c r="S673" s="25"/>
    </row>
    <row r="674" spans="1:19" x14ac:dyDescent="0.25">
      <c r="A674" s="65"/>
      <c r="B674" s="50"/>
      <c r="C674" s="50"/>
      <c r="D674" s="50"/>
      <c r="E674" s="50" t="str">
        <f>IF(D674="","",VLOOKUP(D674,'Product Master'!$B:$C,2,FALSE))</f>
        <v/>
      </c>
      <c r="F674" s="50" t="str">
        <f>IF(D674="","",IFERROR(VLOOKUP(D674,'Product Master'!$B:$G,3,FALSE),""))</f>
        <v/>
      </c>
      <c r="G674" s="51"/>
      <c r="H674" s="52" t="str">
        <f>IF(D674="","",VLOOKUP(D674,'Product Master'!$B:$F,5,FALSE))</f>
        <v/>
      </c>
      <c r="I674" s="52">
        <f>IFERROR(VLOOKUP(D674,'Product Master'!B:E,4,FALSE),0)</f>
        <v>0</v>
      </c>
      <c r="J674" s="53">
        <f>IFERROR(Table3[[#This Row],[QTY SOLD]]*Table3[[#This Row],[Selling Price]],0)</f>
        <v>0</v>
      </c>
      <c r="K674" s="50"/>
      <c r="L674" s="50">
        <f>Table3[[#This Row],[Total Sales]]-Table3[[#This Row],[Discount]]</f>
        <v>0</v>
      </c>
      <c r="M674" s="58">
        <f>Table3[[#This Row],[Net Sales]]-Table3[[#This Row],[Cost Price]]*Table3[[#This Row],[QTY SOLD]]</f>
        <v>0</v>
      </c>
      <c r="N674" s="25"/>
      <c r="O674" s="25"/>
      <c r="P674" s="25"/>
      <c r="Q674" s="25"/>
      <c r="R674" s="25"/>
      <c r="S674" s="25"/>
    </row>
    <row r="675" spans="1:19" x14ac:dyDescent="0.25">
      <c r="A675" s="65"/>
      <c r="B675" s="50"/>
      <c r="C675" s="50"/>
      <c r="D675" s="50"/>
      <c r="E675" s="50" t="str">
        <f>IF(D675="","",VLOOKUP(D675,'Product Master'!$B:$C,2,FALSE))</f>
        <v/>
      </c>
      <c r="F675" s="50" t="str">
        <f>IF(D675="","",IFERROR(VLOOKUP(D675,'Product Master'!$B:$G,3,FALSE),""))</f>
        <v/>
      </c>
      <c r="G675" s="51"/>
      <c r="H675" s="52" t="str">
        <f>IF(D675="","",VLOOKUP(D675,'Product Master'!$B:$F,5,FALSE))</f>
        <v/>
      </c>
      <c r="I675" s="52">
        <f>IFERROR(VLOOKUP(D675,'Product Master'!B:E,4,FALSE),0)</f>
        <v>0</v>
      </c>
      <c r="J675" s="53">
        <f>IFERROR(Table3[[#This Row],[QTY SOLD]]*Table3[[#This Row],[Selling Price]],0)</f>
        <v>0</v>
      </c>
      <c r="K675" s="50"/>
      <c r="L675" s="50">
        <f>Table3[[#This Row],[Total Sales]]-Table3[[#This Row],[Discount]]</f>
        <v>0</v>
      </c>
      <c r="M675" s="58">
        <f>Table3[[#This Row],[Net Sales]]-Table3[[#This Row],[Cost Price]]*Table3[[#This Row],[QTY SOLD]]</f>
        <v>0</v>
      </c>
      <c r="N675" s="25"/>
      <c r="O675" s="25"/>
      <c r="P675" s="25"/>
      <c r="Q675" s="25"/>
      <c r="R675" s="25"/>
      <c r="S675" s="25"/>
    </row>
    <row r="676" spans="1:19" x14ac:dyDescent="0.25">
      <c r="A676" s="65"/>
      <c r="B676" s="50"/>
      <c r="C676" s="50"/>
      <c r="D676" s="50"/>
      <c r="E676" s="50" t="str">
        <f>IF(D676="","",VLOOKUP(D676,'Product Master'!$B:$C,2,FALSE))</f>
        <v/>
      </c>
      <c r="F676" s="50" t="str">
        <f>IF(D676="","",IFERROR(VLOOKUP(D676,'Product Master'!$B:$G,3,FALSE),""))</f>
        <v/>
      </c>
      <c r="G676" s="51"/>
      <c r="H676" s="52" t="str">
        <f>IF(D676="","",VLOOKUP(D676,'Product Master'!$B:$F,5,FALSE))</f>
        <v/>
      </c>
      <c r="I676" s="52">
        <f>IFERROR(VLOOKUP(D676,'Product Master'!B:E,4,FALSE),0)</f>
        <v>0</v>
      </c>
      <c r="J676" s="53">
        <f>IFERROR(Table3[[#This Row],[QTY SOLD]]*Table3[[#This Row],[Selling Price]],0)</f>
        <v>0</v>
      </c>
      <c r="K676" s="50"/>
      <c r="L676" s="50">
        <f>Table3[[#This Row],[Total Sales]]-Table3[[#This Row],[Discount]]</f>
        <v>0</v>
      </c>
      <c r="M676" s="58">
        <f>Table3[[#This Row],[Net Sales]]-Table3[[#This Row],[Cost Price]]*Table3[[#This Row],[QTY SOLD]]</f>
        <v>0</v>
      </c>
      <c r="N676" s="25"/>
      <c r="O676" s="25"/>
      <c r="P676" s="25"/>
      <c r="Q676" s="25"/>
      <c r="R676" s="25"/>
      <c r="S676" s="25"/>
    </row>
    <row r="677" spans="1:19" x14ac:dyDescent="0.25">
      <c r="A677" s="65"/>
      <c r="B677" s="50"/>
      <c r="C677" s="50"/>
      <c r="D677" s="50"/>
      <c r="E677" s="50" t="str">
        <f>IF(D677="","",VLOOKUP(D677,'Product Master'!$B:$C,2,FALSE))</f>
        <v/>
      </c>
      <c r="F677" s="50" t="str">
        <f>IF(D677="","",IFERROR(VLOOKUP(D677,'Product Master'!$B:$G,3,FALSE),""))</f>
        <v/>
      </c>
      <c r="G677" s="51"/>
      <c r="H677" s="52" t="str">
        <f>IF(D677="","",VLOOKUP(D677,'Product Master'!$B:$F,5,FALSE))</f>
        <v/>
      </c>
      <c r="I677" s="52">
        <f>IFERROR(VLOOKUP(D677,'Product Master'!B:E,4,FALSE),0)</f>
        <v>0</v>
      </c>
      <c r="J677" s="53">
        <f>IFERROR(Table3[[#This Row],[QTY SOLD]]*Table3[[#This Row],[Selling Price]],0)</f>
        <v>0</v>
      </c>
      <c r="K677" s="50"/>
      <c r="L677" s="50">
        <f>Table3[[#This Row],[Total Sales]]-Table3[[#This Row],[Discount]]</f>
        <v>0</v>
      </c>
      <c r="M677" s="58">
        <f>Table3[[#This Row],[Net Sales]]-Table3[[#This Row],[Cost Price]]*Table3[[#This Row],[QTY SOLD]]</f>
        <v>0</v>
      </c>
      <c r="N677" s="25"/>
      <c r="O677" s="25"/>
      <c r="P677" s="25"/>
      <c r="Q677" s="25"/>
      <c r="R677" s="25"/>
      <c r="S677" s="25"/>
    </row>
    <row r="678" spans="1:19" x14ac:dyDescent="0.25">
      <c r="A678" s="65"/>
      <c r="B678" s="50"/>
      <c r="C678" s="50"/>
      <c r="D678" s="50"/>
      <c r="E678" s="50" t="str">
        <f>IF(D678="","",VLOOKUP(D678,'Product Master'!$B:$C,2,FALSE))</f>
        <v/>
      </c>
      <c r="F678" s="50" t="str">
        <f>IF(D678="","",IFERROR(VLOOKUP(D678,'Product Master'!$B:$G,3,FALSE),""))</f>
        <v/>
      </c>
      <c r="G678" s="51"/>
      <c r="H678" s="52" t="str">
        <f>IF(D678="","",VLOOKUP(D678,'Product Master'!$B:$F,5,FALSE))</f>
        <v/>
      </c>
      <c r="I678" s="52">
        <f>IFERROR(VLOOKUP(D678,'Product Master'!B:E,4,FALSE),0)</f>
        <v>0</v>
      </c>
      <c r="J678" s="53">
        <f>IFERROR(Table3[[#This Row],[QTY SOLD]]*Table3[[#This Row],[Selling Price]],0)</f>
        <v>0</v>
      </c>
      <c r="K678" s="50"/>
      <c r="L678" s="50">
        <f>Table3[[#This Row],[Total Sales]]-Table3[[#This Row],[Discount]]</f>
        <v>0</v>
      </c>
      <c r="M678" s="58">
        <f>Table3[[#This Row],[Net Sales]]-Table3[[#This Row],[Cost Price]]*Table3[[#This Row],[QTY SOLD]]</f>
        <v>0</v>
      </c>
      <c r="N678" s="25"/>
      <c r="O678" s="25"/>
      <c r="P678" s="25"/>
      <c r="Q678" s="25"/>
      <c r="R678" s="25"/>
      <c r="S678" s="25"/>
    </row>
    <row r="679" spans="1:19" x14ac:dyDescent="0.25">
      <c r="A679" s="65"/>
      <c r="B679" s="50"/>
      <c r="C679" s="50"/>
      <c r="D679" s="50"/>
      <c r="E679" s="50" t="str">
        <f>IF(D679="","",VLOOKUP(D679,'Product Master'!$B:$C,2,FALSE))</f>
        <v/>
      </c>
      <c r="F679" s="50" t="str">
        <f>IF(D679="","",IFERROR(VLOOKUP(D679,'Product Master'!$B:$G,3,FALSE),""))</f>
        <v/>
      </c>
      <c r="G679" s="51"/>
      <c r="H679" s="52" t="str">
        <f>IF(D679="","",VLOOKUP(D679,'Product Master'!$B:$F,5,FALSE))</f>
        <v/>
      </c>
      <c r="I679" s="52">
        <f>IFERROR(VLOOKUP(D679,'Product Master'!B:E,4,FALSE),0)</f>
        <v>0</v>
      </c>
      <c r="J679" s="53">
        <f>IFERROR(Table3[[#This Row],[QTY SOLD]]*Table3[[#This Row],[Selling Price]],0)</f>
        <v>0</v>
      </c>
      <c r="K679" s="50"/>
      <c r="L679" s="50">
        <f>Table3[[#This Row],[Total Sales]]-Table3[[#This Row],[Discount]]</f>
        <v>0</v>
      </c>
      <c r="M679" s="58">
        <f>Table3[[#This Row],[Net Sales]]-Table3[[#This Row],[Cost Price]]*Table3[[#This Row],[QTY SOLD]]</f>
        <v>0</v>
      </c>
      <c r="N679" s="25"/>
      <c r="O679" s="25"/>
      <c r="P679" s="25"/>
      <c r="Q679" s="25"/>
      <c r="R679" s="25"/>
      <c r="S679" s="25"/>
    </row>
    <row r="680" spans="1:19" x14ac:dyDescent="0.25">
      <c r="A680" s="65"/>
      <c r="B680" s="50"/>
      <c r="C680" s="50"/>
      <c r="D680" s="50"/>
      <c r="E680" s="50" t="str">
        <f>IF(D680="","",VLOOKUP(D680,'Product Master'!$B:$C,2,FALSE))</f>
        <v/>
      </c>
      <c r="F680" s="50" t="str">
        <f>IF(D680="","",IFERROR(VLOOKUP(D680,'Product Master'!$B:$G,3,FALSE),""))</f>
        <v/>
      </c>
      <c r="G680" s="51"/>
      <c r="H680" s="52" t="str">
        <f>IF(D680="","",VLOOKUP(D680,'Product Master'!$B:$F,5,FALSE))</f>
        <v/>
      </c>
      <c r="I680" s="52">
        <f>IFERROR(VLOOKUP(D680,'Product Master'!B:E,4,FALSE),0)</f>
        <v>0</v>
      </c>
      <c r="J680" s="53">
        <f>IFERROR(Table3[[#This Row],[QTY SOLD]]*Table3[[#This Row],[Selling Price]],0)</f>
        <v>0</v>
      </c>
      <c r="K680" s="50"/>
      <c r="L680" s="50">
        <f>Table3[[#This Row],[Total Sales]]-Table3[[#This Row],[Discount]]</f>
        <v>0</v>
      </c>
      <c r="M680" s="58">
        <f>Table3[[#This Row],[Net Sales]]-Table3[[#This Row],[Cost Price]]*Table3[[#This Row],[QTY SOLD]]</f>
        <v>0</v>
      </c>
      <c r="N680" s="25"/>
      <c r="O680" s="25"/>
      <c r="P680" s="25"/>
      <c r="Q680" s="25"/>
      <c r="R680" s="25"/>
      <c r="S680" s="25"/>
    </row>
    <row r="681" spans="1:19" x14ac:dyDescent="0.25">
      <c r="A681" s="65"/>
      <c r="B681" s="50"/>
      <c r="C681" s="50"/>
      <c r="D681" s="50"/>
      <c r="E681" s="50" t="str">
        <f>IF(D681="","",VLOOKUP(D681,'Product Master'!$B:$C,2,FALSE))</f>
        <v/>
      </c>
      <c r="F681" s="50" t="str">
        <f>IF(D681="","",IFERROR(VLOOKUP(D681,'Product Master'!$B:$G,3,FALSE),""))</f>
        <v/>
      </c>
      <c r="G681" s="51"/>
      <c r="H681" s="52" t="str">
        <f>IF(D681="","",VLOOKUP(D681,'Product Master'!$B:$F,5,FALSE))</f>
        <v/>
      </c>
      <c r="I681" s="52">
        <f>IFERROR(VLOOKUP(D681,'Product Master'!B:E,4,FALSE),0)</f>
        <v>0</v>
      </c>
      <c r="J681" s="53">
        <f>IFERROR(Table3[[#This Row],[QTY SOLD]]*Table3[[#This Row],[Selling Price]],0)</f>
        <v>0</v>
      </c>
      <c r="K681" s="50"/>
      <c r="L681" s="50">
        <f>Table3[[#This Row],[Total Sales]]-Table3[[#This Row],[Discount]]</f>
        <v>0</v>
      </c>
      <c r="M681" s="58">
        <f>Table3[[#This Row],[Net Sales]]-Table3[[#This Row],[Cost Price]]*Table3[[#This Row],[QTY SOLD]]</f>
        <v>0</v>
      </c>
      <c r="N681" s="25"/>
      <c r="O681" s="25"/>
      <c r="P681" s="25"/>
      <c r="Q681" s="25"/>
      <c r="R681" s="25"/>
      <c r="S681" s="25"/>
    </row>
    <row r="682" spans="1:19" x14ac:dyDescent="0.25">
      <c r="A682" s="65"/>
      <c r="B682" s="50"/>
      <c r="C682" s="50"/>
      <c r="D682" s="50"/>
      <c r="E682" s="50" t="str">
        <f>IF(D682="","",VLOOKUP(D682,'Product Master'!$B:$C,2,FALSE))</f>
        <v/>
      </c>
      <c r="F682" s="50" t="str">
        <f>IF(D682="","",IFERROR(VLOOKUP(D682,'Product Master'!$B:$G,3,FALSE),""))</f>
        <v/>
      </c>
      <c r="G682" s="51"/>
      <c r="H682" s="52" t="str">
        <f>IF(D682="","",VLOOKUP(D682,'Product Master'!$B:$F,5,FALSE))</f>
        <v/>
      </c>
      <c r="I682" s="52">
        <f>IFERROR(VLOOKUP(D682,'Product Master'!B:E,4,FALSE),0)</f>
        <v>0</v>
      </c>
      <c r="J682" s="53">
        <f>IFERROR(Table3[[#This Row],[QTY SOLD]]*Table3[[#This Row],[Selling Price]],0)</f>
        <v>0</v>
      </c>
      <c r="K682" s="50"/>
      <c r="L682" s="50">
        <f>Table3[[#This Row],[Total Sales]]-Table3[[#This Row],[Discount]]</f>
        <v>0</v>
      </c>
      <c r="M682" s="58">
        <f>Table3[[#This Row],[Net Sales]]-Table3[[#This Row],[Cost Price]]*Table3[[#This Row],[QTY SOLD]]</f>
        <v>0</v>
      </c>
      <c r="N682" s="25"/>
      <c r="O682" s="25"/>
      <c r="P682" s="25"/>
      <c r="Q682" s="25"/>
      <c r="R682" s="25"/>
      <c r="S682" s="25"/>
    </row>
    <row r="683" spans="1:19" x14ac:dyDescent="0.25">
      <c r="A683" s="65"/>
      <c r="B683" s="50"/>
      <c r="C683" s="50"/>
      <c r="D683" s="50"/>
      <c r="E683" s="50" t="str">
        <f>IF(D683="","",VLOOKUP(D683,'Product Master'!$B:$C,2,FALSE))</f>
        <v/>
      </c>
      <c r="F683" s="50" t="str">
        <f>IF(D683="","",IFERROR(VLOOKUP(D683,'Product Master'!$B:$G,3,FALSE),""))</f>
        <v/>
      </c>
      <c r="G683" s="51"/>
      <c r="H683" s="52" t="str">
        <f>IF(D683="","",VLOOKUP(D683,'Product Master'!$B:$F,5,FALSE))</f>
        <v/>
      </c>
      <c r="I683" s="52">
        <f>IFERROR(VLOOKUP(D683,'Product Master'!B:E,4,FALSE),0)</f>
        <v>0</v>
      </c>
      <c r="J683" s="53">
        <f>IFERROR(Table3[[#This Row],[QTY SOLD]]*Table3[[#This Row],[Selling Price]],0)</f>
        <v>0</v>
      </c>
      <c r="K683" s="50"/>
      <c r="L683" s="50">
        <f>Table3[[#This Row],[Total Sales]]-Table3[[#This Row],[Discount]]</f>
        <v>0</v>
      </c>
      <c r="M683" s="58">
        <f>Table3[[#This Row],[Net Sales]]-Table3[[#This Row],[Cost Price]]*Table3[[#This Row],[QTY SOLD]]</f>
        <v>0</v>
      </c>
      <c r="N683" s="25"/>
      <c r="O683" s="25"/>
      <c r="P683" s="25"/>
      <c r="Q683" s="25"/>
      <c r="R683" s="25"/>
      <c r="S683" s="25"/>
    </row>
    <row r="684" spans="1:19" x14ac:dyDescent="0.25">
      <c r="A684" s="65"/>
      <c r="B684" s="50"/>
      <c r="C684" s="50"/>
      <c r="D684" s="50"/>
      <c r="E684" s="50" t="str">
        <f>IF(D684="","",VLOOKUP(D684,'Product Master'!$B:$C,2,FALSE))</f>
        <v/>
      </c>
      <c r="F684" s="50" t="str">
        <f>IF(D684="","",IFERROR(VLOOKUP(D684,'Product Master'!$B:$G,3,FALSE),""))</f>
        <v/>
      </c>
      <c r="G684" s="51"/>
      <c r="H684" s="52" t="str">
        <f>IF(D684="","",VLOOKUP(D684,'Product Master'!$B:$F,5,FALSE))</f>
        <v/>
      </c>
      <c r="I684" s="52">
        <f>IFERROR(VLOOKUP(D684,'Product Master'!B:E,4,FALSE),0)</f>
        <v>0</v>
      </c>
      <c r="J684" s="53">
        <f>IFERROR(Table3[[#This Row],[QTY SOLD]]*Table3[[#This Row],[Selling Price]],0)</f>
        <v>0</v>
      </c>
      <c r="K684" s="50"/>
      <c r="L684" s="50">
        <f>Table3[[#This Row],[Total Sales]]-Table3[[#This Row],[Discount]]</f>
        <v>0</v>
      </c>
      <c r="M684" s="58">
        <f>Table3[[#This Row],[Net Sales]]-Table3[[#This Row],[Cost Price]]*Table3[[#This Row],[QTY SOLD]]</f>
        <v>0</v>
      </c>
      <c r="N684" s="25"/>
      <c r="O684" s="25"/>
      <c r="P684" s="25"/>
      <c r="Q684" s="25"/>
      <c r="R684" s="25"/>
      <c r="S684" s="25"/>
    </row>
    <row r="685" spans="1:19" x14ac:dyDescent="0.25">
      <c r="A685" s="65"/>
      <c r="B685" s="50"/>
      <c r="C685" s="50"/>
      <c r="D685" s="50"/>
      <c r="E685" s="50" t="str">
        <f>IF(D685="","",VLOOKUP(D685,'Product Master'!$B:$C,2,FALSE))</f>
        <v/>
      </c>
      <c r="F685" s="50" t="str">
        <f>IF(D685="","",IFERROR(VLOOKUP(D685,'Product Master'!$B:$G,3,FALSE),""))</f>
        <v/>
      </c>
      <c r="G685" s="51"/>
      <c r="H685" s="52" t="str">
        <f>IF(D685="","",VLOOKUP(D685,'Product Master'!$B:$F,5,FALSE))</f>
        <v/>
      </c>
      <c r="I685" s="52">
        <f>IFERROR(VLOOKUP(D685,'Product Master'!B:E,4,FALSE),0)</f>
        <v>0</v>
      </c>
      <c r="J685" s="53">
        <f>IFERROR(Table3[[#This Row],[QTY SOLD]]*Table3[[#This Row],[Selling Price]],0)</f>
        <v>0</v>
      </c>
      <c r="K685" s="50"/>
      <c r="L685" s="50">
        <f>Table3[[#This Row],[Total Sales]]-Table3[[#This Row],[Discount]]</f>
        <v>0</v>
      </c>
      <c r="M685" s="58">
        <f>Table3[[#This Row],[Net Sales]]-Table3[[#This Row],[Cost Price]]*Table3[[#This Row],[QTY SOLD]]</f>
        <v>0</v>
      </c>
      <c r="N685" s="25"/>
      <c r="O685" s="25"/>
      <c r="P685" s="25"/>
      <c r="Q685" s="25"/>
      <c r="R685" s="25"/>
      <c r="S685" s="25"/>
    </row>
    <row r="686" spans="1:19" x14ac:dyDescent="0.25">
      <c r="A686" s="65"/>
      <c r="B686" s="50"/>
      <c r="C686" s="50"/>
      <c r="D686" s="50"/>
      <c r="E686" s="50" t="str">
        <f>IF(D686="","",VLOOKUP(D686,'Product Master'!$B:$C,2,FALSE))</f>
        <v/>
      </c>
      <c r="F686" s="50" t="str">
        <f>IF(D686="","",IFERROR(VLOOKUP(D686,'Product Master'!$B:$G,3,FALSE),""))</f>
        <v/>
      </c>
      <c r="G686" s="51"/>
      <c r="H686" s="52" t="str">
        <f>IF(D686="","",VLOOKUP(D686,'Product Master'!$B:$F,5,FALSE))</f>
        <v/>
      </c>
      <c r="I686" s="52">
        <f>IFERROR(VLOOKUP(D686,'Product Master'!B:E,4,FALSE),0)</f>
        <v>0</v>
      </c>
      <c r="J686" s="53">
        <f>IFERROR(Table3[[#This Row],[QTY SOLD]]*Table3[[#This Row],[Selling Price]],0)</f>
        <v>0</v>
      </c>
      <c r="K686" s="50"/>
      <c r="L686" s="50">
        <f>Table3[[#This Row],[Total Sales]]-Table3[[#This Row],[Discount]]</f>
        <v>0</v>
      </c>
      <c r="M686" s="58">
        <f>Table3[[#This Row],[Net Sales]]-Table3[[#This Row],[Cost Price]]*Table3[[#This Row],[QTY SOLD]]</f>
        <v>0</v>
      </c>
      <c r="N686" s="25"/>
      <c r="O686" s="25"/>
      <c r="P686" s="25"/>
      <c r="Q686" s="25"/>
      <c r="R686" s="25"/>
      <c r="S686" s="25"/>
    </row>
    <row r="687" spans="1:19" x14ac:dyDescent="0.25">
      <c r="A687" s="65"/>
      <c r="B687" s="50"/>
      <c r="C687" s="50"/>
      <c r="D687" s="50"/>
      <c r="E687" s="50" t="str">
        <f>IF(D687="","",VLOOKUP(D687,'Product Master'!$B:$C,2,FALSE))</f>
        <v/>
      </c>
      <c r="F687" s="50" t="str">
        <f>IF(D687="","",IFERROR(VLOOKUP(D687,'Product Master'!$B:$G,3,FALSE),""))</f>
        <v/>
      </c>
      <c r="G687" s="51"/>
      <c r="H687" s="52" t="str">
        <f>IF(D687="","",VLOOKUP(D687,'Product Master'!$B:$F,5,FALSE))</f>
        <v/>
      </c>
      <c r="I687" s="52">
        <f>IFERROR(VLOOKUP(D687,'Product Master'!B:E,4,FALSE),0)</f>
        <v>0</v>
      </c>
      <c r="J687" s="53">
        <f>IFERROR(Table3[[#This Row],[QTY SOLD]]*Table3[[#This Row],[Selling Price]],0)</f>
        <v>0</v>
      </c>
      <c r="K687" s="50"/>
      <c r="L687" s="50">
        <f>Table3[[#This Row],[Total Sales]]-Table3[[#This Row],[Discount]]</f>
        <v>0</v>
      </c>
      <c r="M687" s="58">
        <f>Table3[[#This Row],[Net Sales]]-Table3[[#This Row],[Cost Price]]*Table3[[#This Row],[QTY SOLD]]</f>
        <v>0</v>
      </c>
      <c r="N687" s="25"/>
      <c r="O687" s="25"/>
      <c r="P687" s="25"/>
      <c r="Q687" s="25"/>
      <c r="R687" s="25"/>
      <c r="S687" s="25"/>
    </row>
    <row r="688" spans="1:19" x14ac:dyDescent="0.25">
      <c r="A688" s="65"/>
      <c r="B688" s="50"/>
      <c r="C688" s="50"/>
      <c r="D688" s="50"/>
      <c r="E688" s="50" t="str">
        <f>IF(D688="","",VLOOKUP(D688,'Product Master'!$B:$C,2,FALSE))</f>
        <v/>
      </c>
      <c r="F688" s="50" t="str">
        <f>IF(D688="","",IFERROR(VLOOKUP(D688,'Product Master'!$B:$G,3,FALSE),""))</f>
        <v/>
      </c>
      <c r="G688" s="51"/>
      <c r="H688" s="52" t="str">
        <f>IF(D688="","",VLOOKUP(D688,'Product Master'!$B:$F,5,FALSE))</f>
        <v/>
      </c>
      <c r="I688" s="52">
        <f>IFERROR(VLOOKUP(D688,'Product Master'!B:E,4,FALSE),0)</f>
        <v>0</v>
      </c>
      <c r="J688" s="53">
        <f>IFERROR(Table3[[#This Row],[QTY SOLD]]*Table3[[#This Row],[Selling Price]],0)</f>
        <v>0</v>
      </c>
      <c r="K688" s="50"/>
      <c r="L688" s="50">
        <f>Table3[[#This Row],[Total Sales]]-Table3[[#This Row],[Discount]]</f>
        <v>0</v>
      </c>
      <c r="M688" s="58">
        <f>Table3[[#This Row],[Net Sales]]-Table3[[#This Row],[Cost Price]]*Table3[[#This Row],[QTY SOLD]]</f>
        <v>0</v>
      </c>
      <c r="N688" s="25"/>
      <c r="O688" s="25"/>
      <c r="P688" s="25"/>
      <c r="Q688" s="25"/>
      <c r="R688" s="25"/>
      <c r="S688" s="25"/>
    </row>
    <row r="689" spans="1:19" x14ac:dyDescent="0.25">
      <c r="A689" s="65"/>
      <c r="B689" s="50"/>
      <c r="C689" s="50"/>
      <c r="D689" s="50"/>
      <c r="E689" s="50" t="str">
        <f>IF(D689="","",VLOOKUP(D689,'Product Master'!$B:$C,2,FALSE))</f>
        <v/>
      </c>
      <c r="F689" s="50" t="str">
        <f>IF(D689="","",IFERROR(VLOOKUP(D689,'Product Master'!$B:$G,3,FALSE),""))</f>
        <v/>
      </c>
      <c r="G689" s="51"/>
      <c r="H689" s="52" t="str">
        <f>IF(D689="","",VLOOKUP(D689,'Product Master'!$B:$F,5,FALSE))</f>
        <v/>
      </c>
      <c r="I689" s="52">
        <f>IFERROR(VLOOKUP(D689,'Product Master'!B:E,4,FALSE),0)</f>
        <v>0</v>
      </c>
      <c r="J689" s="53">
        <f>IFERROR(Table3[[#This Row],[QTY SOLD]]*Table3[[#This Row],[Selling Price]],0)</f>
        <v>0</v>
      </c>
      <c r="K689" s="50"/>
      <c r="L689" s="50">
        <f>Table3[[#This Row],[Total Sales]]-Table3[[#This Row],[Discount]]</f>
        <v>0</v>
      </c>
      <c r="M689" s="58">
        <f>Table3[[#This Row],[Net Sales]]-Table3[[#This Row],[Cost Price]]*Table3[[#This Row],[QTY SOLD]]</f>
        <v>0</v>
      </c>
      <c r="N689" s="25"/>
      <c r="O689" s="25"/>
      <c r="P689" s="25"/>
      <c r="Q689" s="25"/>
      <c r="R689" s="25"/>
      <c r="S689" s="25"/>
    </row>
    <row r="690" spans="1:19" x14ac:dyDescent="0.25">
      <c r="A690" s="65"/>
      <c r="B690" s="50"/>
      <c r="C690" s="50"/>
      <c r="D690" s="50"/>
      <c r="E690" s="50" t="str">
        <f>IF(D690="","",VLOOKUP(D690,'Product Master'!$B:$C,2,FALSE))</f>
        <v/>
      </c>
      <c r="F690" s="50" t="str">
        <f>IF(D690="","",IFERROR(VLOOKUP(D690,'Product Master'!$B:$G,3,FALSE),""))</f>
        <v/>
      </c>
      <c r="G690" s="51"/>
      <c r="H690" s="52" t="str">
        <f>IF(D690="","",VLOOKUP(D690,'Product Master'!$B:$F,5,FALSE))</f>
        <v/>
      </c>
      <c r="I690" s="52">
        <f>IFERROR(VLOOKUP(D690,'Product Master'!B:E,4,FALSE),0)</f>
        <v>0</v>
      </c>
      <c r="J690" s="53">
        <f>IFERROR(Table3[[#This Row],[QTY SOLD]]*Table3[[#This Row],[Selling Price]],0)</f>
        <v>0</v>
      </c>
      <c r="K690" s="50"/>
      <c r="L690" s="50">
        <f>Table3[[#This Row],[Total Sales]]-Table3[[#This Row],[Discount]]</f>
        <v>0</v>
      </c>
      <c r="M690" s="58">
        <f>Table3[[#This Row],[Net Sales]]-Table3[[#This Row],[Cost Price]]*Table3[[#This Row],[QTY SOLD]]</f>
        <v>0</v>
      </c>
      <c r="N690" s="25"/>
      <c r="O690" s="25"/>
      <c r="P690" s="25"/>
      <c r="Q690" s="25"/>
      <c r="R690" s="25"/>
      <c r="S690" s="25"/>
    </row>
    <row r="691" spans="1:19" x14ac:dyDescent="0.25">
      <c r="A691" s="65"/>
      <c r="B691" s="50"/>
      <c r="C691" s="50"/>
      <c r="D691" s="50"/>
      <c r="E691" s="50" t="str">
        <f>IF(D691="","",VLOOKUP(D691,'Product Master'!$B:$C,2,FALSE))</f>
        <v/>
      </c>
      <c r="F691" s="50" t="str">
        <f>IF(D691="","",IFERROR(VLOOKUP(D691,'Product Master'!$B:$G,3,FALSE),""))</f>
        <v/>
      </c>
      <c r="G691" s="51"/>
      <c r="H691" s="52" t="str">
        <f>IF(D691="","",VLOOKUP(D691,'Product Master'!$B:$F,5,FALSE))</f>
        <v/>
      </c>
      <c r="I691" s="52">
        <f>IFERROR(VLOOKUP(D691,'Product Master'!B:E,4,FALSE),0)</f>
        <v>0</v>
      </c>
      <c r="J691" s="53">
        <f>IFERROR(Table3[[#This Row],[QTY SOLD]]*Table3[[#This Row],[Selling Price]],0)</f>
        <v>0</v>
      </c>
      <c r="K691" s="50"/>
      <c r="L691" s="50">
        <f>Table3[[#This Row],[Total Sales]]-Table3[[#This Row],[Discount]]</f>
        <v>0</v>
      </c>
      <c r="M691" s="58">
        <f>Table3[[#This Row],[Net Sales]]-Table3[[#This Row],[Cost Price]]*Table3[[#This Row],[QTY SOLD]]</f>
        <v>0</v>
      </c>
      <c r="N691" s="25"/>
      <c r="O691" s="25"/>
      <c r="P691" s="25"/>
      <c r="Q691" s="25"/>
      <c r="R691" s="25"/>
      <c r="S691" s="25"/>
    </row>
    <row r="692" spans="1:19" x14ac:dyDescent="0.25">
      <c r="A692" s="65"/>
      <c r="B692" s="50"/>
      <c r="C692" s="50"/>
      <c r="D692" s="50"/>
      <c r="E692" s="50" t="str">
        <f>IF(D692="","",VLOOKUP(D692,'Product Master'!$B:$C,2,FALSE))</f>
        <v/>
      </c>
      <c r="F692" s="50" t="str">
        <f>IF(D692="","",IFERROR(VLOOKUP(D692,'Product Master'!$B:$G,3,FALSE),""))</f>
        <v/>
      </c>
      <c r="G692" s="51"/>
      <c r="H692" s="52" t="str">
        <f>IF(D692="","",VLOOKUP(D692,'Product Master'!$B:$F,5,FALSE))</f>
        <v/>
      </c>
      <c r="I692" s="52">
        <f>IFERROR(VLOOKUP(D692,'Product Master'!B:E,4,FALSE),0)</f>
        <v>0</v>
      </c>
      <c r="J692" s="53">
        <f>IFERROR(Table3[[#This Row],[QTY SOLD]]*Table3[[#This Row],[Selling Price]],0)</f>
        <v>0</v>
      </c>
      <c r="K692" s="50"/>
      <c r="L692" s="50">
        <f>Table3[[#This Row],[Total Sales]]-Table3[[#This Row],[Discount]]</f>
        <v>0</v>
      </c>
      <c r="M692" s="58">
        <f>Table3[[#This Row],[Net Sales]]-Table3[[#This Row],[Cost Price]]*Table3[[#This Row],[QTY SOLD]]</f>
        <v>0</v>
      </c>
      <c r="N692" s="25"/>
      <c r="O692" s="25"/>
      <c r="P692" s="25"/>
      <c r="Q692" s="25"/>
      <c r="R692" s="25"/>
      <c r="S692" s="25"/>
    </row>
    <row r="693" spans="1:19" x14ac:dyDescent="0.25">
      <c r="A693" s="65"/>
      <c r="B693" s="50"/>
      <c r="C693" s="50"/>
      <c r="D693" s="50"/>
      <c r="E693" s="50" t="str">
        <f>IF(D693="","",VLOOKUP(D693,'Product Master'!$B:$C,2,FALSE))</f>
        <v/>
      </c>
      <c r="F693" s="50" t="str">
        <f>IF(D693="","",IFERROR(VLOOKUP(D693,'Product Master'!$B:$G,3,FALSE),""))</f>
        <v/>
      </c>
      <c r="G693" s="51"/>
      <c r="H693" s="52" t="str">
        <f>IF(D693="","",VLOOKUP(D693,'Product Master'!$B:$F,5,FALSE))</f>
        <v/>
      </c>
      <c r="I693" s="52">
        <f>IFERROR(VLOOKUP(D693,'Product Master'!B:E,4,FALSE),0)</f>
        <v>0</v>
      </c>
      <c r="J693" s="53">
        <f>IFERROR(Table3[[#This Row],[QTY SOLD]]*Table3[[#This Row],[Selling Price]],0)</f>
        <v>0</v>
      </c>
      <c r="K693" s="50"/>
      <c r="L693" s="50">
        <f>Table3[[#This Row],[Total Sales]]-Table3[[#This Row],[Discount]]</f>
        <v>0</v>
      </c>
      <c r="M693" s="58">
        <f>Table3[[#This Row],[Net Sales]]-Table3[[#This Row],[Cost Price]]*Table3[[#This Row],[QTY SOLD]]</f>
        <v>0</v>
      </c>
      <c r="N693" s="25"/>
      <c r="O693" s="25"/>
      <c r="P693" s="25"/>
      <c r="Q693" s="25"/>
      <c r="R693" s="25"/>
      <c r="S693" s="25"/>
    </row>
    <row r="694" spans="1:19" x14ac:dyDescent="0.25">
      <c r="A694" s="65"/>
      <c r="B694" s="50"/>
      <c r="C694" s="50"/>
      <c r="D694" s="50"/>
      <c r="E694" s="50" t="str">
        <f>IF(D694="","",VLOOKUP(D694,'Product Master'!$B:$C,2,FALSE))</f>
        <v/>
      </c>
      <c r="F694" s="50" t="str">
        <f>IF(D694="","",IFERROR(VLOOKUP(D694,'Product Master'!$B:$G,3,FALSE),""))</f>
        <v/>
      </c>
      <c r="G694" s="51"/>
      <c r="H694" s="52" t="str">
        <f>IF(D694="","",VLOOKUP(D694,'Product Master'!$B:$F,5,FALSE))</f>
        <v/>
      </c>
      <c r="I694" s="52">
        <f>IFERROR(VLOOKUP(D694,'Product Master'!B:E,4,FALSE),0)</f>
        <v>0</v>
      </c>
      <c r="J694" s="53">
        <f>IFERROR(Table3[[#This Row],[QTY SOLD]]*Table3[[#This Row],[Selling Price]],0)</f>
        <v>0</v>
      </c>
      <c r="K694" s="50"/>
      <c r="L694" s="50">
        <f>Table3[[#This Row],[Total Sales]]-Table3[[#This Row],[Discount]]</f>
        <v>0</v>
      </c>
      <c r="M694" s="58">
        <f>Table3[[#This Row],[Net Sales]]-Table3[[#This Row],[Cost Price]]*Table3[[#This Row],[QTY SOLD]]</f>
        <v>0</v>
      </c>
      <c r="N694" s="25"/>
      <c r="O694" s="25"/>
      <c r="P694" s="25"/>
      <c r="Q694" s="25"/>
      <c r="R694" s="25"/>
      <c r="S694" s="25"/>
    </row>
    <row r="695" spans="1:19" x14ac:dyDescent="0.25">
      <c r="A695" s="65"/>
      <c r="B695" s="50"/>
      <c r="C695" s="50"/>
      <c r="D695" s="50"/>
      <c r="E695" s="50" t="str">
        <f>IF(D695="","",VLOOKUP(D695,'Product Master'!$B:$C,2,FALSE))</f>
        <v/>
      </c>
      <c r="F695" s="50" t="str">
        <f>IF(D695="","",IFERROR(VLOOKUP(D695,'Product Master'!$B:$G,3,FALSE),""))</f>
        <v/>
      </c>
      <c r="G695" s="51"/>
      <c r="H695" s="52" t="str">
        <f>IF(D695="","",VLOOKUP(D695,'Product Master'!$B:$F,5,FALSE))</f>
        <v/>
      </c>
      <c r="I695" s="52">
        <f>IFERROR(VLOOKUP(D695,'Product Master'!B:E,4,FALSE),0)</f>
        <v>0</v>
      </c>
      <c r="J695" s="53">
        <f>IFERROR(Table3[[#This Row],[QTY SOLD]]*Table3[[#This Row],[Selling Price]],0)</f>
        <v>0</v>
      </c>
      <c r="K695" s="50"/>
      <c r="L695" s="50">
        <f>Table3[[#This Row],[Total Sales]]-Table3[[#This Row],[Discount]]</f>
        <v>0</v>
      </c>
      <c r="M695" s="58">
        <f>Table3[[#This Row],[Net Sales]]-Table3[[#This Row],[Cost Price]]*Table3[[#This Row],[QTY SOLD]]</f>
        <v>0</v>
      </c>
      <c r="N695" s="25"/>
      <c r="O695" s="25"/>
      <c r="P695" s="25"/>
      <c r="Q695" s="25"/>
      <c r="R695" s="25"/>
      <c r="S695" s="25"/>
    </row>
    <row r="696" spans="1:19" x14ac:dyDescent="0.25">
      <c r="A696" s="65"/>
      <c r="B696" s="50"/>
      <c r="C696" s="50"/>
      <c r="D696" s="50"/>
      <c r="E696" s="50" t="str">
        <f>IF(D696="","",VLOOKUP(D696,'Product Master'!$B:$C,2,FALSE))</f>
        <v/>
      </c>
      <c r="F696" s="50" t="str">
        <f>IF(D696="","",IFERROR(VLOOKUP(D696,'Product Master'!$B:$G,3,FALSE),""))</f>
        <v/>
      </c>
      <c r="G696" s="51"/>
      <c r="H696" s="52" t="str">
        <f>IF(D696="","",VLOOKUP(D696,'Product Master'!$B:$F,5,FALSE))</f>
        <v/>
      </c>
      <c r="I696" s="52">
        <f>IFERROR(VLOOKUP(D696,'Product Master'!B:E,4,FALSE),0)</f>
        <v>0</v>
      </c>
      <c r="J696" s="53">
        <f>IFERROR(Table3[[#This Row],[QTY SOLD]]*Table3[[#This Row],[Selling Price]],0)</f>
        <v>0</v>
      </c>
      <c r="K696" s="50"/>
      <c r="L696" s="50">
        <f>Table3[[#This Row],[Total Sales]]-Table3[[#This Row],[Discount]]</f>
        <v>0</v>
      </c>
      <c r="M696" s="58">
        <f>Table3[[#This Row],[Net Sales]]-Table3[[#This Row],[Cost Price]]*Table3[[#This Row],[QTY SOLD]]</f>
        <v>0</v>
      </c>
      <c r="N696" s="25"/>
      <c r="O696" s="25"/>
      <c r="P696" s="25"/>
      <c r="Q696" s="25"/>
      <c r="R696" s="25"/>
      <c r="S696" s="25"/>
    </row>
    <row r="697" spans="1:19" x14ac:dyDescent="0.25">
      <c r="A697" s="65"/>
      <c r="B697" s="50"/>
      <c r="C697" s="50"/>
      <c r="D697" s="50"/>
      <c r="E697" s="50" t="str">
        <f>IF(D697="","",VLOOKUP(D697,'Product Master'!$B:$C,2,FALSE))</f>
        <v/>
      </c>
      <c r="F697" s="50" t="str">
        <f>IF(D697="","",IFERROR(VLOOKUP(D697,'Product Master'!$B:$G,3,FALSE),""))</f>
        <v/>
      </c>
      <c r="G697" s="51"/>
      <c r="H697" s="52" t="str">
        <f>IF(D697="","",VLOOKUP(D697,'Product Master'!$B:$F,5,FALSE))</f>
        <v/>
      </c>
      <c r="I697" s="52">
        <f>IFERROR(VLOOKUP(D697,'Product Master'!B:E,4,FALSE),0)</f>
        <v>0</v>
      </c>
      <c r="J697" s="53">
        <f>IFERROR(Table3[[#This Row],[QTY SOLD]]*Table3[[#This Row],[Selling Price]],0)</f>
        <v>0</v>
      </c>
      <c r="K697" s="50"/>
      <c r="L697" s="50">
        <f>Table3[[#This Row],[Total Sales]]-Table3[[#This Row],[Discount]]</f>
        <v>0</v>
      </c>
      <c r="M697" s="58">
        <f>Table3[[#This Row],[Net Sales]]-Table3[[#This Row],[Cost Price]]*Table3[[#This Row],[QTY SOLD]]</f>
        <v>0</v>
      </c>
      <c r="N697" s="25"/>
      <c r="O697" s="25"/>
      <c r="P697" s="25"/>
      <c r="Q697" s="25"/>
      <c r="R697" s="25"/>
      <c r="S697" s="25"/>
    </row>
    <row r="698" spans="1:19" x14ac:dyDescent="0.25">
      <c r="A698" s="65"/>
      <c r="B698" s="50"/>
      <c r="C698" s="50"/>
      <c r="D698" s="50"/>
      <c r="E698" s="50" t="str">
        <f>IF(D698="","",VLOOKUP(D698,'Product Master'!$B:$C,2,FALSE))</f>
        <v/>
      </c>
      <c r="F698" s="50" t="str">
        <f>IF(D698="","",IFERROR(VLOOKUP(D698,'Product Master'!$B:$G,3,FALSE),""))</f>
        <v/>
      </c>
      <c r="G698" s="51"/>
      <c r="H698" s="52" t="str">
        <f>IF(D698="","",VLOOKUP(D698,'Product Master'!$B:$F,5,FALSE))</f>
        <v/>
      </c>
      <c r="I698" s="52">
        <f>IFERROR(VLOOKUP(D698,'Product Master'!B:E,4,FALSE),0)</f>
        <v>0</v>
      </c>
      <c r="J698" s="53">
        <f>IFERROR(Table3[[#This Row],[QTY SOLD]]*Table3[[#This Row],[Selling Price]],0)</f>
        <v>0</v>
      </c>
      <c r="K698" s="50"/>
      <c r="L698" s="50">
        <f>Table3[[#This Row],[Total Sales]]-Table3[[#This Row],[Discount]]</f>
        <v>0</v>
      </c>
      <c r="M698" s="58">
        <f>Table3[[#This Row],[Net Sales]]-Table3[[#This Row],[Cost Price]]*Table3[[#This Row],[QTY SOLD]]</f>
        <v>0</v>
      </c>
      <c r="N698" s="25"/>
      <c r="O698" s="25"/>
      <c r="P698" s="25"/>
      <c r="Q698" s="25"/>
      <c r="R698" s="25"/>
      <c r="S698" s="25"/>
    </row>
    <row r="699" spans="1:19" x14ac:dyDescent="0.25">
      <c r="A699" s="65"/>
      <c r="B699" s="50"/>
      <c r="C699" s="50"/>
      <c r="D699" s="50"/>
      <c r="E699" s="50" t="str">
        <f>IF(D699="","",VLOOKUP(D699,'Product Master'!$B:$C,2,FALSE))</f>
        <v/>
      </c>
      <c r="F699" s="50" t="str">
        <f>IF(D699="","",IFERROR(VLOOKUP(D699,'Product Master'!$B:$G,3,FALSE),""))</f>
        <v/>
      </c>
      <c r="G699" s="51"/>
      <c r="H699" s="52" t="str">
        <f>IF(D699="","",VLOOKUP(D699,'Product Master'!$B:$F,5,FALSE))</f>
        <v/>
      </c>
      <c r="I699" s="52">
        <f>IFERROR(VLOOKUP(D699,'Product Master'!B:E,4,FALSE),0)</f>
        <v>0</v>
      </c>
      <c r="J699" s="53">
        <f>IFERROR(Table3[[#This Row],[QTY SOLD]]*Table3[[#This Row],[Selling Price]],0)</f>
        <v>0</v>
      </c>
      <c r="K699" s="50"/>
      <c r="L699" s="50">
        <f>Table3[[#This Row],[Total Sales]]-Table3[[#This Row],[Discount]]</f>
        <v>0</v>
      </c>
      <c r="M699" s="58">
        <f>Table3[[#This Row],[Net Sales]]-Table3[[#This Row],[Cost Price]]*Table3[[#This Row],[QTY SOLD]]</f>
        <v>0</v>
      </c>
      <c r="N699" s="25"/>
      <c r="O699" s="25"/>
      <c r="P699" s="25"/>
      <c r="Q699" s="25"/>
      <c r="R699" s="25"/>
      <c r="S699" s="25"/>
    </row>
    <row r="700" spans="1:19" x14ac:dyDescent="0.25">
      <c r="A700" s="65"/>
      <c r="B700" s="50"/>
      <c r="C700" s="50"/>
      <c r="D700" s="50"/>
      <c r="E700" s="50" t="str">
        <f>IF(D700="","",VLOOKUP(D700,'Product Master'!$B:$C,2,FALSE))</f>
        <v/>
      </c>
      <c r="F700" s="50" t="str">
        <f>IF(D700="","",IFERROR(VLOOKUP(D700,'Product Master'!$B:$G,3,FALSE),""))</f>
        <v/>
      </c>
      <c r="G700" s="51"/>
      <c r="H700" s="52" t="str">
        <f>IF(D700="","",VLOOKUP(D700,'Product Master'!$B:$F,5,FALSE))</f>
        <v/>
      </c>
      <c r="I700" s="52">
        <f>IFERROR(VLOOKUP(D700,'Product Master'!B:E,4,FALSE),0)</f>
        <v>0</v>
      </c>
      <c r="J700" s="53">
        <f>IFERROR(Table3[[#This Row],[QTY SOLD]]*Table3[[#This Row],[Selling Price]],0)</f>
        <v>0</v>
      </c>
      <c r="K700" s="50"/>
      <c r="L700" s="50">
        <f>Table3[[#This Row],[Total Sales]]-Table3[[#This Row],[Discount]]</f>
        <v>0</v>
      </c>
      <c r="M700" s="58">
        <f>Table3[[#This Row],[Net Sales]]-Table3[[#This Row],[Cost Price]]*Table3[[#This Row],[QTY SOLD]]</f>
        <v>0</v>
      </c>
      <c r="N700" s="25"/>
      <c r="O700" s="25"/>
      <c r="P700" s="25"/>
      <c r="Q700" s="25"/>
      <c r="R700" s="25"/>
      <c r="S700" s="25"/>
    </row>
    <row r="701" spans="1:19" x14ac:dyDescent="0.25">
      <c r="A701" s="65"/>
      <c r="B701" s="50"/>
      <c r="C701" s="50"/>
      <c r="D701" s="50"/>
      <c r="E701" s="50" t="str">
        <f>IF(D701="","",VLOOKUP(D701,'Product Master'!$B:$C,2,FALSE))</f>
        <v/>
      </c>
      <c r="F701" s="50" t="str">
        <f>IF(D701="","",IFERROR(VLOOKUP(D701,'Product Master'!$B:$G,3,FALSE),""))</f>
        <v/>
      </c>
      <c r="G701" s="51"/>
      <c r="H701" s="52" t="str">
        <f>IF(D701="","",VLOOKUP(D701,'Product Master'!$B:$F,5,FALSE))</f>
        <v/>
      </c>
      <c r="I701" s="52">
        <f>IFERROR(VLOOKUP(D701,'Product Master'!B:E,4,FALSE),0)</f>
        <v>0</v>
      </c>
      <c r="J701" s="53">
        <f>IFERROR(Table3[[#This Row],[QTY SOLD]]*Table3[[#This Row],[Selling Price]],0)</f>
        <v>0</v>
      </c>
      <c r="K701" s="50"/>
      <c r="L701" s="50">
        <f>Table3[[#This Row],[Total Sales]]-Table3[[#This Row],[Discount]]</f>
        <v>0</v>
      </c>
      <c r="M701" s="58">
        <f>Table3[[#This Row],[Net Sales]]-Table3[[#This Row],[Cost Price]]*Table3[[#This Row],[QTY SOLD]]</f>
        <v>0</v>
      </c>
      <c r="N701" s="25"/>
      <c r="O701" s="25"/>
      <c r="P701" s="25"/>
      <c r="Q701" s="25"/>
      <c r="R701" s="25"/>
      <c r="S701" s="25"/>
    </row>
    <row r="702" spans="1:19" x14ac:dyDescent="0.25">
      <c r="A702" s="65"/>
      <c r="B702" s="50"/>
      <c r="C702" s="50"/>
      <c r="D702" s="50"/>
      <c r="E702" s="50" t="str">
        <f>IF(D702="","",VLOOKUP(D702,'Product Master'!$B:$C,2,FALSE))</f>
        <v/>
      </c>
      <c r="F702" s="50" t="str">
        <f>IF(D702="","",IFERROR(VLOOKUP(D702,'Product Master'!$B:$G,3,FALSE),""))</f>
        <v/>
      </c>
      <c r="G702" s="51"/>
      <c r="H702" s="52" t="str">
        <f>IF(D702="","",VLOOKUP(D702,'Product Master'!$B:$F,5,FALSE))</f>
        <v/>
      </c>
      <c r="I702" s="52">
        <f>IFERROR(VLOOKUP(D702,'Product Master'!B:E,4,FALSE),0)</f>
        <v>0</v>
      </c>
      <c r="J702" s="53">
        <f>IFERROR(Table3[[#This Row],[QTY SOLD]]*Table3[[#This Row],[Selling Price]],0)</f>
        <v>0</v>
      </c>
      <c r="K702" s="50"/>
      <c r="L702" s="50">
        <f>Table3[[#This Row],[Total Sales]]-Table3[[#This Row],[Discount]]</f>
        <v>0</v>
      </c>
      <c r="M702" s="58">
        <f>Table3[[#This Row],[Net Sales]]-Table3[[#This Row],[Cost Price]]*Table3[[#This Row],[QTY SOLD]]</f>
        <v>0</v>
      </c>
      <c r="N702" s="25"/>
      <c r="O702" s="25"/>
      <c r="P702" s="25"/>
      <c r="Q702" s="25"/>
      <c r="R702" s="25"/>
      <c r="S702" s="25"/>
    </row>
    <row r="703" spans="1:19" x14ac:dyDescent="0.25">
      <c r="A703" s="65"/>
      <c r="B703" s="50"/>
      <c r="C703" s="50"/>
      <c r="D703" s="50"/>
      <c r="E703" s="50" t="str">
        <f>IF(D703="","",VLOOKUP(D703,'Product Master'!$B:$C,2,FALSE))</f>
        <v/>
      </c>
      <c r="F703" s="50" t="str">
        <f>IF(D703="","",IFERROR(VLOOKUP(D703,'Product Master'!$B:$G,3,FALSE),""))</f>
        <v/>
      </c>
      <c r="G703" s="51"/>
      <c r="H703" s="52" t="str">
        <f>IF(D703="","",VLOOKUP(D703,'Product Master'!$B:$F,5,FALSE))</f>
        <v/>
      </c>
      <c r="I703" s="52">
        <f>IFERROR(VLOOKUP(D703,'Product Master'!B:E,4,FALSE),0)</f>
        <v>0</v>
      </c>
      <c r="J703" s="53">
        <f>IFERROR(Table3[[#This Row],[QTY SOLD]]*Table3[[#This Row],[Selling Price]],0)</f>
        <v>0</v>
      </c>
      <c r="K703" s="50"/>
      <c r="L703" s="50">
        <f>Table3[[#This Row],[Total Sales]]-Table3[[#This Row],[Discount]]</f>
        <v>0</v>
      </c>
      <c r="M703" s="58">
        <f>Table3[[#This Row],[Net Sales]]-Table3[[#This Row],[Cost Price]]*Table3[[#This Row],[QTY SOLD]]</f>
        <v>0</v>
      </c>
      <c r="N703" s="25"/>
      <c r="O703" s="25"/>
      <c r="P703" s="25"/>
      <c r="Q703" s="25"/>
      <c r="R703" s="25"/>
      <c r="S703" s="25"/>
    </row>
    <row r="704" spans="1:19" x14ac:dyDescent="0.25">
      <c r="A704" s="65"/>
      <c r="B704" s="50"/>
      <c r="C704" s="50"/>
      <c r="D704" s="50"/>
      <c r="E704" s="50" t="str">
        <f>IF(D704="","",VLOOKUP(D704,'Product Master'!$B:$C,2,FALSE))</f>
        <v/>
      </c>
      <c r="F704" s="50" t="str">
        <f>IF(D704="","",IFERROR(VLOOKUP(D704,'Product Master'!$B:$G,3,FALSE),""))</f>
        <v/>
      </c>
      <c r="G704" s="51"/>
      <c r="H704" s="52" t="str">
        <f>IF(D704="","",VLOOKUP(D704,'Product Master'!$B:$F,5,FALSE))</f>
        <v/>
      </c>
      <c r="I704" s="52">
        <f>IFERROR(VLOOKUP(D704,'Product Master'!B:E,4,FALSE),0)</f>
        <v>0</v>
      </c>
      <c r="J704" s="53">
        <f>IFERROR(Table3[[#This Row],[QTY SOLD]]*Table3[[#This Row],[Selling Price]],0)</f>
        <v>0</v>
      </c>
      <c r="K704" s="50"/>
      <c r="L704" s="50">
        <f>Table3[[#This Row],[Total Sales]]-Table3[[#This Row],[Discount]]</f>
        <v>0</v>
      </c>
      <c r="M704" s="58">
        <f>Table3[[#This Row],[Net Sales]]-Table3[[#This Row],[Cost Price]]*Table3[[#This Row],[QTY SOLD]]</f>
        <v>0</v>
      </c>
      <c r="N704" s="25"/>
      <c r="O704" s="25"/>
      <c r="P704" s="25"/>
      <c r="Q704" s="25"/>
      <c r="R704" s="25"/>
      <c r="S704" s="25"/>
    </row>
    <row r="705" spans="1:19" x14ac:dyDescent="0.25">
      <c r="A705" s="65"/>
      <c r="B705" s="50"/>
      <c r="C705" s="50"/>
      <c r="D705" s="50"/>
      <c r="E705" s="50" t="str">
        <f>IF(D705="","",VLOOKUP(D705,'Product Master'!$B:$C,2,FALSE))</f>
        <v/>
      </c>
      <c r="F705" s="50" t="str">
        <f>IF(D705="","",IFERROR(VLOOKUP(D705,'Product Master'!$B:$G,3,FALSE),""))</f>
        <v/>
      </c>
      <c r="G705" s="51"/>
      <c r="H705" s="52" t="str">
        <f>IF(D705="","",VLOOKUP(D705,'Product Master'!$B:$F,5,FALSE))</f>
        <v/>
      </c>
      <c r="I705" s="52">
        <f>IFERROR(VLOOKUP(D705,'Product Master'!B:E,4,FALSE),0)</f>
        <v>0</v>
      </c>
      <c r="J705" s="53">
        <f>IFERROR(Table3[[#This Row],[QTY SOLD]]*Table3[[#This Row],[Selling Price]],0)</f>
        <v>0</v>
      </c>
      <c r="K705" s="50"/>
      <c r="L705" s="50">
        <f>Table3[[#This Row],[Total Sales]]-Table3[[#This Row],[Discount]]</f>
        <v>0</v>
      </c>
      <c r="M705" s="58">
        <f>Table3[[#This Row],[Net Sales]]-Table3[[#This Row],[Cost Price]]*Table3[[#This Row],[QTY SOLD]]</f>
        <v>0</v>
      </c>
      <c r="N705" s="25"/>
      <c r="O705" s="25"/>
      <c r="P705" s="25"/>
      <c r="Q705" s="25"/>
      <c r="R705" s="25"/>
      <c r="S705" s="25"/>
    </row>
    <row r="706" spans="1:19" x14ac:dyDescent="0.25">
      <c r="A706" s="65"/>
      <c r="B706" s="50"/>
      <c r="C706" s="50"/>
      <c r="D706" s="50"/>
      <c r="E706" s="50" t="str">
        <f>IF(D706="","",VLOOKUP(D706,'Product Master'!$B:$C,2,FALSE))</f>
        <v/>
      </c>
      <c r="F706" s="50" t="str">
        <f>IF(D706="","",IFERROR(VLOOKUP(D706,'Product Master'!$B:$G,3,FALSE),""))</f>
        <v/>
      </c>
      <c r="G706" s="51"/>
      <c r="H706" s="52" t="str">
        <f>IF(D706="","",VLOOKUP(D706,'Product Master'!$B:$F,5,FALSE))</f>
        <v/>
      </c>
      <c r="I706" s="52">
        <f>IFERROR(VLOOKUP(D706,'Product Master'!B:E,4,FALSE),0)</f>
        <v>0</v>
      </c>
      <c r="J706" s="53">
        <f>IFERROR(Table3[[#This Row],[QTY SOLD]]*Table3[[#This Row],[Selling Price]],0)</f>
        <v>0</v>
      </c>
      <c r="K706" s="50"/>
      <c r="L706" s="50">
        <f>Table3[[#This Row],[Total Sales]]-Table3[[#This Row],[Discount]]</f>
        <v>0</v>
      </c>
      <c r="M706" s="58">
        <f>Table3[[#This Row],[Net Sales]]-Table3[[#This Row],[Cost Price]]*Table3[[#This Row],[QTY SOLD]]</f>
        <v>0</v>
      </c>
      <c r="N706" s="25"/>
      <c r="O706" s="25"/>
      <c r="P706" s="25"/>
      <c r="Q706" s="25"/>
      <c r="R706" s="25"/>
      <c r="S706" s="25"/>
    </row>
    <row r="707" spans="1:19" x14ac:dyDescent="0.25">
      <c r="A707" s="65"/>
      <c r="B707" s="50"/>
      <c r="C707" s="50"/>
      <c r="D707" s="50"/>
      <c r="E707" s="50" t="str">
        <f>IF(D707="","",VLOOKUP(D707,'Product Master'!$B:$C,2,FALSE))</f>
        <v/>
      </c>
      <c r="F707" s="50" t="str">
        <f>IF(D707="","",IFERROR(VLOOKUP(D707,'Product Master'!$B:$G,3,FALSE),""))</f>
        <v/>
      </c>
      <c r="G707" s="51"/>
      <c r="H707" s="52" t="str">
        <f>IF(D707="","",VLOOKUP(D707,'Product Master'!$B:$F,5,FALSE))</f>
        <v/>
      </c>
      <c r="I707" s="52">
        <f>IFERROR(VLOOKUP(D707,'Product Master'!B:E,4,FALSE),0)</f>
        <v>0</v>
      </c>
      <c r="J707" s="53">
        <f>IFERROR(Table3[[#This Row],[QTY SOLD]]*Table3[[#This Row],[Selling Price]],0)</f>
        <v>0</v>
      </c>
      <c r="K707" s="50"/>
      <c r="L707" s="50">
        <f>Table3[[#This Row],[Total Sales]]-Table3[[#This Row],[Discount]]</f>
        <v>0</v>
      </c>
      <c r="M707" s="58">
        <f>Table3[[#This Row],[Net Sales]]-Table3[[#This Row],[Cost Price]]*Table3[[#This Row],[QTY SOLD]]</f>
        <v>0</v>
      </c>
      <c r="N707" s="25"/>
      <c r="O707" s="25"/>
      <c r="P707" s="25"/>
      <c r="Q707" s="25"/>
      <c r="R707" s="25"/>
      <c r="S707" s="25"/>
    </row>
    <row r="708" spans="1:19" x14ac:dyDescent="0.25">
      <c r="A708" s="65"/>
      <c r="B708" s="50"/>
      <c r="C708" s="50"/>
      <c r="D708" s="50"/>
      <c r="E708" s="50" t="str">
        <f>IF(D708="","",VLOOKUP(D708,'Product Master'!$B:$C,2,FALSE))</f>
        <v/>
      </c>
      <c r="F708" s="50" t="str">
        <f>IF(D708="","",IFERROR(VLOOKUP(D708,'Product Master'!$B:$G,3,FALSE),""))</f>
        <v/>
      </c>
      <c r="G708" s="51"/>
      <c r="H708" s="52" t="str">
        <f>IF(D708="","",VLOOKUP(D708,'Product Master'!$B:$F,5,FALSE))</f>
        <v/>
      </c>
      <c r="I708" s="52">
        <f>IFERROR(VLOOKUP(D708,'Product Master'!B:E,4,FALSE),0)</f>
        <v>0</v>
      </c>
      <c r="J708" s="53">
        <f>IFERROR(Table3[[#This Row],[QTY SOLD]]*Table3[[#This Row],[Selling Price]],0)</f>
        <v>0</v>
      </c>
      <c r="K708" s="50"/>
      <c r="L708" s="50">
        <f>Table3[[#This Row],[Total Sales]]-Table3[[#This Row],[Discount]]</f>
        <v>0</v>
      </c>
      <c r="M708" s="58">
        <f>Table3[[#This Row],[Net Sales]]-Table3[[#This Row],[Cost Price]]*Table3[[#This Row],[QTY SOLD]]</f>
        <v>0</v>
      </c>
      <c r="N708" s="25"/>
      <c r="O708" s="25"/>
      <c r="P708" s="25"/>
      <c r="Q708" s="25"/>
      <c r="R708" s="25"/>
      <c r="S708" s="25"/>
    </row>
    <row r="709" spans="1:19" x14ac:dyDescent="0.25">
      <c r="A709" s="65"/>
      <c r="B709" s="50"/>
      <c r="C709" s="50"/>
      <c r="D709" s="50"/>
      <c r="E709" s="50" t="str">
        <f>IF(D709="","",VLOOKUP(D709,'Product Master'!$B:$C,2,FALSE))</f>
        <v/>
      </c>
      <c r="F709" s="50" t="str">
        <f>IF(D709="","",IFERROR(VLOOKUP(D709,'Product Master'!$B:$G,3,FALSE),""))</f>
        <v/>
      </c>
      <c r="G709" s="51"/>
      <c r="H709" s="52" t="str">
        <f>IF(D709="","",VLOOKUP(D709,'Product Master'!$B:$F,5,FALSE))</f>
        <v/>
      </c>
      <c r="I709" s="52">
        <f>IFERROR(VLOOKUP(D709,'Product Master'!B:E,4,FALSE),0)</f>
        <v>0</v>
      </c>
      <c r="J709" s="53">
        <f>IFERROR(Table3[[#This Row],[QTY SOLD]]*Table3[[#This Row],[Selling Price]],0)</f>
        <v>0</v>
      </c>
      <c r="K709" s="50"/>
      <c r="L709" s="50">
        <f>Table3[[#This Row],[Total Sales]]-Table3[[#This Row],[Discount]]</f>
        <v>0</v>
      </c>
      <c r="M709" s="58">
        <f>Table3[[#This Row],[Net Sales]]-Table3[[#This Row],[Cost Price]]*Table3[[#This Row],[QTY SOLD]]</f>
        <v>0</v>
      </c>
      <c r="N709" s="25"/>
      <c r="O709" s="25"/>
      <c r="P709" s="25"/>
      <c r="Q709" s="25"/>
      <c r="R709" s="25"/>
      <c r="S709" s="25"/>
    </row>
    <row r="710" spans="1:19" x14ac:dyDescent="0.25">
      <c r="A710" s="65"/>
      <c r="B710" s="50"/>
      <c r="C710" s="50"/>
      <c r="D710" s="50"/>
      <c r="E710" s="50" t="str">
        <f>IF(D710="","",VLOOKUP(D710,'Product Master'!$B:$C,2,FALSE))</f>
        <v/>
      </c>
      <c r="F710" s="50" t="str">
        <f>IF(D710="","",IFERROR(VLOOKUP(D710,'Product Master'!$B:$G,3,FALSE),""))</f>
        <v/>
      </c>
      <c r="G710" s="51"/>
      <c r="H710" s="52" t="str">
        <f>IF(D710="","",VLOOKUP(D710,'Product Master'!$B:$F,5,FALSE))</f>
        <v/>
      </c>
      <c r="I710" s="52">
        <f>IFERROR(VLOOKUP(D710,'Product Master'!B:E,4,FALSE),0)</f>
        <v>0</v>
      </c>
      <c r="J710" s="53">
        <f>IFERROR(Table3[[#This Row],[QTY SOLD]]*Table3[[#This Row],[Selling Price]],0)</f>
        <v>0</v>
      </c>
      <c r="K710" s="50"/>
      <c r="L710" s="50">
        <f>Table3[[#This Row],[Total Sales]]-Table3[[#This Row],[Discount]]</f>
        <v>0</v>
      </c>
      <c r="M710" s="58">
        <f>Table3[[#This Row],[Net Sales]]-Table3[[#This Row],[Cost Price]]*Table3[[#This Row],[QTY SOLD]]</f>
        <v>0</v>
      </c>
      <c r="N710" s="25"/>
      <c r="O710" s="25"/>
      <c r="P710" s="25"/>
      <c r="Q710" s="25"/>
      <c r="R710" s="25"/>
      <c r="S710" s="25"/>
    </row>
    <row r="711" spans="1:19" x14ac:dyDescent="0.25">
      <c r="A711" s="65"/>
      <c r="B711" s="50"/>
      <c r="C711" s="50"/>
      <c r="D711" s="50"/>
      <c r="E711" s="50" t="str">
        <f>IF(D711="","",VLOOKUP(D711,'Product Master'!$B:$C,2,FALSE))</f>
        <v/>
      </c>
      <c r="F711" s="50" t="str">
        <f>IF(D711="","",IFERROR(VLOOKUP(D711,'Product Master'!$B:$G,3,FALSE),""))</f>
        <v/>
      </c>
      <c r="G711" s="51"/>
      <c r="H711" s="52" t="str">
        <f>IF(D711="","",VLOOKUP(D711,'Product Master'!$B:$F,5,FALSE))</f>
        <v/>
      </c>
      <c r="I711" s="52">
        <f>IFERROR(VLOOKUP(D711,'Product Master'!B:E,4,FALSE),0)</f>
        <v>0</v>
      </c>
      <c r="J711" s="53">
        <f>IFERROR(Table3[[#This Row],[QTY SOLD]]*Table3[[#This Row],[Selling Price]],0)</f>
        <v>0</v>
      </c>
      <c r="K711" s="50"/>
      <c r="L711" s="50">
        <f>Table3[[#This Row],[Total Sales]]-Table3[[#This Row],[Discount]]</f>
        <v>0</v>
      </c>
      <c r="M711" s="58">
        <f>Table3[[#This Row],[Net Sales]]-Table3[[#This Row],[Cost Price]]*Table3[[#This Row],[QTY SOLD]]</f>
        <v>0</v>
      </c>
      <c r="N711" s="25"/>
      <c r="O711" s="25"/>
      <c r="P711" s="25"/>
      <c r="Q711" s="25"/>
      <c r="R711" s="25"/>
      <c r="S711" s="25"/>
    </row>
    <row r="712" spans="1:19" x14ac:dyDescent="0.25">
      <c r="A712" s="65"/>
      <c r="B712" s="50"/>
      <c r="C712" s="50"/>
      <c r="D712" s="50"/>
      <c r="E712" s="50" t="str">
        <f>IF(D712="","",VLOOKUP(D712,'Product Master'!$B:$C,2,FALSE))</f>
        <v/>
      </c>
      <c r="F712" s="50" t="str">
        <f>IF(D712="","",IFERROR(VLOOKUP(D712,'Product Master'!$B:$G,3,FALSE),""))</f>
        <v/>
      </c>
      <c r="G712" s="51"/>
      <c r="H712" s="52" t="str">
        <f>IF(D712="","",VLOOKUP(D712,'Product Master'!$B:$F,5,FALSE))</f>
        <v/>
      </c>
      <c r="I712" s="52">
        <f>IFERROR(VLOOKUP(D712,'Product Master'!B:E,4,FALSE),0)</f>
        <v>0</v>
      </c>
      <c r="J712" s="53">
        <f>IFERROR(Table3[[#This Row],[QTY SOLD]]*Table3[[#This Row],[Selling Price]],0)</f>
        <v>0</v>
      </c>
      <c r="K712" s="50"/>
      <c r="L712" s="50">
        <f>Table3[[#This Row],[Total Sales]]-Table3[[#This Row],[Discount]]</f>
        <v>0</v>
      </c>
      <c r="M712" s="58">
        <f>Table3[[#This Row],[Net Sales]]-Table3[[#This Row],[Cost Price]]*Table3[[#This Row],[QTY SOLD]]</f>
        <v>0</v>
      </c>
      <c r="N712" s="25"/>
      <c r="O712" s="25"/>
      <c r="P712" s="25"/>
      <c r="Q712" s="25"/>
      <c r="R712" s="25"/>
      <c r="S712" s="25"/>
    </row>
    <row r="713" spans="1:19" x14ac:dyDescent="0.25">
      <c r="A713" s="65"/>
      <c r="B713" s="50"/>
      <c r="C713" s="50"/>
      <c r="D713" s="50"/>
      <c r="E713" s="50" t="str">
        <f>IF(D713="","",VLOOKUP(D713,'Product Master'!$B:$C,2,FALSE))</f>
        <v/>
      </c>
      <c r="F713" s="50" t="str">
        <f>IF(D713="","",IFERROR(VLOOKUP(D713,'Product Master'!$B:$G,3,FALSE),""))</f>
        <v/>
      </c>
      <c r="G713" s="51"/>
      <c r="H713" s="52" t="str">
        <f>IF(D713="","",VLOOKUP(D713,'Product Master'!$B:$F,5,FALSE))</f>
        <v/>
      </c>
      <c r="I713" s="52">
        <f>IFERROR(VLOOKUP(D713,'Product Master'!B:E,4,FALSE),0)</f>
        <v>0</v>
      </c>
      <c r="J713" s="53">
        <f>IFERROR(Table3[[#This Row],[QTY SOLD]]*Table3[[#This Row],[Selling Price]],0)</f>
        <v>0</v>
      </c>
      <c r="K713" s="50"/>
      <c r="L713" s="50">
        <f>Table3[[#This Row],[Total Sales]]-Table3[[#This Row],[Discount]]</f>
        <v>0</v>
      </c>
      <c r="M713" s="58">
        <f>Table3[[#This Row],[Net Sales]]-Table3[[#This Row],[Cost Price]]*Table3[[#This Row],[QTY SOLD]]</f>
        <v>0</v>
      </c>
      <c r="N713" s="25"/>
      <c r="O713" s="25"/>
      <c r="P713" s="25"/>
      <c r="Q713" s="25"/>
      <c r="R713" s="25"/>
      <c r="S713" s="25"/>
    </row>
    <row r="714" spans="1:19" x14ac:dyDescent="0.25">
      <c r="A714" s="65"/>
      <c r="B714" s="50"/>
      <c r="C714" s="50"/>
      <c r="D714" s="50"/>
      <c r="E714" s="50" t="str">
        <f>IF(D714="","",VLOOKUP(D714,'Product Master'!$B:$C,2,FALSE))</f>
        <v/>
      </c>
      <c r="F714" s="50" t="str">
        <f>IF(D714="","",IFERROR(VLOOKUP(D714,'Product Master'!$B:$G,3,FALSE),""))</f>
        <v/>
      </c>
      <c r="G714" s="51"/>
      <c r="H714" s="52" t="str">
        <f>IF(D714="","",VLOOKUP(D714,'Product Master'!$B:$F,5,FALSE))</f>
        <v/>
      </c>
      <c r="I714" s="52">
        <f>IFERROR(VLOOKUP(D714,'Product Master'!B:E,4,FALSE),0)</f>
        <v>0</v>
      </c>
      <c r="J714" s="53">
        <f>IFERROR(Table3[[#This Row],[QTY SOLD]]*Table3[[#This Row],[Selling Price]],0)</f>
        <v>0</v>
      </c>
      <c r="K714" s="50"/>
      <c r="L714" s="50">
        <f>Table3[[#This Row],[Total Sales]]-Table3[[#This Row],[Discount]]</f>
        <v>0</v>
      </c>
      <c r="M714" s="58">
        <f>Table3[[#This Row],[Net Sales]]-Table3[[#This Row],[Cost Price]]*Table3[[#This Row],[QTY SOLD]]</f>
        <v>0</v>
      </c>
      <c r="N714" s="25"/>
      <c r="O714" s="25"/>
      <c r="P714" s="25"/>
      <c r="Q714" s="25"/>
      <c r="R714" s="25"/>
      <c r="S714" s="25"/>
    </row>
    <row r="715" spans="1:19" x14ac:dyDescent="0.25">
      <c r="A715" s="65"/>
      <c r="B715" s="50"/>
      <c r="C715" s="50"/>
      <c r="D715" s="50"/>
      <c r="E715" s="50" t="str">
        <f>IF(D715="","",VLOOKUP(D715,'Product Master'!$B:$C,2,FALSE))</f>
        <v/>
      </c>
      <c r="F715" s="50" t="str">
        <f>IF(D715="","",IFERROR(VLOOKUP(D715,'Product Master'!$B:$G,3,FALSE),""))</f>
        <v/>
      </c>
      <c r="G715" s="51"/>
      <c r="H715" s="52" t="str">
        <f>IF(D715="","",VLOOKUP(D715,'Product Master'!$B:$F,5,FALSE))</f>
        <v/>
      </c>
      <c r="I715" s="52">
        <f>IFERROR(VLOOKUP(D715,'Product Master'!B:E,4,FALSE),0)</f>
        <v>0</v>
      </c>
      <c r="J715" s="53">
        <f>IFERROR(Table3[[#This Row],[QTY SOLD]]*Table3[[#This Row],[Selling Price]],0)</f>
        <v>0</v>
      </c>
      <c r="K715" s="50"/>
      <c r="L715" s="50">
        <f>Table3[[#This Row],[Total Sales]]-Table3[[#This Row],[Discount]]</f>
        <v>0</v>
      </c>
      <c r="M715" s="58">
        <f>Table3[[#This Row],[Net Sales]]-Table3[[#This Row],[Cost Price]]*Table3[[#This Row],[QTY SOLD]]</f>
        <v>0</v>
      </c>
      <c r="N715" s="25"/>
      <c r="O715" s="25"/>
      <c r="P715" s="25"/>
      <c r="Q715" s="25"/>
      <c r="R715" s="25"/>
      <c r="S715" s="25"/>
    </row>
    <row r="716" spans="1:19" x14ac:dyDescent="0.25">
      <c r="A716" s="65"/>
      <c r="B716" s="50"/>
      <c r="C716" s="50"/>
      <c r="D716" s="50"/>
      <c r="E716" s="50" t="str">
        <f>IF(D716="","",VLOOKUP(D716,'Product Master'!$B:$C,2,FALSE))</f>
        <v/>
      </c>
      <c r="F716" s="50" t="str">
        <f>IF(D716="","",IFERROR(VLOOKUP(D716,'Product Master'!$B:$G,3,FALSE),""))</f>
        <v/>
      </c>
      <c r="G716" s="51"/>
      <c r="H716" s="52" t="str">
        <f>IF(D716="","",VLOOKUP(D716,'Product Master'!$B:$F,5,FALSE))</f>
        <v/>
      </c>
      <c r="I716" s="52">
        <f>IFERROR(VLOOKUP(D716,'Product Master'!B:E,4,FALSE),0)</f>
        <v>0</v>
      </c>
      <c r="J716" s="53">
        <f>IFERROR(Table3[[#This Row],[QTY SOLD]]*Table3[[#This Row],[Selling Price]],0)</f>
        <v>0</v>
      </c>
      <c r="K716" s="50"/>
      <c r="L716" s="50">
        <f>Table3[[#This Row],[Total Sales]]-Table3[[#This Row],[Discount]]</f>
        <v>0</v>
      </c>
      <c r="M716" s="58">
        <f>Table3[[#This Row],[Net Sales]]-Table3[[#This Row],[Cost Price]]*Table3[[#This Row],[QTY SOLD]]</f>
        <v>0</v>
      </c>
      <c r="N716" s="25"/>
      <c r="O716" s="25"/>
      <c r="P716" s="25"/>
      <c r="Q716" s="25"/>
      <c r="R716" s="25"/>
      <c r="S716" s="25"/>
    </row>
    <row r="717" spans="1:19" x14ac:dyDescent="0.25">
      <c r="A717" s="65"/>
      <c r="B717" s="50"/>
      <c r="C717" s="50"/>
      <c r="D717" s="50"/>
      <c r="E717" s="50" t="str">
        <f>IF(D717="","",VLOOKUP(D717,'Product Master'!$B:$C,2,FALSE))</f>
        <v/>
      </c>
      <c r="F717" s="50" t="str">
        <f>IF(D717="","",IFERROR(VLOOKUP(D717,'Product Master'!$B:$G,3,FALSE),""))</f>
        <v/>
      </c>
      <c r="G717" s="51"/>
      <c r="H717" s="52" t="str">
        <f>IF(D717="","",VLOOKUP(D717,'Product Master'!$B:$F,5,FALSE))</f>
        <v/>
      </c>
      <c r="I717" s="52">
        <f>IFERROR(VLOOKUP(D717,'Product Master'!B:E,4,FALSE),0)</f>
        <v>0</v>
      </c>
      <c r="J717" s="53">
        <f>IFERROR(Table3[[#This Row],[QTY SOLD]]*Table3[[#This Row],[Selling Price]],0)</f>
        <v>0</v>
      </c>
      <c r="K717" s="50"/>
      <c r="L717" s="50">
        <f>Table3[[#This Row],[Total Sales]]-Table3[[#This Row],[Discount]]</f>
        <v>0</v>
      </c>
      <c r="M717" s="58">
        <f>Table3[[#This Row],[Net Sales]]-Table3[[#This Row],[Cost Price]]*Table3[[#This Row],[QTY SOLD]]</f>
        <v>0</v>
      </c>
      <c r="N717" s="25"/>
      <c r="O717" s="25"/>
      <c r="P717" s="25"/>
      <c r="Q717" s="25"/>
      <c r="R717" s="25"/>
      <c r="S717" s="25"/>
    </row>
    <row r="718" spans="1:19" x14ac:dyDescent="0.25">
      <c r="A718" s="65"/>
      <c r="B718" s="50"/>
      <c r="C718" s="50"/>
      <c r="D718" s="50"/>
      <c r="E718" s="50" t="str">
        <f>IF(D718="","",VLOOKUP(D718,'Product Master'!$B:$C,2,FALSE))</f>
        <v/>
      </c>
      <c r="F718" s="50" t="str">
        <f>IF(D718="","",IFERROR(VLOOKUP(D718,'Product Master'!$B:$G,3,FALSE),""))</f>
        <v/>
      </c>
      <c r="G718" s="51"/>
      <c r="H718" s="52" t="str">
        <f>IF(D718="","",VLOOKUP(D718,'Product Master'!$B:$F,5,FALSE))</f>
        <v/>
      </c>
      <c r="I718" s="52">
        <f>IFERROR(VLOOKUP(D718,'Product Master'!B:E,4,FALSE),0)</f>
        <v>0</v>
      </c>
      <c r="J718" s="53">
        <f>IFERROR(Table3[[#This Row],[QTY SOLD]]*Table3[[#This Row],[Selling Price]],0)</f>
        <v>0</v>
      </c>
      <c r="K718" s="50"/>
      <c r="L718" s="50">
        <f>Table3[[#This Row],[Total Sales]]-Table3[[#This Row],[Discount]]</f>
        <v>0</v>
      </c>
      <c r="M718" s="58">
        <f>Table3[[#This Row],[Net Sales]]-Table3[[#This Row],[Cost Price]]*Table3[[#This Row],[QTY SOLD]]</f>
        <v>0</v>
      </c>
      <c r="N718" s="25"/>
      <c r="O718" s="25"/>
      <c r="P718" s="25"/>
      <c r="Q718" s="25"/>
      <c r="R718" s="25"/>
      <c r="S718" s="25"/>
    </row>
    <row r="719" spans="1:19" x14ac:dyDescent="0.25">
      <c r="A719" s="65"/>
      <c r="B719" s="50"/>
      <c r="C719" s="50"/>
      <c r="D719" s="50"/>
      <c r="E719" s="50" t="str">
        <f>IF(D719="","",VLOOKUP(D719,'Product Master'!$B:$C,2,FALSE))</f>
        <v/>
      </c>
      <c r="F719" s="50" t="str">
        <f>IF(D719="","",IFERROR(VLOOKUP(D719,'Product Master'!$B:$G,3,FALSE),""))</f>
        <v/>
      </c>
      <c r="G719" s="51"/>
      <c r="H719" s="52" t="str">
        <f>IF(D719="","",VLOOKUP(D719,'Product Master'!$B:$F,5,FALSE))</f>
        <v/>
      </c>
      <c r="I719" s="52">
        <f>IFERROR(VLOOKUP(D719,'Product Master'!B:E,4,FALSE),0)</f>
        <v>0</v>
      </c>
      <c r="J719" s="53">
        <f>IFERROR(Table3[[#This Row],[QTY SOLD]]*Table3[[#This Row],[Selling Price]],0)</f>
        <v>0</v>
      </c>
      <c r="K719" s="50"/>
      <c r="L719" s="50">
        <f>Table3[[#This Row],[Total Sales]]-Table3[[#This Row],[Discount]]</f>
        <v>0</v>
      </c>
      <c r="M719" s="58">
        <f>Table3[[#This Row],[Net Sales]]-Table3[[#This Row],[Cost Price]]*Table3[[#This Row],[QTY SOLD]]</f>
        <v>0</v>
      </c>
      <c r="N719" s="25"/>
      <c r="O719" s="25"/>
      <c r="P719" s="25"/>
      <c r="Q719" s="25"/>
      <c r="R719" s="25"/>
      <c r="S719" s="25"/>
    </row>
    <row r="720" spans="1:19" x14ac:dyDescent="0.25">
      <c r="A720" s="65"/>
      <c r="B720" s="50"/>
      <c r="C720" s="50"/>
      <c r="D720" s="50"/>
      <c r="E720" s="50" t="str">
        <f>IF(D720="","",VLOOKUP(D720,'Product Master'!$B:$C,2,FALSE))</f>
        <v/>
      </c>
      <c r="F720" s="50" t="str">
        <f>IF(D720="","",IFERROR(VLOOKUP(D720,'Product Master'!$B:$G,3,FALSE),""))</f>
        <v/>
      </c>
      <c r="G720" s="51"/>
      <c r="H720" s="52" t="str">
        <f>IF(D720="","",VLOOKUP(D720,'Product Master'!$B:$F,5,FALSE))</f>
        <v/>
      </c>
      <c r="I720" s="52">
        <f>IFERROR(VLOOKUP(D720,'Product Master'!B:E,4,FALSE),0)</f>
        <v>0</v>
      </c>
      <c r="J720" s="53">
        <f>IFERROR(Table3[[#This Row],[QTY SOLD]]*Table3[[#This Row],[Selling Price]],0)</f>
        <v>0</v>
      </c>
      <c r="K720" s="50"/>
      <c r="L720" s="50">
        <f>Table3[[#This Row],[Total Sales]]-Table3[[#This Row],[Discount]]</f>
        <v>0</v>
      </c>
      <c r="M720" s="58">
        <f>Table3[[#This Row],[Net Sales]]-Table3[[#This Row],[Cost Price]]*Table3[[#This Row],[QTY SOLD]]</f>
        <v>0</v>
      </c>
      <c r="N720" s="25"/>
      <c r="O720" s="25"/>
      <c r="P720" s="25"/>
      <c r="Q720" s="25"/>
      <c r="R720" s="25"/>
      <c r="S720" s="25"/>
    </row>
    <row r="721" spans="1:19" x14ac:dyDescent="0.25">
      <c r="A721" s="65"/>
      <c r="B721" s="50"/>
      <c r="C721" s="50"/>
      <c r="D721" s="50"/>
      <c r="E721" s="50" t="str">
        <f>IF(D721="","",VLOOKUP(D721,'Product Master'!$B:$C,2,FALSE))</f>
        <v/>
      </c>
      <c r="F721" s="50" t="str">
        <f>IF(D721="","",IFERROR(VLOOKUP(D721,'Product Master'!$B:$G,3,FALSE),""))</f>
        <v/>
      </c>
      <c r="G721" s="51"/>
      <c r="H721" s="52" t="str">
        <f>IF(D721="","",VLOOKUP(D721,'Product Master'!$B:$F,5,FALSE))</f>
        <v/>
      </c>
      <c r="I721" s="52">
        <f>IFERROR(VLOOKUP(D721,'Product Master'!B:E,4,FALSE),0)</f>
        <v>0</v>
      </c>
      <c r="J721" s="53">
        <f>IFERROR(Table3[[#This Row],[QTY SOLD]]*Table3[[#This Row],[Selling Price]],0)</f>
        <v>0</v>
      </c>
      <c r="K721" s="50"/>
      <c r="L721" s="50">
        <f>Table3[[#This Row],[Total Sales]]-Table3[[#This Row],[Discount]]</f>
        <v>0</v>
      </c>
      <c r="M721" s="58">
        <f>Table3[[#This Row],[Net Sales]]-Table3[[#This Row],[Cost Price]]*Table3[[#This Row],[QTY SOLD]]</f>
        <v>0</v>
      </c>
      <c r="N721" s="25"/>
      <c r="O721" s="25"/>
      <c r="P721" s="25"/>
      <c r="Q721" s="25"/>
      <c r="R721" s="25"/>
      <c r="S721" s="25"/>
    </row>
    <row r="722" spans="1:19" x14ac:dyDescent="0.25">
      <c r="A722" s="65"/>
      <c r="B722" s="50"/>
      <c r="C722" s="50"/>
      <c r="D722" s="50"/>
      <c r="E722" s="50" t="str">
        <f>IF(D722="","",VLOOKUP(D722,'Product Master'!$B:$C,2,FALSE))</f>
        <v/>
      </c>
      <c r="F722" s="50" t="str">
        <f>IF(D722="","",IFERROR(VLOOKUP(D722,'Product Master'!$B:$G,3,FALSE),""))</f>
        <v/>
      </c>
      <c r="G722" s="51"/>
      <c r="H722" s="52" t="str">
        <f>IF(D722="","",VLOOKUP(D722,'Product Master'!$B:$F,5,FALSE))</f>
        <v/>
      </c>
      <c r="I722" s="52">
        <f>IFERROR(VLOOKUP(D722,'Product Master'!B:E,4,FALSE),0)</f>
        <v>0</v>
      </c>
      <c r="J722" s="53">
        <f>IFERROR(Table3[[#This Row],[QTY SOLD]]*Table3[[#This Row],[Selling Price]],0)</f>
        <v>0</v>
      </c>
      <c r="K722" s="50"/>
      <c r="L722" s="50">
        <f>Table3[[#This Row],[Total Sales]]-Table3[[#This Row],[Discount]]</f>
        <v>0</v>
      </c>
      <c r="M722" s="58">
        <f>Table3[[#This Row],[Net Sales]]-Table3[[#This Row],[Cost Price]]*Table3[[#This Row],[QTY SOLD]]</f>
        <v>0</v>
      </c>
      <c r="N722" s="25"/>
      <c r="O722" s="25"/>
      <c r="P722" s="25"/>
      <c r="Q722" s="25"/>
      <c r="R722" s="25"/>
      <c r="S722" s="25"/>
    </row>
    <row r="723" spans="1:19" x14ac:dyDescent="0.25">
      <c r="A723" s="65"/>
      <c r="B723" s="50"/>
      <c r="C723" s="50"/>
      <c r="D723" s="50"/>
      <c r="E723" s="50" t="str">
        <f>IF(D723="","",VLOOKUP(D723,'Product Master'!$B:$C,2,FALSE))</f>
        <v/>
      </c>
      <c r="F723" s="50" t="str">
        <f>IF(D723="","",IFERROR(VLOOKUP(D723,'Product Master'!$B:$G,3,FALSE),""))</f>
        <v/>
      </c>
      <c r="G723" s="51"/>
      <c r="H723" s="52" t="str">
        <f>IF(D723="","",VLOOKUP(D723,'Product Master'!$B:$F,5,FALSE))</f>
        <v/>
      </c>
      <c r="I723" s="52">
        <f>IFERROR(VLOOKUP(D723,'Product Master'!B:E,4,FALSE),0)</f>
        <v>0</v>
      </c>
      <c r="J723" s="53">
        <f>IFERROR(Table3[[#This Row],[QTY SOLD]]*Table3[[#This Row],[Selling Price]],0)</f>
        <v>0</v>
      </c>
      <c r="K723" s="50"/>
      <c r="L723" s="50">
        <f>Table3[[#This Row],[Total Sales]]-Table3[[#This Row],[Discount]]</f>
        <v>0</v>
      </c>
      <c r="M723" s="58">
        <f>Table3[[#This Row],[Net Sales]]-Table3[[#This Row],[Cost Price]]*Table3[[#This Row],[QTY SOLD]]</f>
        <v>0</v>
      </c>
      <c r="N723" s="25"/>
      <c r="O723" s="25"/>
      <c r="P723" s="25"/>
      <c r="Q723" s="25"/>
      <c r="R723" s="25"/>
      <c r="S723" s="25"/>
    </row>
    <row r="724" spans="1:19" x14ac:dyDescent="0.25">
      <c r="A724" s="65"/>
      <c r="B724" s="50"/>
      <c r="C724" s="50"/>
      <c r="D724" s="50"/>
      <c r="E724" s="50" t="str">
        <f>IF(D724="","",VLOOKUP(D724,'Product Master'!$B:$C,2,FALSE))</f>
        <v/>
      </c>
      <c r="F724" s="50" t="str">
        <f>IF(D724="","",IFERROR(VLOOKUP(D724,'Product Master'!$B:$G,3,FALSE),""))</f>
        <v/>
      </c>
      <c r="G724" s="51"/>
      <c r="H724" s="52" t="str">
        <f>IF(D724="","",VLOOKUP(D724,'Product Master'!$B:$F,5,FALSE))</f>
        <v/>
      </c>
      <c r="I724" s="52">
        <f>IFERROR(VLOOKUP(D724,'Product Master'!B:E,4,FALSE),0)</f>
        <v>0</v>
      </c>
      <c r="J724" s="53">
        <f>IFERROR(Table3[[#This Row],[QTY SOLD]]*Table3[[#This Row],[Selling Price]],0)</f>
        <v>0</v>
      </c>
      <c r="K724" s="50"/>
      <c r="L724" s="50">
        <f>Table3[[#This Row],[Total Sales]]-Table3[[#This Row],[Discount]]</f>
        <v>0</v>
      </c>
      <c r="M724" s="58">
        <f>Table3[[#This Row],[Net Sales]]-Table3[[#This Row],[Cost Price]]*Table3[[#This Row],[QTY SOLD]]</f>
        <v>0</v>
      </c>
      <c r="N724" s="25"/>
      <c r="O724" s="25"/>
      <c r="P724" s="25"/>
      <c r="Q724" s="25"/>
      <c r="R724" s="25"/>
      <c r="S724" s="25"/>
    </row>
    <row r="725" spans="1:19" x14ac:dyDescent="0.25">
      <c r="A725" s="65"/>
      <c r="B725" s="50"/>
      <c r="C725" s="50"/>
      <c r="D725" s="50"/>
      <c r="E725" s="50" t="str">
        <f>IF(D725="","",VLOOKUP(D725,'Product Master'!$B:$C,2,FALSE))</f>
        <v/>
      </c>
      <c r="F725" s="50" t="str">
        <f>IF(D725="","",IFERROR(VLOOKUP(D725,'Product Master'!$B:$G,3,FALSE),""))</f>
        <v/>
      </c>
      <c r="G725" s="51"/>
      <c r="H725" s="52" t="str">
        <f>IF(D725="","",VLOOKUP(D725,'Product Master'!$B:$F,5,FALSE))</f>
        <v/>
      </c>
      <c r="I725" s="52">
        <f>IFERROR(VLOOKUP(D725,'Product Master'!B:E,4,FALSE),0)</f>
        <v>0</v>
      </c>
      <c r="J725" s="53">
        <f>IFERROR(Table3[[#This Row],[QTY SOLD]]*Table3[[#This Row],[Selling Price]],0)</f>
        <v>0</v>
      </c>
      <c r="K725" s="50"/>
      <c r="L725" s="50">
        <f>Table3[[#This Row],[Total Sales]]-Table3[[#This Row],[Discount]]</f>
        <v>0</v>
      </c>
      <c r="M725" s="58">
        <f>Table3[[#This Row],[Net Sales]]-Table3[[#This Row],[Cost Price]]*Table3[[#This Row],[QTY SOLD]]</f>
        <v>0</v>
      </c>
      <c r="N725" s="25"/>
      <c r="O725" s="25"/>
      <c r="P725" s="25"/>
      <c r="Q725" s="25"/>
      <c r="R725" s="25"/>
      <c r="S725" s="25"/>
    </row>
    <row r="726" spans="1:19" x14ac:dyDescent="0.25">
      <c r="A726" s="65"/>
      <c r="B726" s="50"/>
      <c r="C726" s="50"/>
      <c r="D726" s="50"/>
      <c r="E726" s="50" t="str">
        <f>IF(D726="","",VLOOKUP(D726,'Product Master'!$B:$C,2,FALSE))</f>
        <v/>
      </c>
      <c r="F726" s="50" t="str">
        <f>IF(D726="","",IFERROR(VLOOKUP(D726,'Product Master'!$B:$G,3,FALSE),""))</f>
        <v/>
      </c>
      <c r="G726" s="51"/>
      <c r="H726" s="52" t="str">
        <f>IF(D726="","",VLOOKUP(D726,'Product Master'!$B:$F,5,FALSE))</f>
        <v/>
      </c>
      <c r="I726" s="52">
        <f>IFERROR(VLOOKUP(D726,'Product Master'!B:E,4,FALSE),0)</f>
        <v>0</v>
      </c>
      <c r="J726" s="53">
        <f>IFERROR(Table3[[#This Row],[QTY SOLD]]*Table3[[#This Row],[Selling Price]],0)</f>
        <v>0</v>
      </c>
      <c r="K726" s="50"/>
      <c r="L726" s="50">
        <f>Table3[[#This Row],[Total Sales]]-Table3[[#This Row],[Discount]]</f>
        <v>0</v>
      </c>
      <c r="M726" s="58">
        <f>Table3[[#This Row],[Net Sales]]-Table3[[#This Row],[Cost Price]]*Table3[[#This Row],[QTY SOLD]]</f>
        <v>0</v>
      </c>
      <c r="N726" s="25"/>
      <c r="O726" s="25"/>
      <c r="P726" s="25"/>
      <c r="Q726" s="25"/>
      <c r="R726" s="25"/>
      <c r="S726" s="25"/>
    </row>
    <row r="727" spans="1:19" x14ac:dyDescent="0.25">
      <c r="A727" s="65"/>
      <c r="B727" s="50"/>
      <c r="C727" s="50"/>
      <c r="D727" s="50"/>
      <c r="E727" s="50" t="str">
        <f>IF(D727="","",VLOOKUP(D727,'Product Master'!$B:$C,2,FALSE))</f>
        <v/>
      </c>
      <c r="F727" s="50" t="str">
        <f>IF(D727="","",IFERROR(VLOOKUP(D727,'Product Master'!$B:$G,3,FALSE),""))</f>
        <v/>
      </c>
      <c r="G727" s="51"/>
      <c r="H727" s="52" t="str">
        <f>IF(D727="","",VLOOKUP(D727,'Product Master'!$B:$F,5,FALSE))</f>
        <v/>
      </c>
      <c r="I727" s="52">
        <f>IFERROR(VLOOKUP(D727,'Product Master'!B:E,4,FALSE),0)</f>
        <v>0</v>
      </c>
      <c r="J727" s="53">
        <f>IFERROR(Table3[[#This Row],[QTY SOLD]]*Table3[[#This Row],[Selling Price]],0)</f>
        <v>0</v>
      </c>
      <c r="K727" s="50"/>
      <c r="L727" s="50">
        <f>Table3[[#This Row],[Total Sales]]-Table3[[#This Row],[Discount]]</f>
        <v>0</v>
      </c>
      <c r="M727" s="58">
        <f>Table3[[#This Row],[Net Sales]]-Table3[[#This Row],[Cost Price]]*Table3[[#This Row],[QTY SOLD]]</f>
        <v>0</v>
      </c>
      <c r="N727" s="25"/>
      <c r="O727" s="25"/>
      <c r="P727" s="25"/>
      <c r="Q727" s="25"/>
      <c r="R727" s="25"/>
      <c r="S727" s="25"/>
    </row>
    <row r="728" spans="1:19" x14ac:dyDescent="0.25">
      <c r="A728" s="65"/>
      <c r="B728" s="50"/>
      <c r="C728" s="50"/>
      <c r="D728" s="50"/>
      <c r="E728" s="50" t="str">
        <f>IF(D728="","",VLOOKUP(D728,'Product Master'!$B:$C,2,FALSE))</f>
        <v/>
      </c>
      <c r="F728" s="50" t="str">
        <f>IF(D728="","",IFERROR(VLOOKUP(D728,'Product Master'!$B:$G,3,FALSE),""))</f>
        <v/>
      </c>
      <c r="G728" s="51"/>
      <c r="H728" s="52" t="str">
        <f>IF(D728="","",VLOOKUP(D728,'Product Master'!$B:$F,5,FALSE))</f>
        <v/>
      </c>
      <c r="I728" s="52">
        <f>IFERROR(VLOOKUP(D728,'Product Master'!B:E,4,FALSE),0)</f>
        <v>0</v>
      </c>
      <c r="J728" s="53">
        <f>IFERROR(Table3[[#This Row],[QTY SOLD]]*Table3[[#This Row],[Selling Price]],0)</f>
        <v>0</v>
      </c>
      <c r="K728" s="50"/>
      <c r="L728" s="50">
        <f>Table3[[#This Row],[Total Sales]]-Table3[[#This Row],[Discount]]</f>
        <v>0</v>
      </c>
      <c r="M728" s="58">
        <f>Table3[[#This Row],[Net Sales]]-Table3[[#This Row],[Cost Price]]*Table3[[#This Row],[QTY SOLD]]</f>
        <v>0</v>
      </c>
      <c r="N728" s="25"/>
      <c r="O728" s="25"/>
      <c r="P728" s="25"/>
      <c r="Q728" s="25"/>
      <c r="R728" s="25"/>
      <c r="S728" s="25"/>
    </row>
    <row r="729" spans="1:19" x14ac:dyDescent="0.25">
      <c r="A729" s="65"/>
      <c r="B729" s="50"/>
      <c r="C729" s="50"/>
      <c r="D729" s="50"/>
      <c r="E729" s="50" t="str">
        <f>IF(D729="","",VLOOKUP(D729,'Product Master'!$B:$C,2,FALSE))</f>
        <v/>
      </c>
      <c r="F729" s="50" t="str">
        <f>IF(D729="","",IFERROR(VLOOKUP(D729,'Product Master'!$B:$G,3,FALSE),""))</f>
        <v/>
      </c>
      <c r="G729" s="51"/>
      <c r="H729" s="52" t="str">
        <f>IF(D729="","",VLOOKUP(D729,'Product Master'!$B:$F,5,FALSE))</f>
        <v/>
      </c>
      <c r="I729" s="52">
        <f>IFERROR(VLOOKUP(D729,'Product Master'!B:E,4,FALSE),0)</f>
        <v>0</v>
      </c>
      <c r="J729" s="53">
        <f>IFERROR(Table3[[#This Row],[QTY SOLD]]*Table3[[#This Row],[Selling Price]],0)</f>
        <v>0</v>
      </c>
      <c r="K729" s="50"/>
      <c r="L729" s="50">
        <f>Table3[[#This Row],[Total Sales]]-Table3[[#This Row],[Discount]]</f>
        <v>0</v>
      </c>
      <c r="M729" s="58">
        <f>Table3[[#This Row],[Net Sales]]-Table3[[#This Row],[Cost Price]]*Table3[[#This Row],[QTY SOLD]]</f>
        <v>0</v>
      </c>
      <c r="N729" s="25"/>
      <c r="O729" s="25"/>
      <c r="P729" s="25"/>
      <c r="Q729" s="25"/>
      <c r="R729" s="25"/>
      <c r="S729" s="25"/>
    </row>
    <row r="730" spans="1:19" x14ac:dyDescent="0.25">
      <c r="A730" s="65"/>
      <c r="B730" s="50"/>
      <c r="C730" s="50"/>
      <c r="D730" s="50"/>
      <c r="E730" s="50" t="str">
        <f>IF(D730="","",VLOOKUP(D730,'Product Master'!$B:$C,2,FALSE))</f>
        <v/>
      </c>
      <c r="F730" s="50" t="str">
        <f>IF(D730="","",IFERROR(VLOOKUP(D730,'Product Master'!$B:$G,3,FALSE),""))</f>
        <v/>
      </c>
      <c r="G730" s="51"/>
      <c r="H730" s="52" t="str">
        <f>IF(D730="","",VLOOKUP(D730,'Product Master'!$B:$F,5,FALSE))</f>
        <v/>
      </c>
      <c r="I730" s="52">
        <f>IFERROR(VLOOKUP(D730,'Product Master'!B:E,4,FALSE),0)</f>
        <v>0</v>
      </c>
      <c r="J730" s="53">
        <f>IFERROR(Table3[[#This Row],[QTY SOLD]]*Table3[[#This Row],[Selling Price]],0)</f>
        <v>0</v>
      </c>
      <c r="K730" s="50"/>
      <c r="L730" s="50">
        <f>Table3[[#This Row],[Total Sales]]-Table3[[#This Row],[Discount]]</f>
        <v>0</v>
      </c>
      <c r="M730" s="58">
        <f>Table3[[#This Row],[Net Sales]]-Table3[[#This Row],[Cost Price]]*Table3[[#This Row],[QTY SOLD]]</f>
        <v>0</v>
      </c>
      <c r="N730" s="25"/>
      <c r="O730" s="25"/>
      <c r="P730" s="25"/>
      <c r="Q730" s="25"/>
      <c r="R730" s="25"/>
      <c r="S730" s="25"/>
    </row>
    <row r="731" spans="1:19" x14ac:dyDescent="0.25">
      <c r="A731" s="65"/>
      <c r="B731" s="50"/>
      <c r="C731" s="50"/>
      <c r="D731" s="50"/>
      <c r="E731" s="50" t="str">
        <f>IF(D731="","",VLOOKUP(D731,'Product Master'!$B:$C,2,FALSE))</f>
        <v/>
      </c>
      <c r="F731" s="50" t="str">
        <f>IF(D731="","",IFERROR(VLOOKUP(D731,'Product Master'!$B:$G,3,FALSE),""))</f>
        <v/>
      </c>
      <c r="G731" s="51"/>
      <c r="H731" s="52" t="str">
        <f>IF(D731="","",VLOOKUP(D731,'Product Master'!$B:$F,5,FALSE))</f>
        <v/>
      </c>
      <c r="I731" s="52">
        <f>IFERROR(VLOOKUP(D731,'Product Master'!B:E,4,FALSE),0)</f>
        <v>0</v>
      </c>
      <c r="J731" s="53">
        <f>IFERROR(Table3[[#This Row],[QTY SOLD]]*Table3[[#This Row],[Selling Price]],0)</f>
        <v>0</v>
      </c>
      <c r="K731" s="50"/>
      <c r="L731" s="50">
        <f>Table3[[#This Row],[Total Sales]]-Table3[[#This Row],[Discount]]</f>
        <v>0</v>
      </c>
      <c r="M731" s="58">
        <f>Table3[[#This Row],[Net Sales]]-Table3[[#This Row],[Cost Price]]*Table3[[#This Row],[QTY SOLD]]</f>
        <v>0</v>
      </c>
      <c r="N731" s="25"/>
      <c r="O731" s="25"/>
      <c r="P731" s="25"/>
      <c r="Q731" s="25"/>
      <c r="R731" s="25"/>
      <c r="S731" s="25"/>
    </row>
    <row r="732" spans="1:19" x14ac:dyDescent="0.25">
      <c r="A732" s="65"/>
      <c r="B732" s="50"/>
      <c r="C732" s="50"/>
      <c r="D732" s="50"/>
      <c r="E732" s="50" t="str">
        <f>IF(D732="","",VLOOKUP(D732,'Product Master'!$B:$C,2,FALSE))</f>
        <v/>
      </c>
      <c r="F732" s="50" t="str">
        <f>IF(D732="","",IFERROR(VLOOKUP(D732,'Product Master'!$B:$G,3,FALSE),""))</f>
        <v/>
      </c>
      <c r="G732" s="51"/>
      <c r="H732" s="52" t="str">
        <f>IF(D732="","",VLOOKUP(D732,'Product Master'!$B:$F,5,FALSE))</f>
        <v/>
      </c>
      <c r="I732" s="52">
        <f>IFERROR(VLOOKUP(D732,'Product Master'!B:E,4,FALSE),0)</f>
        <v>0</v>
      </c>
      <c r="J732" s="53">
        <f>IFERROR(Table3[[#This Row],[QTY SOLD]]*Table3[[#This Row],[Selling Price]],0)</f>
        <v>0</v>
      </c>
      <c r="K732" s="50"/>
      <c r="L732" s="50">
        <f>Table3[[#This Row],[Total Sales]]-Table3[[#This Row],[Discount]]</f>
        <v>0</v>
      </c>
      <c r="M732" s="58">
        <f>Table3[[#This Row],[Net Sales]]-Table3[[#This Row],[Cost Price]]*Table3[[#This Row],[QTY SOLD]]</f>
        <v>0</v>
      </c>
      <c r="N732" s="25"/>
      <c r="O732" s="25"/>
      <c r="P732" s="25"/>
      <c r="Q732" s="25"/>
      <c r="R732" s="25"/>
      <c r="S732" s="25"/>
    </row>
    <row r="733" spans="1:19" x14ac:dyDescent="0.25">
      <c r="A733" s="65"/>
      <c r="B733" s="50"/>
      <c r="C733" s="50"/>
      <c r="D733" s="50"/>
      <c r="E733" s="50" t="str">
        <f>IF(D733="","",VLOOKUP(D733,'Product Master'!$B:$C,2,FALSE))</f>
        <v/>
      </c>
      <c r="F733" s="50" t="str">
        <f>IF(D733="","",IFERROR(VLOOKUP(D733,'Product Master'!$B:$G,3,FALSE),""))</f>
        <v/>
      </c>
      <c r="G733" s="51"/>
      <c r="H733" s="52" t="str">
        <f>IF(D733="","",VLOOKUP(D733,'Product Master'!$B:$F,5,FALSE))</f>
        <v/>
      </c>
      <c r="I733" s="52">
        <f>IFERROR(VLOOKUP(D733,'Product Master'!B:E,4,FALSE),0)</f>
        <v>0</v>
      </c>
      <c r="J733" s="53">
        <f>IFERROR(Table3[[#This Row],[QTY SOLD]]*Table3[[#This Row],[Selling Price]],0)</f>
        <v>0</v>
      </c>
      <c r="K733" s="50"/>
      <c r="L733" s="50">
        <f>Table3[[#This Row],[Total Sales]]-Table3[[#This Row],[Discount]]</f>
        <v>0</v>
      </c>
      <c r="M733" s="58">
        <f>Table3[[#This Row],[Net Sales]]-Table3[[#This Row],[Cost Price]]*Table3[[#This Row],[QTY SOLD]]</f>
        <v>0</v>
      </c>
      <c r="N733" s="25"/>
      <c r="O733" s="25"/>
      <c r="P733" s="25"/>
      <c r="Q733" s="25"/>
      <c r="R733" s="25"/>
      <c r="S733" s="25"/>
    </row>
    <row r="734" spans="1:19" x14ac:dyDescent="0.25">
      <c r="A734" s="65"/>
      <c r="B734" s="50"/>
      <c r="C734" s="50"/>
      <c r="D734" s="50"/>
      <c r="E734" s="50" t="str">
        <f>IF(D734="","",VLOOKUP(D734,'Product Master'!$B:$C,2,FALSE))</f>
        <v/>
      </c>
      <c r="F734" s="50" t="str">
        <f>IF(D734="","",IFERROR(VLOOKUP(D734,'Product Master'!$B:$G,3,FALSE),""))</f>
        <v/>
      </c>
      <c r="G734" s="51"/>
      <c r="H734" s="52" t="str">
        <f>IF(D734="","",VLOOKUP(D734,'Product Master'!$B:$F,5,FALSE))</f>
        <v/>
      </c>
      <c r="I734" s="52">
        <f>IFERROR(VLOOKUP(D734,'Product Master'!B:E,4,FALSE),0)</f>
        <v>0</v>
      </c>
      <c r="J734" s="53">
        <f>IFERROR(Table3[[#This Row],[QTY SOLD]]*Table3[[#This Row],[Selling Price]],0)</f>
        <v>0</v>
      </c>
      <c r="K734" s="50"/>
      <c r="L734" s="50">
        <f>Table3[[#This Row],[Total Sales]]-Table3[[#This Row],[Discount]]</f>
        <v>0</v>
      </c>
      <c r="M734" s="58">
        <f>Table3[[#This Row],[Net Sales]]-Table3[[#This Row],[Cost Price]]*Table3[[#This Row],[QTY SOLD]]</f>
        <v>0</v>
      </c>
      <c r="N734" s="25"/>
      <c r="O734" s="25"/>
      <c r="P734" s="25"/>
      <c r="Q734" s="25"/>
      <c r="R734" s="25"/>
      <c r="S734" s="25"/>
    </row>
    <row r="735" spans="1:19" x14ac:dyDescent="0.25">
      <c r="A735" s="65"/>
      <c r="B735" s="50"/>
      <c r="C735" s="50"/>
      <c r="D735" s="50"/>
      <c r="E735" s="50" t="str">
        <f>IF(D735="","",VLOOKUP(D735,'Product Master'!$B:$C,2,FALSE))</f>
        <v/>
      </c>
      <c r="F735" s="50" t="str">
        <f>IF(D735="","",IFERROR(VLOOKUP(D735,'Product Master'!$B:$G,3,FALSE),""))</f>
        <v/>
      </c>
      <c r="G735" s="51"/>
      <c r="H735" s="52" t="str">
        <f>IF(D735="","",VLOOKUP(D735,'Product Master'!$B:$F,5,FALSE))</f>
        <v/>
      </c>
      <c r="I735" s="52">
        <f>IFERROR(VLOOKUP(D735,'Product Master'!B:E,4,FALSE),0)</f>
        <v>0</v>
      </c>
      <c r="J735" s="53">
        <f>IFERROR(Table3[[#This Row],[QTY SOLD]]*Table3[[#This Row],[Selling Price]],0)</f>
        <v>0</v>
      </c>
      <c r="K735" s="50"/>
      <c r="L735" s="50">
        <f>Table3[[#This Row],[Total Sales]]-Table3[[#This Row],[Discount]]</f>
        <v>0</v>
      </c>
      <c r="M735" s="58">
        <f>Table3[[#This Row],[Net Sales]]-Table3[[#This Row],[Cost Price]]*Table3[[#This Row],[QTY SOLD]]</f>
        <v>0</v>
      </c>
      <c r="N735" s="25"/>
      <c r="O735" s="25"/>
      <c r="P735" s="25"/>
      <c r="Q735" s="25"/>
      <c r="R735" s="25"/>
      <c r="S735" s="25"/>
    </row>
    <row r="736" spans="1:19" x14ac:dyDescent="0.25">
      <c r="A736" s="65"/>
      <c r="B736" s="50"/>
      <c r="C736" s="50"/>
      <c r="D736" s="50"/>
      <c r="E736" s="50" t="str">
        <f>IF(D736="","",VLOOKUP(D736,'Product Master'!$B:$C,2,FALSE))</f>
        <v/>
      </c>
      <c r="F736" s="50" t="str">
        <f>IF(D736="","",IFERROR(VLOOKUP(D736,'Product Master'!$B:$G,3,FALSE),""))</f>
        <v/>
      </c>
      <c r="G736" s="51"/>
      <c r="H736" s="52" t="str">
        <f>IF(D736="","",VLOOKUP(D736,'Product Master'!$B:$F,5,FALSE))</f>
        <v/>
      </c>
      <c r="I736" s="52">
        <f>IFERROR(VLOOKUP(D736,'Product Master'!B:E,4,FALSE),0)</f>
        <v>0</v>
      </c>
      <c r="J736" s="53">
        <f>IFERROR(Table3[[#This Row],[QTY SOLD]]*Table3[[#This Row],[Selling Price]],0)</f>
        <v>0</v>
      </c>
      <c r="K736" s="50"/>
      <c r="L736" s="50">
        <f>Table3[[#This Row],[Total Sales]]-Table3[[#This Row],[Discount]]</f>
        <v>0</v>
      </c>
      <c r="M736" s="58">
        <f>Table3[[#This Row],[Net Sales]]-Table3[[#This Row],[Cost Price]]*Table3[[#This Row],[QTY SOLD]]</f>
        <v>0</v>
      </c>
      <c r="N736" s="25"/>
      <c r="O736" s="25"/>
      <c r="P736" s="25"/>
      <c r="Q736" s="25"/>
      <c r="R736" s="25"/>
      <c r="S736" s="25"/>
    </row>
    <row r="737" spans="1:19" x14ac:dyDescent="0.25">
      <c r="A737" s="65"/>
      <c r="B737" s="50"/>
      <c r="C737" s="50"/>
      <c r="D737" s="50"/>
      <c r="E737" s="50" t="str">
        <f>IF(D737="","",VLOOKUP(D737,'Product Master'!$B:$C,2,FALSE))</f>
        <v/>
      </c>
      <c r="F737" s="50" t="str">
        <f>IF(D737="","",IFERROR(VLOOKUP(D737,'Product Master'!$B:$G,3,FALSE),""))</f>
        <v/>
      </c>
      <c r="G737" s="51"/>
      <c r="H737" s="52" t="str">
        <f>IF(D737="","",VLOOKUP(D737,'Product Master'!$B:$F,5,FALSE))</f>
        <v/>
      </c>
      <c r="I737" s="52">
        <f>IFERROR(VLOOKUP(D737,'Product Master'!B:E,4,FALSE),0)</f>
        <v>0</v>
      </c>
      <c r="J737" s="53">
        <f>IFERROR(Table3[[#This Row],[QTY SOLD]]*Table3[[#This Row],[Selling Price]],0)</f>
        <v>0</v>
      </c>
      <c r="K737" s="50"/>
      <c r="L737" s="50">
        <f>Table3[[#This Row],[Total Sales]]-Table3[[#This Row],[Discount]]</f>
        <v>0</v>
      </c>
      <c r="M737" s="58">
        <f>Table3[[#This Row],[Net Sales]]-Table3[[#This Row],[Cost Price]]*Table3[[#This Row],[QTY SOLD]]</f>
        <v>0</v>
      </c>
      <c r="N737" s="25"/>
      <c r="O737" s="25"/>
      <c r="P737" s="25"/>
      <c r="Q737" s="25"/>
      <c r="R737" s="25"/>
      <c r="S737" s="25"/>
    </row>
    <row r="738" spans="1:19" x14ac:dyDescent="0.25">
      <c r="A738" s="65"/>
      <c r="B738" s="50"/>
      <c r="C738" s="50"/>
      <c r="D738" s="50"/>
      <c r="E738" s="50" t="str">
        <f>IF(D738="","",VLOOKUP(D738,'Product Master'!$B:$C,2,FALSE))</f>
        <v/>
      </c>
      <c r="F738" s="50" t="str">
        <f>IF(D738="","",IFERROR(VLOOKUP(D738,'Product Master'!$B:$G,3,FALSE),""))</f>
        <v/>
      </c>
      <c r="G738" s="51"/>
      <c r="H738" s="52" t="str">
        <f>IF(D738="","",VLOOKUP(D738,'Product Master'!$B:$F,5,FALSE))</f>
        <v/>
      </c>
      <c r="I738" s="52">
        <f>IFERROR(VLOOKUP(D738,'Product Master'!B:E,4,FALSE),0)</f>
        <v>0</v>
      </c>
      <c r="J738" s="53">
        <f>IFERROR(Table3[[#This Row],[QTY SOLD]]*Table3[[#This Row],[Selling Price]],0)</f>
        <v>0</v>
      </c>
      <c r="K738" s="50"/>
      <c r="L738" s="50">
        <f>Table3[[#This Row],[Total Sales]]-Table3[[#This Row],[Discount]]</f>
        <v>0</v>
      </c>
      <c r="M738" s="58">
        <f>Table3[[#This Row],[Net Sales]]-Table3[[#This Row],[Cost Price]]*Table3[[#This Row],[QTY SOLD]]</f>
        <v>0</v>
      </c>
      <c r="N738" s="25"/>
      <c r="O738" s="25"/>
      <c r="P738" s="25"/>
      <c r="Q738" s="25"/>
      <c r="R738" s="25"/>
      <c r="S738" s="25"/>
    </row>
    <row r="739" spans="1:19" x14ac:dyDescent="0.25">
      <c r="A739" s="65"/>
      <c r="B739" s="50"/>
      <c r="C739" s="50"/>
      <c r="D739" s="50"/>
      <c r="E739" s="50" t="str">
        <f>IF(D739="","",VLOOKUP(D739,'Product Master'!$B:$C,2,FALSE))</f>
        <v/>
      </c>
      <c r="F739" s="50" t="str">
        <f>IF(D739="","",IFERROR(VLOOKUP(D739,'Product Master'!$B:$G,3,FALSE),""))</f>
        <v/>
      </c>
      <c r="G739" s="51"/>
      <c r="H739" s="52" t="str">
        <f>IF(D739="","",VLOOKUP(D739,'Product Master'!$B:$F,5,FALSE))</f>
        <v/>
      </c>
      <c r="I739" s="52">
        <f>IFERROR(VLOOKUP(D739,'Product Master'!B:E,4,FALSE),0)</f>
        <v>0</v>
      </c>
      <c r="J739" s="53">
        <f>IFERROR(Table3[[#This Row],[QTY SOLD]]*Table3[[#This Row],[Selling Price]],0)</f>
        <v>0</v>
      </c>
      <c r="K739" s="50"/>
      <c r="L739" s="50">
        <f>Table3[[#This Row],[Total Sales]]-Table3[[#This Row],[Discount]]</f>
        <v>0</v>
      </c>
      <c r="M739" s="58">
        <f>Table3[[#This Row],[Net Sales]]-Table3[[#This Row],[Cost Price]]*Table3[[#This Row],[QTY SOLD]]</f>
        <v>0</v>
      </c>
      <c r="N739" s="25"/>
      <c r="O739" s="25"/>
      <c r="P739" s="25"/>
      <c r="Q739" s="25"/>
      <c r="R739" s="25"/>
      <c r="S739" s="25"/>
    </row>
    <row r="740" spans="1:19" x14ac:dyDescent="0.25">
      <c r="A740" s="65"/>
      <c r="B740" s="50"/>
      <c r="C740" s="50"/>
      <c r="D740" s="50"/>
      <c r="E740" s="50" t="str">
        <f>IF(D740="","",VLOOKUP(D740,'Product Master'!$B:$C,2,FALSE))</f>
        <v/>
      </c>
      <c r="F740" s="50" t="str">
        <f>IF(D740="","",IFERROR(VLOOKUP(D740,'Product Master'!$B:$G,3,FALSE),""))</f>
        <v/>
      </c>
      <c r="G740" s="51"/>
      <c r="H740" s="52" t="str">
        <f>IF(D740="","",VLOOKUP(D740,'Product Master'!$B:$F,5,FALSE))</f>
        <v/>
      </c>
      <c r="I740" s="52">
        <f>IFERROR(VLOOKUP(D740,'Product Master'!B:E,4,FALSE),0)</f>
        <v>0</v>
      </c>
      <c r="J740" s="53">
        <f>IFERROR(Table3[[#This Row],[QTY SOLD]]*Table3[[#This Row],[Selling Price]],0)</f>
        <v>0</v>
      </c>
      <c r="K740" s="50"/>
      <c r="L740" s="50">
        <f>Table3[[#This Row],[Total Sales]]-Table3[[#This Row],[Discount]]</f>
        <v>0</v>
      </c>
      <c r="M740" s="58">
        <f>Table3[[#This Row],[Net Sales]]-Table3[[#This Row],[Cost Price]]*Table3[[#This Row],[QTY SOLD]]</f>
        <v>0</v>
      </c>
      <c r="N740" s="25"/>
      <c r="O740" s="25"/>
      <c r="P740" s="25"/>
      <c r="Q740" s="25"/>
      <c r="R740" s="25"/>
      <c r="S740" s="25"/>
    </row>
    <row r="741" spans="1:19" x14ac:dyDescent="0.25">
      <c r="A741" s="65"/>
      <c r="B741" s="50"/>
      <c r="C741" s="50"/>
      <c r="D741" s="50"/>
      <c r="E741" s="50" t="str">
        <f>IF(D741="","",VLOOKUP(D741,'Product Master'!$B:$C,2,FALSE))</f>
        <v/>
      </c>
      <c r="F741" s="50" t="str">
        <f>IF(D741="","",IFERROR(VLOOKUP(D741,'Product Master'!$B:$G,3,FALSE),""))</f>
        <v/>
      </c>
      <c r="G741" s="51"/>
      <c r="H741" s="52" t="str">
        <f>IF(D741="","",VLOOKUP(D741,'Product Master'!$B:$F,5,FALSE))</f>
        <v/>
      </c>
      <c r="I741" s="52">
        <f>IFERROR(VLOOKUP(D741,'Product Master'!B:E,4,FALSE),0)</f>
        <v>0</v>
      </c>
      <c r="J741" s="53">
        <f>IFERROR(Table3[[#This Row],[QTY SOLD]]*Table3[[#This Row],[Selling Price]],0)</f>
        <v>0</v>
      </c>
      <c r="K741" s="50"/>
      <c r="L741" s="50">
        <f>Table3[[#This Row],[Total Sales]]-Table3[[#This Row],[Discount]]</f>
        <v>0</v>
      </c>
      <c r="M741" s="58">
        <f>Table3[[#This Row],[Net Sales]]-Table3[[#This Row],[Cost Price]]*Table3[[#This Row],[QTY SOLD]]</f>
        <v>0</v>
      </c>
      <c r="N741" s="25"/>
      <c r="O741" s="25"/>
      <c r="P741" s="25"/>
      <c r="Q741" s="25"/>
      <c r="R741" s="25"/>
      <c r="S741" s="25"/>
    </row>
    <row r="742" spans="1:19" x14ac:dyDescent="0.25">
      <c r="A742" s="65"/>
      <c r="B742" s="50"/>
      <c r="C742" s="50"/>
      <c r="D742" s="50"/>
      <c r="E742" s="50" t="str">
        <f>IF(D742="","",VLOOKUP(D742,'Product Master'!$B:$C,2,FALSE))</f>
        <v/>
      </c>
      <c r="F742" s="50" t="str">
        <f>IF(D742="","",IFERROR(VLOOKUP(D742,'Product Master'!$B:$G,3,FALSE),""))</f>
        <v/>
      </c>
      <c r="G742" s="51"/>
      <c r="H742" s="52" t="str">
        <f>IF(D742="","",VLOOKUP(D742,'Product Master'!$B:$F,5,FALSE))</f>
        <v/>
      </c>
      <c r="I742" s="52">
        <f>IFERROR(VLOOKUP(D742,'Product Master'!B:E,4,FALSE),0)</f>
        <v>0</v>
      </c>
      <c r="J742" s="53">
        <f>IFERROR(Table3[[#This Row],[QTY SOLD]]*Table3[[#This Row],[Selling Price]],0)</f>
        <v>0</v>
      </c>
      <c r="K742" s="50"/>
      <c r="L742" s="50">
        <f>Table3[[#This Row],[Total Sales]]-Table3[[#This Row],[Discount]]</f>
        <v>0</v>
      </c>
      <c r="M742" s="58">
        <f>Table3[[#This Row],[Net Sales]]-Table3[[#This Row],[Cost Price]]*Table3[[#This Row],[QTY SOLD]]</f>
        <v>0</v>
      </c>
      <c r="N742" s="25"/>
      <c r="O742" s="25"/>
      <c r="P742" s="25"/>
      <c r="Q742" s="25"/>
      <c r="R742" s="25"/>
      <c r="S742" s="25"/>
    </row>
    <row r="743" spans="1:19" x14ac:dyDescent="0.25">
      <c r="A743" s="65"/>
      <c r="B743" s="50"/>
      <c r="C743" s="50"/>
      <c r="D743" s="50"/>
      <c r="E743" s="50" t="str">
        <f>IF(D743="","",VLOOKUP(D743,'Product Master'!$B:$C,2,FALSE))</f>
        <v/>
      </c>
      <c r="F743" s="50" t="str">
        <f>IF(D743="","",IFERROR(VLOOKUP(D743,'Product Master'!$B:$G,3,FALSE),""))</f>
        <v/>
      </c>
      <c r="G743" s="51"/>
      <c r="H743" s="52" t="str">
        <f>IF(D743="","",VLOOKUP(D743,'Product Master'!$B:$F,5,FALSE))</f>
        <v/>
      </c>
      <c r="I743" s="52">
        <f>IFERROR(VLOOKUP(D743,'Product Master'!B:E,4,FALSE),0)</f>
        <v>0</v>
      </c>
      <c r="J743" s="53">
        <f>IFERROR(Table3[[#This Row],[QTY SOLD]]*Table3[[#This Row],[Selling Price]],0)</f>
        <v>0</v>
      </c>
      <c r="K743" s="50"/>
      <c r="L743" s="50">
        <f>Table3[[#This Row],[Total Sales]]-Table3[[#This Row],[Discount]]</f>
        <v>0</v>
      </c>
      <c r="M743" s="58">
        <f>Table3[[#This Row],[Net Sales]]-Table3[[#This Row],[Cost Price]]*Table3[[#This Row],[QTY SOLD]]</f>
        <v>0</v>
      </c>
      <c r="N743" s="25"/>
      <c r="O743" s="25"/>
      <c r="P743" s="25"/>
      <c r="Q743" s="25"/>
      <c r="R743" s="25"/>
      <c r="S743" s="25"/>
    </row>
    <row r="744" spans="1:19" x14ac:dyDescent="0.25">
      <c r="A744" s="65"/>
      <c r="B744" s="50"/>
      <c r="C744" s="50"/>
      <c r="D744" s="50"/>
      <c r="E744" s="50" t="str">
        <f>IF(D744="","",VLOOKUP(D744,'Product Master'!$B:$C,2,FALSE))</f>
        <v/>
      </c>
      <c r="F744" s="50" t="str">
        <f>IF(D744="","",IFERROR(VLOOKUP(D744,'Product Master'!$B:$G,3,FALSE),""))</f>
        <v/>
      </c>
      <c r="G744" s="51"/>
      <c r="H744" s="52" t="str">
        <f>IF(D744="","",VLOOKUP(D744,'Product Master'!$B:$F,5,FALSE))</f>
        <v/>
      </c>
      <c r="I744" s="52">
        <f>IFERROR(VLOOKUP(D744,'Product Master'!B:E,4,FALSE),0)</f>
        <v>0</v>
      </c>
      <c r="J744" s="53">
        <f>IFERROR(Table3[[#This Row],[QTY SOLD]]*Table3[[#This Row],[Selling Price]],0)</f>
        <v>0</v>
      </c>
      <c r="K744" s="50"/>
      <c r="L744" s="50">
        <f>Table3[[#This Row],[Total Sales]]-Table3[[#This Row],[Discount]]</f>
        <v>0</v>
      </c>
      <c r="M744" s="58">
        <f>Table3[[#This Row],[Net Sales]]-Table3[[#This Row],[Cost Price]]*Table3[[#This Row],[QTY SOLD]]</f>
        <v>0</v>
      </c>
      <c r="N744" s="25"/>
      <c r="O744" s="25"/>
      <c r="P744" s="25"/>
      <c r="Q744" s="25"/>
      <c r="R744" s="25"/>
      <c r="S744" s="25"/>
    </row>
    <row r="745" spans="1:19" x14ac:dyDescent="0.25">
      <c r="A745" s="65"/>
      <c r="B745" s="50"/>
      <c r="C745" s="50"/>
      <c r="D745" s="50"/>
      <c r="E745" s="50" t="str">
        <f>IF(D745="","",VLOOKUP(D745,'Product Master'!$B:$C,2,FALSE))</f>
        <v/>
      </c>
      <c r="F745" s="50" t="str">
        <f>IF(D745="","",IFERROR(VLOOKUP(D745,'Product Master'!$B:$G,3,FALSE),""))</f>
        <v/>
      </c>
      <c r="G745" s="51"/>
      <c r="H745" s="52" t="str">
        <f>IF(D745="","",VLOOKUP(D745,'Product Master'!$B:$F,5,FALSE))</f>
        <v/>
      </c>
      <c r="I745" s="52">
        <f>IFERROR(VLOOKUP(D745,'Product Master'!B:E,4,FALSE),0)</f>
        <v>0</v>
      </c>
      <c r="J745" s="53">
        <f>IFERROR(Table3[[#This Row],[QTY SOLD]]*Table3[[#This Row],[Selling Price]],0)</f>
        <v>0</v>
      </c>
      <c r="K745" s="50"/>
      <c r="L745" s="50">
        <f>Table3[[#This Row],[Total Sales]]-Table3[[#This Row],[Discount]]</f>
        <v>0</v>
      </c>
      <c r="M745" s="58">
        <f>Table3[[#This Row],[Net Sales]]-Table3[[#This Row],[Cost Price]]*Table3[[#This Row],[QTY SOLD]]</f>
        <v>0</v>
      </c>
      <c r="N745" s="25"/>
      <c r="O745" s="25"/>
      <c r="P745" s="25"/>
      <c r="Q745" s="25"/>
      <c r="R745" s="25"/>
      <c r="S745" s="25"/>
    </row>
    <row r="746" spans="1:19" x14ac:dyDescent="0.25">
      <c r="A746" s="65"/>
      <c r="B746" s="50"/>
      <c r="C746" s="50"/>
      <c r="D746" s="50"/>
      <c r="E746" s="50" t="str">
        <f>IF(D746="","",VLOOKUP(D746,'Product Master'!$B:$C,2,FALSE))</f>
        <v/>
      </c>
      <c r="F746" s="50" t="str">
        <f>IF(D746="","",IFERROR(VLOOKUP(D746,'Product Master'!$B:$G,3,FALSE),""))</f>
        <v/>
      </c>
      <c r="G746" s="51"/>
      <c r="H746" s="52" t="str">
        <f>IF(D746="","",VLOOKUP(D746,'Product Master'!$B:$F,5,FALSE))</f>
        <v/>
      </c>
      <c r="I746" s="52">
        <f>IFERROR(VLOOKUP(D746,'Product Master'!B:E,4,FALSE),0)</f>
        <v>0</v>
      </c>
      <c r="J746" s="53">
        <f>IFERROR(Table3[[#This Row],[QTY SOLD]]*Table3[[#This Row],[Selling Price]],0)</f>
        <v>0</v>
      </c>
      <c r="K746" s="50"/>
      <c r="L746" s="50">
        <f>Table3[[#This Row],[Total Sales]]-Table3[[#This Row],[Discount]]</f>
        <v>0</v>
      </c>
      <c r="M746" s="58">
        <f>Table3[[#This Row],[Net Sales]]-Table3[[#This Row],[Cost Price]]*Table3[[#This Row],[QTY SOLD]]</f>
        <v>0</v>
      </c>
      <c r="N746" s="25"/>
      <c r="O746" s="25"/>
      <c r="P746" s="25"/>
      <c r="Q746" s="25"/>
      <c r="R746" s="25"/>
      <c r="S746" s="25"/>
    </row>
    <row r="747" spans="1:19" x14ac:dyDescent="0.25">
      <c r="A747" s="65"/>
      <c r="B747" s="50"/>
      <c r="C747" s="50"/>
      <c r="D747" s="50"/>
      <c r="E747" s="50" t="str">
        <f>IF(D747="","",VLOOKUP(D747,'Product Master'!$B:$C,2,FALSE))</f>
        <v/>
      </c>
      <c r="F747" s="50" t="str">
        <f>IF(D747="","",IFERROR(VLOOKUP(D747,'Product Master'!$B:$G,3,FALSE),""))</f>
        <v/>
      </c>
      <c r="G747" s="51"/>
      <c r="H747" s="52" t="str">
        <f>IF(D747="","",VLOOKUP(D747,'Product Master'!$B:$F,5,FALSE))</f>
        <v/>
      </c>
      <c r="I747" s="52">
        <f>IFERROR(VLOOKUP(D747,'Product Master'!B:E,4,FALSE),0)</f>
        <v>0</v>
      </c>
      <c r="J747" s="53">
        <f>IFERROR(Table3[[#This Row],[QTY SOLD]]*Table3[[#This Row],[Selling Price]],0)</f>
        <v>0</v>
      </c>
      <c r="K747" s="50"/>
      <c r="L747" s="50">
        <f>Table3[[#This Row],[Total Sales]]-Table3[[#This Row],[Discount]]</f>
        <v>0</v>
      </c>
      <c r="M747" s="58">
        <f>Table3[[#This Row],[Net Sales]]-Table3[[#This Row],[Cost Price]]*Table3[[#This Row],[QTY SOLD]]</f>
        <v>0</v>
      </c>
      <c r="N747" s="25"/>
      <c r="O747" s="25"/>
      <c r="P747" s="25"/>
      <c r="Q747" s="25"/>
      <c r="R747" s="25"/>
      <c r="S747" s="25"/>
    </row>
    <row r="748" spans="1:19" x14ac:dyDescent="0.25">
      <c r="A748" s="65"/>
      <c r="B748" s="50"/>
      <c r="C748" s="50"/>
      <c r="D748" s="50"/>
      <c r="E748" s="50" t="str">
        <f>IF(D748="","",VLOOKUP(D748,'Product Master'!$B:$C,2,FALSE))</f>
        <v/>
      </c>
      <c r="F748" s="50" t="str">
        <f>IF(D748="","",IFERROR(VLOOKUP(D748,'Product Master'!$B:$G,3,FALSE),""))</f>
        <v/>
      </c>
      <c r="G748" s="51"/>
      <c r="H748" s="52" t="str">
        <f>IF(D748="","",VLOOKUP(D748,'Product Master'!$B:$F,5,FALSE))</f>
        <v/>
      </c>
      <c r="I748" s="52">
        <f>IFERROR(VLOOKUP(D748,'Product Master'!B:E,4,FALSE),0)</f>
        <v>0</v>
      </c>
      <c r="J748" s="53">
        <f>IFERROR(Table3[[#This Row],[QTY SOLD]]*Table3[[#This Row],[Selling Price]],0)</f>
        <v>0</v>
      </c>
      <c r="K748" s="50"/>
      <c r="L748" s="50">
        <f>Table3[[#This Row],[Total Sales]]-Table3[[#This Row],[Discount]]</f>
        <v>0</v>
      </c>
      <c r="M748" s="58">
        <f>Table3[[#This Row],[Net Sales]]-Table3[[#This Row],[Cost Price]]*Table3[[#This Row],[QTY SOLD]]</f>
        <v>0</v>
      </c>
      <c r="N748" s="25"/>
      <c r="O748" s="25"/>
      <c r="P748" s="25"/>
      <c r="Q748" s="25"/>
      <c r="R748" s="25"/>
      <c r="S748" s="25"/>
    </row>
    <row r="749" spans="1:19" x14ac:dyDescent="0.25">
      <c r="A749" s="65"/>
      <c r="B749" s="50"/>
      <c r="C749" s="50"/>
      <c r="D749" s="50"/>
      <c r="E749" s="50" t="str">
        <f>IF(D749="","",VLOOKUP(D749,'Product Master'!$B:$C,2,FALSE))</f>
        <v/>
      </c>
      <c r="F749" s="50" t="str">
        <f>IF(D749="","",IFERROR(VLOOKUP(D749,'Product Master'!$B:$G,3,FALSE),""))</f>
        <v/>
      </c>
      <c r="G749" s="51"/>
      <c r="H749" s="52" t="str">
        <f>IF(D749="","",VLOOKUP(D749,'Product Master'!$B:$F,5,FALSE))</f>
        <v/>
      </c>
      <c r="I749" s="52">
        <f>IFERROR(VLOOKUP(D749,'Product Master'!B:E,4,FALSE),0)</f>
        <v>0</v>
      </c>
      <c r="J749" s="53">
        <f>IFERROR(Table3[[#This Row],[QTY SOLD]]*Table3[[#This Row],[Selling Price]],0)</f>
        <v>0</v>
      </c>
      <c r="K749" s="50"/>
      <c r="L749" s="50">
        <f>Table3[[#This Row],[Total Sales]]-Table3[[#This Row],[Discount]]</f>
        <v>0</v>
      </c>
      <c r="M749" s="58">
        <f>Table3[[#This Row],[Net Sales]]-Table3[[#This Row],[Cost Price]]*Table3[[#This Row],[QTY SOLD]]</f>
        <v>0</v>
      </c>
      <c r="N749" s="25"/>
      <c r="O749" s="25"/>
      <c r="P749" s="25"/>
      <c r="Q749" s="25"/>
      <c r="R749" s="25"/>
      <c r="S749" s="25"/>
    </row>
    <row r="750" spans="1:19" x14ac:dyDescent="0.25">
      <c r="A750" s="65"/>
      <c r="B750" s="50"/>
      <c r="C750" s="50"/>
      <c r="D750" s="50"/>
      <c r="E750" s="50" t="str">
        <f>IF(D750="","",VLOOKUP(D750,'Product Master'!$B:$C,2,FALSE))</f>
        <v/>
      </c>
      <c r="F750" s="50" t="str">
        <f>IF(D750="","",IFERROR(VLOOKUP(D750,'Product Master'!$B:$G,3,FALSE),""))</f>
        <v/>
      </c>
      <c r="G750" s="51"/>
      <c r="H750" s="52" t="str">
        <f>IF(D750="","",VLOOKUP(D750,'Product Master'!$B:$F,5,FALSE))</f>
        <v/>
      </c>
      <c r="I750" s="52">
        <f>IFERROR(VLOOKUP(D750,'Product Master'!B:E,4,FALSE),0)</f>
        <v>0</v>
      </c>
      <c r="J750" s="53">
        <f>IFERROR(Table3[[#This Row],[QTY SOLD]]*Table3[[#This Row],[Selling Price]],0)</f>
        <v>0</v>
      </c>
      <c r="K750" s="50"/>
      <c r="L750" s="50">
        <f>Table3[[#This Row],[Total Sales]]-Table3[[#This Row],[Discount]]</f>
        <v>0</v>
      </c>
      <c r="M750" s="58">
        <f>Table3[[#This Row],[Net Sales]]-Table3[[#This Row],[Cost Price]]*Table3[[#This Row],[QTY SOLD]]</f>
        <v>0</v>
      </c>
      <c r="N750" s="25"/>
      <c r="O750" s="25"/>
      <c r="P750" s="25"/>
      <c r="Q750" s="25"/>
      <c r="R750" s="25"/>
      <c r="S750" s="25"/>
    </row>
    <row r="751" spans="1:19" x14ac:dyDescent="0.25">
      <c r="A751" s="65"/>
      <c r="B751" s="50"/>
      <c r="C751" s="50"/>
      <c r="D751" s="50"/>
      <c r="E751" s="50" t="str">
        <f>IF(D751="","",VLOOKUP(D751,'Product Master'!$B:$C,2,FALSE))</f>
        <v/>
      </c>
      <c r="F751" s="50" t="str">
        <f>IF(D751="","",IFERROR(VLOOKUP(D751,'Product Master'!$B:$G,3,FALSE),""))</f>
        <v/>
      </c>
      <c r="G751" s="51"/>
      <c r="H751" s="52" t="str">
        <f>IF(D751="","",VLOOKUP(D751,'Product Master'!$B:$F,5,FALSE))</f>
        <v/>
      </c>
      <c r="I751" s="52">
        <f>IFERROR(VLOOKUP(D751,'Product Master'!B:E,4,FALSE),0)</f>
        <v>0</v>
      </c>
      <c r="J751" s="53">
        <f>IFERROR(Table3[[#This Row],[QTY SOLD]]*Table3[[#This Row],[Selling Price]],0)</f>
        <v>0</v>
      </c>
      <c r="K751" s="50"/>
      <c r="L751" s="50">
        <f>Table3[[#This Row],[Total Sales]]-Table3[[#This Row],[Discount]]</f>
        <v>0</v>
      </c>
      <c r="M751" s="58">
        <f>Table3[[#This Row],[Net Sales]]-Table3[[#This Row],[Cost Price]]*Table3[[#This Row],[QTY SOLD]]</f>
        <v>0</v>
      </c>
      <c r="N751" s="25"/>
      <c r="O751" s="25"/>
      <c r="P751" s="25"/>
      <c r="Q751" s="25"/>
      <c r="R751" s="25"/>
      <c r="S751" s="25"/>
    </row>
    <row r="752" spans="1:19" x14ac:dyDescent="0.25">
      <c r="A752" s="65"/>
      <c r="B752" s="50"/>
      <c r="C752" s="50"/>
      <c r="D752" s="50"/>
      <c r="E752" s="50" t="str">
        <f>IF(D752="","",VLOOKUP(D752,'Product Master'!$B:$C,2,FALSE))</f>
        <v/>
      </c>
      <c r="F752" s="50" t="str">
        <f>IF(D752="","",IFERROR(VLOOKUP(D752,'Product Master'!$B:$G,3,FALSE),""))</f>
        <v/>
      </c>
      <c r="G752" s="51"/>
      <c r="H752" s="52" t="str">
        <f>IF(D752="","",VLOOKUP(D752,'Product Master'!$B:$F,5,FALSE))</f>
        <v/>
      </c>
      <c r="I752" s="52">
        <f>IFERROR(VLOOKUP(D752,'Product Master'!B:E,4,FALSE),0)</f>
        <v>0</v>
      </c>
      <c r="J752" s="53">
        <f>IFERROR(Table3[[#This Row],[QTY SOLD]]*Table3[[#This Row],[Selling Price]],0)</f>
        <v>0</v>
      </c>
      <c r="K752" s="50"/>
      <c r="L752" s="50">
        <f>Table3[[#This Row],[Total Sales]]-Table3[[#This Row],[Discount]]</f>
        <v>0</v>
      </c>
      <c r="M752" s="58">
        <f>Table3[[#This Row],[Net Sales]]-Table3[[#This Row],[Cost Price]]*Table3[[#This Row],[QTY SOLD]]</f>
        <v>0</v>
      </c>
      <c r="N752" s="25"/>
      <c r="O752" s="25"/>
      <c r="P752" s="25"/>
      <c r="Q752" s="25"/>
      <c r="R752" s="25"/>
      <c r="S752" s="25"/>
    </row>
    <row r="753" spans="1:19" x14ac:dyDescent="0.25">
      <c r="A753" s="65"/>
      <c r="B753" s="50"/>
      <c r="C753" s="50"/>
      <c r="D753" s="50"/>
      <c r="E753" s="50" t="str">
        <f>IF(D753="","",VLOOKUP(D753,'Product Master'!$B:$C,2,FALSE))</f>
        <v/>
      </c>
      <c r="F753" s="50" t="str">
        <f>IF(D753="","",IFERROR(VLOOKUP(D753,'Product Master'!$B:$G,3,FALSE),""))</f>
        <v/>
      </c>
      <c r="G753" s="51"/>
      <c r="H753" s="52" t="str">
        <f>IF(D753="","",VLOOKUP(D753,'Product Master'!$B:$F,5,FALSE))</f>
        <v/>
      </c>
      <c r="I753" s="52">
        <f>IFERROR(VLOOKUP(D753,'Product Master'!B:E,4,FALSE),0)</f>
        <v>0</v>
      </c>
      <c r="J753" s="53">
        <f>IFERROR(Table3[[#This Row],[QTY SOLD]]*Table3[[#This Row],[Selling Price]],0)</f>
        <v>0</v>
      </c>
      <c r="K753" s="50"/>
      <c r="L753" s="50">
        <f>Table3[[#This Row],[Total Sales]]-Table3[[#This Row],[Discount]]</f>
        <v>0</v>
      </c>
      <c r="M753" s="58">
        <f>Table3[[#This Row],[Net Sales]]-Table3[[#This Row],[Cost Price]]*Table3[[#This Row],[QTY SOLD]]</f>
        <v>0</v>
      </c>
      <c r="N753" s="25"/>
      <c r="O753" s="25"/>
      <c r="P753" s="25"/>
      <c r="Q753" s="25"/>
      <c r="R753" s="25"/>
      <c r="S753" s="25"/>
    </row>
    <row r="754" spans="1:19" x14ac:dyDescent="0.25">
      <c r="A754" s="65"/>
      <c r="B754" s="50"/>
      <c r="C754" s="50"/>
      <c r="D754" s="50"/>
      <c r="E754" s="50" t="str">
        <f>IF(D754="","",VLOOKUP(D754,'Product Master'!$B:$C,2,FALSE))</f>
        <v/>
      </c>
      <c r="F754" s="50" t="str">
        <f>IF(D754="","",IFERROR(VLOOKUP(D754,'Product Master'!$B:$G,3,FALSE),""))</f>
        <v/>
      </c>
      <c r="G754" s="51"/>
      <c r="H754" s="52" t="str">
        <f>IF(D754="","",VLOOKUP(D754,'Product Master'!$B:$F,5,FALSE))</f>
        <v/>
      </c>
      <c r="I754" s="52">
        <f>IFERROR(VLOOKUP(D754,'Product Master'!B:E,4,FALSE),0)</f>
        <v>0</v>
      </c>
      <c r="J754" s="53">
        <f>IFERROR(Table3[[#This Row],[QTY SOLD]]*Table3[[#This Row],[Selling Price]],0)</f>
        <v>0</v>
      </c>
      <c r="K754" s="50"/>
      <c r="L754" s="50">
        <f>Table3[[#This Row],[Total Sales]]-Table3[[#This Row],[Discount]]</f>
        <v>0</v>
      </c>
      <c r="M754" s="58">
        <f>Table3[[#This Row],[Net Sales]]-Table3[[#This Row],[Cost Price]]*Table3[[#This Row],[QTY SOLD]]</f>
        <v>0</v>
      </c>
      <c r="N754" s="25"/>
      <c r="O754" s="25"/>
      <c r="P754" s="25"/>
      <c r="Q754" s="25"/>
      <c r="R754" s="25"/>
      <c r="S754" s="25"/>
    </row>
    <row r="755" spans="1:19" x14ac:dyDescent="0.25">
      <c r="A755" s="65"/>
      <c r="B755" s="50"/>
      <c r="C755" s="50"/>
      <c r="D755" s="50"/>
      <c r="E755" s="50" t="str">
        <f>IF(D755="","",VLOOKUP(D755,'Product Master'!$B:$C,2,FALSE))</f>
        <v/>
      </c>
      <c r="F755" s="50" t="str">
        <f>IF(D755="","",IFERROR(VLOOKUP(D755,'Product Master'!$B:$G,3,FALSE),""))</f>
        <v/>
      </c>
      <c r="G755" s="51"/>
      <c r="H755" s="52" t="str">
        <f>IF(D755="","",VLOOKUP(D755,'Product Master'!$B:$F,5,FALSE))</f>
        <v/>
      </c>
      <c r="I755" s="52">
        <f>IFERROR(VLOOKUP(D755,'Product Master'!B:E,4,FALSE),0)</f>
        <v>0</v>
      </c>
      <c r="J755" s="53">
        <f>IFERROR(Table3[[#This Row],[QTY SOLD]]*Table3[[#This Row],[Selling Price]],0)</f>
        <v>0</v>
      </c>
      <c r="K755" s="50"/>
      <c r="L755" s="50">
        <f>Table3[[#This Row],[Total Sales]]-Table3[[#This Row],[Discount]]</f>
        <v>0</v>
      </c>
      <c r="M755" s="58">
        <f>Table3[[#This Row],[Net Sales]]-Table3[[#This Row],[Cost Price]]*Table3[[#This Row],[QTY SOLD]]</f>
        <v>0</v>
      </c>
      <c r="N755" s="25"/>
      <c r="O755" s="25"/>
      <c r="P755" s="25"/>
      <c r="Q755" s="25"/>
      <c r="R755" s="25"/>
      <c r="S755" s="25"/>
    </row>
    <row r="756" spans="1:19" x14ac:dyDescent="0.25">
      <c r="A756" s="65"/>
      <c r="B756" s="50"/>
      <c r="C756" s="50"/>
      <c r="D756" s="50"/>
      <c r="E756" s="50" t="str">
        <f>IF(D756="","",VLOOKUP(D756,'Product Master'!$B:$C,2,FALSE))</f>
        <v/>
      </c>
      <c r="F756" s="50" t="str">
        <f>IF(D756="","",IFERROR(VLOOKUP(D756,'Product Master'!$B:$G,3,FALSE),""))</f>
        <v/>
      </c>
      <c r="G756" s="51"/>
      <c r="H756" s="52" t="str">
        <f>IF(D756="","",VLOOKUP(D756,'Product Master'!$B:$F,5,FALSE))</f>
        <v/>
      </c>
      <c r="I756" s="52">
        <f>IFERROR(VLOOKUP(D756,'Product Master'!B:E,4,FALSE),0)</f>
        <v>0</v>
      </c>
      <c r="J756" s="53">
        <f>IFERROR(Table3[[#This Row],[QTY SOLD]]*Table3[[#This Row],[Selling Price]],0)</f>
        <v>0</v>
      </c>
      <c r="K756" s="50"/>
      <c r="L756" s="50">
        <f>Table3[[#This Row],[Total Sales]]-Table3[[#This Row],[Discount]]</f>
        <v>0</v>
      </c>
      <c r="M756" s="58">
        <f>Table3[[#This Row],[Net Sales]]-Table3[[#This Row],[Cost Price]]*Table3[[#This Row],[QTY SOLD]]</f>
        <v>0</v>
      </c>
      <c r="N756" s="25"/>
      <c r="O756" s="25"/>
      <c r="P756" s="25"/>
      <c r="Q756" s="25"/>
      <c r="R756" s="25"/>
      <c r="S756" s="25"/>
    </row>
    <row r="757" spans="1:19" x14ac:dyDescent="0.25">
      <c r="A757" s="65"/>
      <c r="B757" s="50"/>
      <c r="C757" s="50"/>
      <c r="D757" s="50"/>
      <c r="E757" s="50" t="str">
        <f>IF(D757="","",VLOOKUP(D757,'Product Master'!$B:$C,2,FALSE))</f>
        <v/>
      </c>
      <c r="F757" s="50" t="str">
        <f>IF(D757="","",IFERROR(VLOOKUP(D757,'Product Master'!$B:$G,3,FALSE),""))</f>
        <v/>
      </c>
      <c r="G757" s="51"/>
      <c r="H757" s="52" t="str">
        <f>IF(D757="","",VLOOKUP(D757,'Product Master'!$B:$F,5,FALSE))</f>
        <v/>
      </c>
      <c r="I757" s="52">
        <f>IFERROR(VLOOKUP(D757,'Product Master'!B:E,4,FALSE),0)</f>
        <v>0</v>
      </c>
      <c r="J757" s="53">
        <f>IFERROR(Table3[[#This Row],[QTY SOLD]]*Table3[[#This Row],[Selling Price]],0)</f>
        <v>0</v>
      </c>
      <c r="K757" s="50"/>
      <c r="L757" s="50">
        <f>Table3[[#This Row],[Total Sales]]-Table3[[#This Row],[Discount]]</f>
        <v>0</v>
      </c>
      <c r="M757" s="58">
        <f>Table3[[#This Row],[Net Sales]]-Table3[[#This Row],[Cost Price]]*Table3[[#This Row],[QTY SOLD]]</f>
        <v>0</v>
      </c>
      <c r="N757" s="25"/>
      <c r="O757" s="25"/>
      <c r="P757" s="25"/>
      <c r="Q757" s="25"/>
      <c r="R757" s="25"/>
      <c r="S757" s="25"/>
    </row>
    <row r="758" spans="1:19" x14ac:dyDescent="0.25">
      <c r="A758" s="65"/>
      <c r="B758" s="50"/>
      <c r="C758" s="50"/>
      <c r="D758" s="50"/>
      <c r="E758" s="50" t="str">
        <f>IF(D758="","",VLOOKUP(D758,'Product Master'!$B:$C,2,FALSE))</f>
        <v/>
      </c>
      <c r="F758" s="50" t="str">
        <f>IF(D758="","",IFERROR(VLOOKUP(D758,'Product Master'!$B:$G,3,FALSE),""))</f>
        <v/>
      </c>
      <c r="G758" s="51"/>
      <c r="H758" s="52" t="str">
        <f>IF(D758="","",VLOOKUP(D758,'Product Master'!$B:$F,5,FALSE))</f>
        <v/>
      </c>
      <c r="I758" s="52">
        <f>IFERROR(VLOOKUP(D758,'Product Master'!B:E,4,FALSE),0)</f>
        <v>0</v>
      </c>
      <c r="J758" s="53">
        <f>IFERROR(Table3[[#This Row],[QTY SOLD]]*Table3[[#This Row],[Selling Price]],0)</f>
        <v>0</v>
      </c>
      <c r="K758" s="50"/>
      <c r="L758" s="50">
        <f>Table3[[#This Row],[Total Sales]]-Table3[[#This Row],[Discount]]</f>
        <v>0</v>
      </c>
      <c r="M758" s="58">
        <f>Table3[[#This Row],[Net Sales]]-Table3[[#This Row],[Cost Price]]*Table3[[#This Row],[QTY SOLD]]</f>
        <v>0</v>
      </c>
      <c r="N758" s="25"/>
      <c r="O758" s="25"/>
      <c r="P758" s="25"/>
      <c r="Q758" s="25"/>
      <c r="R758" s="25"/>
      <c r="S758" s="25"/>
    </row>
    <row r="759" spans="1:19" x14ac:dyDescent="0.25">
      <c r="A759" s="65"/>
      <c r="B759" s="50"/>
      <c r="C759" s="50"/>
      <c r="D759" s="50"/>
      <c r="E759" s="50" t="str">
        <f>IF(D759="","",VLOOKUP(D759,'Product Master'!$B:$C,2,FALSE))</f>
        <v/>
      </c>
      <c r="F759" s="50" t="str">
        <f>IF(D759="","",IFERROR(VLOOKUP(D759,'Product Master'!$B:$G,3,FALSE),""))</f>
        <v/>
      </c>
      <c r="G759" s="51"/>
      <c r="H759" s="52" t="str">
        <f>IF(D759="","",VLOOKUP(D759,'Product Master'!$B:$F,5,FALSE))</f>
        <v/>
      </c>
      <c r="I759" s="52">
        <f>IFERROR(VLOOKUP(D759,'Product Master'!B:E,4,FALSE),0)</f>
        <v>0</v>
      </c>
      <c r="J759" s="53">
        <f>IFERROR(Table3[[#This Row],[QTY SOLD]]*Table3[[#This Row],[Selling Price]],0)</f>
        <v>0</v>
      </c>
      <c r="K759" s="50"/>
      <c r="L759" s="50">
        <f>Table3[[#This Row],[Total Sales]]-Table3[[#This Row],[Discount]]</f>
        <v>0</v>
      </c>
      <c r="M759" s="58">
        <f>Table3[[#This Row],[Net Sales]]-Table3[[#This Row],[Cost Price]]*Table3[[#This Row],[QTY SOLD]]</f>
        <v>0</v>
      </c>
      <c r="N759" s="25"/>
      <c r="O759" s="25"/>
      <c r="P759" s="25"/>
      <c r="Q759" s="25"/>
      <c r="R759" s="25"/>
      <c r="S759" s="25"/>
    </row>
    <row r="760" spans="1:19" x14ac:dyDescent="0.25">
      <c r="A760" s="65"/>
      <c r="B760" s="50"/>
      <c r="C760" s="50"/>
      <c r="D760" s="50"/>
      <c r="E760" s="50" t="str">
        <f>IF(D760="","",VLOOKUP(D760,'Product Master'!$B:$C,2,FALSE))</f>
        <v/>
      </c>
      <c r="F760" s="50" t="str">
        <f>IF(D760="","",IFERROR(VLOOKUP(D760,'Product Master'!$B:$G,3,FALSE),""))</f>
        <v/>
      </c>
      <c r="G760" s="51"/>
      <c r="H760" s="52" t="str">
        <f>IF(D760="","",VLOOKUP(D760,'Product Master'!$B:$F,5,FALSE))</f>
        <v/>
      </c>
      <c r="I760" s="52">
        <f>IFERROR(VLOOKUP(D760,'Product Master'!B:E,4,FALSE),0)</f>
        <v>0</v>
      </c>
      <c r="J760" s="53">
        <f>IFERROR(Table3[[#This Row],[QTY SOLD]]*Table3[[#This Row],[Selling Price]],0)</f>
        <v>0</v>
      </c>
      <c r="K760" s="50"/>
      <c r="L760" s="50">
        <f>Table3[[#This Row],[Total Sales]]-Table3[[#This Row],[Discount]]</f>
        <v>0</v>
      </c>
      <c r="M760" s="58">
        <f>Table3[[#This Row],[Net Sales]]-Table3[[#This Row],[Cost Price]]*Table3[[#This Row],[QTY SOLD]]</f>
        <v>0</v>
      </c>
      <c r="N760" s="25"/>
      <c r="O760" s="25"/>
      <c r="P760" s="25"/>
      <c r="Q760" s="25"/>
      <c r="R760" s="25"/>
      <c r="S760" s="25"/>
    </row>
    <row r="761" spans="1:19" x14ac:dyDescent="0.25">
      <c r="A761" s="65"/>
      <c r="B761" s="50"/>
      <c r="C761" s="50"/>
      <c r="D761" s="50"/>
      <c r="E761" s="50" t="str">
        <f>IF(D761="","",VLOOKUP(D761,'Product Master'!$B:$C,2,FALSE))</f>
        <v/>
      </c>
      <c r="F761" s="50" t="str">
        <f>IF(D761="","",IFERROR(VLOOKUP(D761,'Product Master'!$B:$G,3,FALSE),""))</f>
        <v/>
      </c>
      <c r="G761" s="51"/>
      <c r="H761" s="52" t="str">
        <f>IF(D761="","",VLOOKUP(D761,'Product Master'!$B:$F,5,FALSE))</f>
        <v/>
      </c>
      <c r="I761" s="52">
        <f>IFERROR(VLOOKUP(D761,'Product Master'!B:E,4,FALSE),0)</f>
        <v>0</v>
      </c>
      <c r="J761" s="53">
        <f>IFERROR(Table3[[#This Row],[QTY SOLD]]*Table3[[#This Row],[Selling Price]],0)</f>
        <v>0</v>
      </c>
      <c r="K761" s="50"/>
      <c r="L761" s="50">
        <f>Table3[[#This Row],[Total Sales]]-Table3[[#This Row],[Discount]]</f>
        <v>0</v>
      </c>
      <c r="M761" s="58">
        <f>Table3[[#This Row],[Net Sales]]-Table3[[#This Row],[Cost Price]]*Table3[[#This Row],[QTY SOLD]]</f>
        <v>0</v>
      </c>
      <c r="N761" s="25"/>
      <c r="O761" s="25"/>
      <c r="P761" s="25"/>
      <c r="Q761" s="25"/>
      <c r="R761" s="25"/>
      <c r="S761" s="25"/>
    </row>
    <row r="762" spans="1:19" x14ac:dyDescent="0.25">
      <c r="A762" s="65"/>
      <c r="B762" s="50"/>
      <c r="C762" s="50"/>
      <c r="D762" s="50"/>
      <c r="E762" s="50" t="str">
        <f>IF(D762="","",VLOOKUP(D762,'Product Master'!$B:$C,2,FALSE))</f>
        <v/>
      </c>
      <c r="F762" s="50" t="str">
        <f>IF(D762="","",IFERROR(VLOOKUP(D762,'Product Master'!$B:$G,3,FALSE),""))</f>
        <v/>
      </c>
      <c r="G762" s="51"/>
      <c r="H762" s="52" t="str">
        <f>IF(D762="","",VLOOKUP(D762,'Product Master'!$B:$F,5,FALSE))</f>
        <v/>
      </c>
      <c r="I762" s="52">
        <f>IFERROR(VLOOKUP(D762,'Product Master'!B:E,4,FALSE),0)</f>
        <v>0</v>
      </c>
      <c r="J762" s="53">
        <f>IFERROR(Table3[[#This Row],[QTY SOLD]]*Table3[[#This Row],[Selling Price]],0)</f>
        <v>0</v>
      </c>
      <c r="K762" s="50"/>
      <c r="L762" s="50">
        <f>Table3[[#This Row],[Total Sales]]-Table3[[#This Row],[Discount]]</f>
        <v>0</v>
      </c>
      <c r="M762" s="58">
        <f>Table3[[#This Row],[Net Sales]]-Table3[[#This Row],[Cost Price]]*Table3[[#This Row],[QTY SOLD]]</f>
        <v>0</v>
      </c>
      <c r="N762" s="25"/>
      <c r="O762" s="25"/>
      <c r="P762" s="25"/>
      <c r="Q762" s="25"/>
      <c r="R762" s="25"/>
      <c r="S762" s="25"/>
    </row>
    <row r="763" spans="1:19" x14ac:dyDescent="0.25">
      <c r="A763" s="65"/>
      <c r="B763" s="50"/>
      <c r="C763" s="50"/>
      <c r="D763" s="50"/>
      <c r="E763" s="50" t="str">
        <f>IF(D763="","",VLOOKUP(D763,'Product Master'!$B:$C,2,FALSE))</f>
        <v/>
      </c>
      <c r="F763" s="50" t="str">
        <f>IF(D763="","",IFERROR(VLOOKUP(D763,'Product Master'!$B:$G,3,FALSE),""))</f>
        <v/>
      </c>
      <c r="G763" s="51"/>
      <c r="H763" s="52" t="str">
        <f>IF(D763="","",VLOOKUP(D763,'Product Master'!$B:$F,5,FALSE))</f>
        <v/>
      </c>
      <c r="I763" s="52">
        <f>IFERROR(VLOOKUP(D763,'Product Master'!B:E,4,FALSE),0)</f>
        <v>0</v>
      </c>
      <c r="J763" s="53">
        <f>IFERROR(Table3[[#This Row],[QTY SOLD]]*Table3[[#This Row],[Selling Price]],0)</f>
        <v>0</v>
      </c>
      <c r="K763" s="50"/>
      <c r="L763" s="50">
        <f>Table3[[#This Row],[Total Sales]]-Table3[[#This Row],[Discount]]</f>
        <v>0</v>
      </c>
      <c r="M763" s="58">
        <f>Table3[[#This Row],[Net Sales]]-Table3[[#This Row],[Cost Price]]*Table3[[#This Row],[QTY SOLD]]</f>
        <v>0</v>
      </c>
      <c r="N763" s="25"/>
      <c r="O763" s="25"/>
      <c r="P763" s="25"/>
      <c r="Q763" s="25"/>
      <c r="R763" s="25"/>
      <c r="S763" s="25"/>
    </row>
    <row r="764" spans="1:19" x14ac:dyDescent="0.25">
      <c r="A764" s="65"/>
      <c r="B764" s="50"/>
      <c r="C764" s="50"/>
      <c r="D764" s="50"/>
      <c r="E764" s="50" t="str">
        <f>IF(D764="","",VLOOKUP(D764,'Product Master'!$B:$C,2,FALSE))</f>
        <v/>
      </c>
      <c r="F764" s="50" t="str">
        <f>IF(D764="","",IFERROR(VLOOKUP(D764,'Product Master'!$B:$G,3,FALSE),""))</f>
        <v/>
      </c>
      <c r="G764" s="51"/>
      <c r="H764" s="52" t="str">
        <f>IF(D764="","",VLOOKUP(D764,'Product Master'!$B:$F,5,FALSE))</f>
        <v/>
      </c>
      <c r="I764" s="52">
        <f>IFERROR(VLOOKUP(D764,'Product Master'!B:E,4,FALSE),0)</f>
        <v>0</v>
      </c>
      <c r="J764" s="53">
        <f>IFERROR(Table3[[#This Row],[QTY SOLD]]*Table3[[#This Row],[Selling Price]],0)</f>
        <v>0</v>
      </c>
      <c r="K764" s="50"/>
      <c r="L764" s="50">
        <f>Table3[[#This Row],[Total Sales]]-Table3[[#This Row],[Discount]]</f>
        <v>0</v>
      </c>
      <c r="M764" s="58">
        <f>Table3[[#This Row],[Net Sales]]-Table3[[#This Row],[Cost Price]]*Table3[[#This Row],[QTY SOLD]]</f>
        <v>0</v>
      </c>
      <c r="N764" s="25"/>
      <c r="O764" s="25"/>
      <c r="P764" s="25"/>
      <c r="Q764" s="25"/>
      <c r="R764" s="25"/>
      <c r="S764" s="25"/>
    </row>
    <row r="765" spans="1:19" x14ac:dyDescent="0.25">
      <c r="A765" s="65"/>
      <c r="B765" s="50"/>
      <c r="C765" s="50"/>
      <c r="D765" s="50"/>
      <c r="E765" s="50" t="str">
        <f>IF(D765="","",VLOOKUP(D765,'Product Master'!$B:$C,2,FALSE))</f>
        <v/>
      </c>
      <c r="F765" s="50" t="str">
        <f>IF(D765="","",IFERROR(VLOOKUP(D765,'Product Master'!$B:$G,3,FALSE),""))</f>
        <v/>
      </c>
      <c r="G765" s="51"/>
      <c r="H765" s="52" t="str">
        <f>IF(D765="","",VLOOKUP(D765,'Product Master'!$B:$F,5,FALSE))</f>
        <v/>
      </c>
      <c r="I765" s="52">
        <f>IFERROR(VLOOKUP(D765,'Product Master'!B:E,4,FALSE),0)</f>
        <v>0</v>
      </c>
      <c r="J765" s="53">
        <f>IFERROR(Table3[[#This Row],[QTY SOLD]]*Table3[[#This Row],[Selling Price]],0)</f>
        <v>0</v>
      </c>
      <c r="K765" s="50"/>
      <c r="L765" s="50">
        <f>Table3[[#This Row],[Total Sales]]-Table3[[#This Row],[Discount]]</f>
        <v>0</v>
      </c>
      <c r="M765" s="58">
        <f>Table3[[#This Row],[Net Sales]]-Table3[[#This Row],[Cost Price]]*Table3[[#This Row],[QTY SOLD]]</f>
        <v>0</v>
      </c>
      <c r="N765" s="25"/>
      <c r="O765" s="25"/>
      <c r="P765" s="25"/>
      <c r="Q765" s="25"/>
      <c r="R765" s="25"/>
      <c r="S765" s="25"/>
    </row>
    <row r="766" spans="1:19" x14ac:dyDescent="0.25">
      <c r="A766" s="65"/>
      <c r="B766" s="50"/>
      <c r="C766" s="50"/>
      <c r="D766" s="50"/>
      <c r="E766" s="50" t="str">
        <f>IF(D766="","",VLOOKUP(D766,'Product Master'!$B:$C,2,FALSE))</f>
        <v/>
      </c>
      <c r="F766" s="50" t="str">
        <f>IF(D766="","",IFERROR(VLOOKUP(D766,'Product Master'!$B:$G,3,FALSE),""))</f>
        <v/>
      </c>
      <c r="G766" s="51"/>
      <c r="H766" s="52" t="str">
        <f>IF(D766="","",VLOOKUP(D766,'Product Master'!$B:$F,5,FALSE))</f>
        <v/>
      </c>
      <c r="I766" s="52">
        <f>IFERROR(VLOOKUP(D766,'Product Master'!B:E,4,FALSE),0)</f>
        <v>0</v>
      </c>
      <c r="J766" s="53">
        <f>IFERROR(Table3[[#This Row],[QTY SOLD]]*Table3[[#This Row],[Selling Price]],0)</f>
        <v>0</v>
      </c>
      <c r="K766" s="50"/>
      <c r="L766" s="50">
        <f>Table3[[#This Row],[Total Sales]]-Table3[[#This Row],[Discount]]</f>
        <v>0</v>
      </c>
      <c r="M766" s="58">
        <f>Table3[[#This Row],[Net Sales]]-Table3[[#This Row],[Cost Price]]*Table3[[#This Row],[QTY SOLD]]</f>
        <v>0</v>
      </c>
      <c r="N766" s="25"/>
      <c r="O766" s="25"/>
      <c r="P766" s="25"/>
      <c r="Q766" s="25"/>
      <c r="R766" s="25"/>
      <c r="S766" s="25"/>
    </row>
    <row r="767" spans="1:19" x14ac:dyDescent="0.25">
      <c r="A767" s="65"/>
      <c r="B767" s="50"/>
      <c r="C767" s="50"/>
      <c r="D767" s="50"/>
      <c r="E767" s="50" t="str">
        <f>IF(D767="","",VLOOKUP(D767,'Product Master'!$B:$C,2,FALSE))</f>
        <v/>
      </c>
      <c r="F767" s="50" t="str">
        <f>IF(D767="","",IFERROR(VLOOKUP(D767,'Product Master'!$B:$G,3,FALSE),""))</f>
        <v/>
      </c>
      <c r="G767" s="51"/>
      <c r="H767" s="52" t="str">
        <f>IF(D767="","",VLOOKUP(D767,'Product Master'!$B:$F,5,FALSE))</f>
        <v/>
      </c>
      <c r="I767" s="52">
        <f>IFERROR(VLOOKUP(D767,'Product Master'!B:E,4,FALSE),0)</f>
        <v>0</v>
      </c>
      <c r="J767" s="53">
        <f>IFERROR(Table3[[#This Row],[QTY SOLD]]*Table3[[#This Row],[Selling Price]],0)</f>
        <v>0</v>
      </c>
      <c r="K767" s="50"/>
      <c r="L767" s="50">
        <f>Table3[[#This Row],[Total Sales]]-Table3[[#This Row],[Discount]]</f>
        <v>0</v>
      </c>
      <c r="M767" s="58">
        <f>Table3[[#This Row],[Net Sales]]-Table3[[#This Row],[Cost Price]]*Table3[[#This Row],[QTY SOLD]]</f>
        <v>0</v>
      </c>
      <c r="N767" s="25"/>
      <c r="O767" s="25"/>
      <c r="P767" s="25"/>
      <c r="Q767" s="25"/>
      <c r="R767" s="25"/>
      <c r="S767" s="25"/>
    </row>
    <row r="768" spans="1:19" x14ac:dyDescent="0.25">
      <c r="A768" s="65"/>
      <c r="B768" s="50"/>
      <c r="C768" s="50"/>
      <c r="D768" s="50"/>
      <c r="E768" s="50" t="str">
        <f>IF(D768="","",VLOOKUP(D768,'Product Master'!$B:$C,2,FALSE))</f>
        <v/>
      </c>
      <c r="F768" s="50" t="str">
        <f>IF(D768="","",IFERROR(VLOOKUP(D768,'Product Master'!$B:$G,3,FALSE),""))</f>
        <v/>
      </c>
      <c r="G768" s="51"/>
      <c r="H768" s="52" t="str">
        <f>IF(D768="","",VLOOKUP(D768,'Product Master'!$B:$F,5,FALSE))</f>
        <v/>
      </c>
      <c r="I768" s="52">
        <f>IFERROR(VLOOKUP(D768,'Product Master'!B:E,4,FALSE),0)</f>
        <v>0</v>
      </c>
      <c r="J768" s="53">
        <f>IFERROR(Table3[[#This Row],[QTY SOLD]]*Table3[[#This Row],[Selling Price]],0)</f>
        <v>0</v>
      </c>
      <c r="K768" s="50"/>
      <c r="L768" s="50">
        <f>Table3[[#This Row],[Total Sales]]-Table3[[#This Row],[Discount]]</f>
        <v>0</v>
      </c>
      <c r="M768" s="58">
        <f>Table3[[#This Row],[Net Sales]]-Table3[[#This Row],[Cost Price]]*Table3[[#This Row],[QTY SOLD]]</f>
        <v>0</v>
      </c>
      <c r="N768" s="25"/>
      <c r="O768" s="25"/>
      <c r="P768" s="25"/>
      <c r="Q768" s="25"/>
      <c r="R768" s="25"/>
      <c r="S768" s="25"/>
    </row>
    <row r="769" spans="1:19" x14ac:dyDescent="0.25">
      <c r="A769" s="65"/>
      <c r="B769" s="50"/>
      <c r="C769" s="50"/>
      <c r="D769" s="50"/>
      <c r="E769" s="50" t="str">
        <f>IF(D769="","",VLOOKUP(D769,'Product Master'!$B:$C,2,FALSE))</f>
        <v/>
      </c>
      <c r="F769" s="50" t="str">
        <f>IF(D769="","",IFERROR(VLOOKUP(D769,'Product Master'!$B:$G,3,FALSE),""))</f>
        <v/>
      </c>
      <c r="G769" s="51"/>
      <c r="H769" s="52" t="str">
        <f>IF(D769="","",VLOOKUP(D769,'Product Master'!$B:$F,5,FALSE))</f>
        <v/>
      </c>
      <c r="I769" s="52">
        <f>IFERROR(VLOOKUP(D769,'Product Master'!B:E,4,FALSE),0)</f>
        <v>0</v>
      </c>
      <c r="J769" s="53">
        <f>IFERROR(Table3[[#This Row],[QTY SOLD]]*Table3[[#This Row],[Selling Price]],0)</f>
        <v>0</v>
      </c>
      <c r="K769" s="50"/>
      <c r="L769" s="50">
        <f>Table3[[#This Row],[Total Sales]]-Table3[[#This Row],[Discount]]</f>
        <v>0</v>
      </c>
      <c r="M769" s="58">
        <f>Table3[[#This Row],[Net Sales]]-Table3[[#This Row],[Cost Price]]*Table3[[#This Row],[QTY SOLD]]</f>
        <v>0</v>
      </c>
      <c r="N769" s="25"/>
      <c r="O769" s="25"/>
      <c r="P769" s="25"/>
      <c r="Q769" s="25"/>
      <c r="R769" s="25"/>
      <c r="S769" s="25"/>
    </row>
    <row r="770" spans="1:19" x14ac:dyDescent="0.25">
      <c r="A770" s="65"/>
      <c r="B770" s="50"/>
      <c r="C770" s="50"/>
      <c r="D770" s="50"/>
      <c r="E770" s="50" t="str">
        <f>IF(D770="","",VLOOKUP(D770,'Product Master'!$B:$C,2,FALSE))</f>
        <v/>
      </c>
      <c r="F770" s="50" t="str">
        <f>IF(D770="","",IFERROR(VLOOKUP(D770,'Product Master'!$B:$G,3,FALSE),""))</f>
        <v/>
      </c>
      <c r="G770" s="51"/>
      <c r="H770" s="52" t="str">
        <f>IF(D770="","",VLOOKUP(D770,'Product Master'!$B:$F,5,FALSE))</f>
        <v/>
      </c>
      <c r="I770" s="52">
        <f>IFERROR(VLOOKUP(D770,'Product Master'!B:E,4,FALSE),0)</f>
        <v>0</v>
      </c>
      <c r="J770" s="53">
        <f>IFERROR(Table3[[#This Row],[QTY SOLD]]*Table3[[#This Row],[Selling Price]],0)</f>
        <v>0</v>
      </c>
      <c r="K770" s="50"/>
      <c r="L770" s="50">
        <f>Table3[[#This Row],[Total Sales]]-Table3[[#This Row],[Discount]]</f>
        <v>0</v>
      </c>
      <c r="M770" s="58">
        <f>Table3[[#This Row],[Net Sales]]-Table3[[#This Row],[Cost Price]]*Table3[[#This Row],[QTY SOLD]]</f>
        <v>0</v>
      </c>
      <c r="N770" s="25"/>
      <c r="O770" s="25"/>
      <c r="P770" s="25"/>
      <c r="Q770" s="25"/>
      <c r="R770" s="25"/>
      <c r="S770" s="25"/>
    </row>
    <row r="771" spans="1:19" x14ac:dyDescent="0.25">
      <c r="A771" s="65"/>
      <c r="B771" s="50"/>
      <c r="C771" s="50"/>
      <c r="D771" s="50"/>
      <c r="E771" s="50" t="str">
        <f>IF(D771="","",VLOOKUP(D771,'Product Master'!$B:$C,2,FALSE))</f>
        <v/>
      </c>
      <c r="F771" s="50" t="str">
        <f>IF(D771="","",IFERROR(VLOOKUP(D771,'Product Master'!$B:$G,3,FALSE),""))</f>
        <v/>
      </c>
      <c r="G771" s="51"/>
      <c r="H771" s="52" t="str">
        <f>IF(D771="","",VLOOKUP(D771,'Product Master'!$B:$F,5,FALSE))</f>
        <v/>
      </c>
      <c r="I771" s="52">
        <f>IFERROR(VLOOKUP(D771,'Product Master'!B:E,4,FALSE),0)</f>
        <v>0</v>
      </c>
      <c r="J771" s="53">
        <f>IFERROR(Table3[[#This Row],[QTY SOLD]]*Table3[[#This Row],[Selling Price]],0)</f>
        <v>0</v>
      </c>
      <c r="K771" s="50"/>
      <c r="L771" s="50">
        <f>Table3[[#This Row],[Total Sales]]-Table3[[#This Row],[Discount]]</f>
        <v>0</v>
      </c>
      <c r="M771" s="58">
        <f>Table3[[#This Row],[Net Sales]]-Table3[[#This Row],[Cost Price]]*Table3[[#This Row],[QTY SOLD]]</f>
        <v>0</v>
      </c>
      <c r="N771" s="25"/>
      <c r="O771" s="25"/>
      <c r="P771" s="25"/>
      <c r="Q771" s="25"/>
      <c r="R771" s="25"/>
      <c r="S771" s="25"/>
    </row>
    <row r="772" spans="1:19" x14ac:dyDescent="0.25">
      <c r="A772" s="65"/>
      <c r="B772" s="50"/>
      <c r="C772" s="50"/>
      <c r="D772" s="50"/>
      <c r="E772" s="50" t="str">
        <f>IF(D772="","",VLOOKUP(D772,'Product Master'!$B:$C,2,FALSE))</f>
        <v/>
      </c>
      <c r="F772" s="50" t="str">
        <f>IF(D772="","",IFERROR(VLOOKUP(D772,'Product Master'!$B:$G,3,FALSE),""))</f>
        <v/>
      </c>
      <c r="G772" s="51"/>
      <c r="H772" s="52" t="str">
        <f>IF(D772="","",VLOOKUP(D772,'Product Master'!$B:$F,5,FALSE))</f>
        <v/>
      </c>
      <c r="I772" s="52">
        <f>IFERROR(VLOOKUP(D772,'Product Master'!B:E,4,FALSE),0)</f>
        <v>0</v>
      </c>
      <c r="J772" s="53">
        <f>IFERROR(Table3[[#This Row],[QTY SOLD]]*Table3[[#This Row],[Selling Price]],0)</f>
        <v>0</v>
      </c>
      <c r="K772" s="50"/>
      <c r="L772" s="50">
        <f>Table3[[#This Row],[Total Sales]]-Table3[[#This Row],[Discount]]</f>
        <v>0</v>
      </c>
      <c r="M772" s="58">
        <f>Table3[[#This Row],[Net Sales]]-Table3[[#This Row],[Cost Price]]*Table3[[#This Row],[QTY SOLD]]</f>
        <v>0</v>
      </c>
      <c r="N772" s="25"/>
      <c r="O772" s="25"/>
      <c r="P772" s="25"/>
      <c r="Q772" s="25"/>
      <c r="R772" s="25"/>
      <c r="S772" s="25"/>
    </row>
    <row r="773" spans="1:19" x14ac:dyDescent="0.25">
      <c r="A773" s="65"/>
      <c r="B773" s="50"/>
      <c r="C773" s="50"/>
      <c r="D773" s="50"/>
      <c r="E773" s="50" t="str">
        <f>IF(D773="","",VLOOKUP(D773,'Product Master'!$B:$C,2,FALSE))</f>
        <v/>
      </c>
      <c r="F773" s="50" t="str">
        <f>IF(D773="","",IFERROR(VLOOKUP(D773,'Product Master'!$B:$G,3,FALSE),""))</f>
        <v/>
      </c>
      <c r="G773" s="51"/>
      <c r="H773" s="52" t="str">
        <f>IF(D773="","",VLOOKUP(D773,'Product Master'!$B:$F,5,FALSE))</f>
        <v/>
      </c>
      <c r="I773" s="52">
        <f>IFERROR(VLOOKUP(D773,'Product Master'!B:E,4,FALSE),0)</f>
        <v>0</v>
      </c>
      <c r="J773" s="53">
        <f>IFERROR(Table3[[#This Row],[QTY SOLD]]*Table3[[#This Row],[Selling Price]],0)</f>
        <v>0</v>
      </c>
      <c r="K773" s="50"/>
      <c r="L773" s="50">
        <f>Table3[[#This Row],[Total Sales]]-Table3[[#This Row],[Discount]]</f>
        <v>0</v>
      </c>
      <c r="M773" s="58">
        <f>Table3[[#This Row],[Net Sales]]-Table3[[#This Row],[Cost Price]]*Table3[[#This Row],[QTY SOLD]]</f>
        <v>0</v>
      </c>
      <c r="N773" s="25"/>
      <c r="O773" s="25"/>
      <c r="P773" s="25"/>
      <c r="Q773" s="25"/>
      <c r="R773" s="25"/>
      <c r="S773" s="25"/>
    </row>
    <row r="774" spans="1:19" x14ac:dyDescent="0.25">
      <c r="A774" s="65"/>
      <c r="B774" s="50"/>
      <c r="C774" s="50"/>
      <c r="D774" s="50"/>
      <c r="E774" s="50" t="str">
        <f>IF(D774="","",VLOOKUP(D774,'Product Master'!$B:$C,2,FALSE))</f>
        <v/>
      </c>
      <c r="F774" s="50" t="str">
        <f>IF(D774="","",IFERROR(VLOOKUP(D774,'Product Master'!$B:$G,3,FALSE),""))</f>
        <v/>
      </c>
      <c r="G774" s="51"/>
      <c r="H774" s="52" t="str">
        <f>IF(D774="","",VLOOKUP(D774,'Product Master'!$B:$F,5,FALSE))</f>
        <v/>
      </c>
      <c r="I774" s="52">
        <f>IFERROR(VLOOKUP(D774,'Product Master'!B:E,4,FALSE),0)</f>
        <v>0</v>
      </c>
      <c r="J774" s="53">
        <f>IFERROR(Table3[[#This Row],[QTY SOLD]]*Table3[[#This Row],[Selling Price]],0)</f>
        <v>0</v>
      </c>
      <c r="K774" s="50"/>
      <c r="L774" s="50">
        <f>Table3[[#This Row],[Total Sales]]-Table3[[#This Row],[Discount]]</f>
        <v>0</v>
      </c>
      <c r="M774" s="58">
        <f>Table3[[#This Row],[Net Sales]]-Table3[[#This Row],[Cost Price]]*Table3[[#This Row],[QTY SOLD]]</f>
        <v>0</v>
      </c>
      <c r="N774" s="25"/>
      <c r="O774" s="25"/>
      <c r="P774" s="25"/>
      <c r="Q774" s="25"/>
      <c r="R774" s="25"/>
      <c r="S774" s="25"/>
    </row>
    <row r="775" spans="1:19" x14ac:dyDescent="0.25">
      <c r="A775" s="65"/>
      <c r="B775" s="50"/>
      <c r="C775" s="50"/>
      <c r="D775" s="50"/>
      <c r="E775" s="50" t="str">
        <f>IF(D775="","",VLOOKUP(D775,'Product Master'!$B:$C,2,FALSE))</f>
        <v/>
      </c>
      <c r="F775" s="50" t="str">
        <f>IF(D775="","",IFERROR(VLOOKUP(D775,'Product Master'!$B:$G,3,FALSE),""))</f>
        <v/>
      </c>
      <c r="G775" s="51"/>
      <c r="H775" s="52" t="str">
        <f>IF(D775="","",VLOOKUP(D775,'Product Master'!$B:$F,5,FALSE))</f>
        <v/>
      </c>
      <c r="I775" s="52">
        <f>IFERROR(VLOOKUP(D775,'Product Master'!B:E,4,FALSE),0)</f>
        <v>0</v>
      </c>
      <c r="J775" s="53">
        <f>IFERROR(Table3[[#This Row],[QTY SOLD]]*Table3[[#This Row],[Selling Price]],0)</f>
        <v>0</v>
      </c>
      <c r="K775" s="50"/>
      <c r="L775" s="50">
        <f>Table3[[#This Row],[Total Sales]]-Table3[[#This Row],[Discount]]</f>
        <v>0</v>
      </c>
      <c r="M775" s="58">
        <f>Table3[[#This Row],[Net Sales]]-Table3[[#This Row],[Cost Price]]*Table3[[#This Row],[QTY SOLD]]</f>
        <v>0</v>
      </c>
      <c r="N775" s="25"/>
      <c r="O775" s="25"/>
      <c r="P775" s="25"/>
      <c r="Q775" s="25"/>
      <c r="R775" s="25"/>
      <c r="S775" s="25"/>
    </row>
    <row r="776" spans="1:19" x14ac:dyDescent="0.25">
      <c r="A776" s="65"/>
      <c r="B776" s="50"/>
      <c r="C776" s="50"/>
      <c r="D776" s="50"/>
      <c r="E776" s="50" t="str">
        <f>IF(D776="","",VLOOKUP(D776,'Product Master'!$B:$C,2,FALSE))</f>
        <v/>
      </c>
      <c r="F776" s="50" t="str">
        <f>IF(D776="","",IFERROR(VLOOKUP(D776,'Product Master'!$B:$G,3,FALSE),""))</f>
        <v/>
      </c>
      <c r="G776" s="51"/>
      <c r="H776" s="52" t="str">
        <f>IF(D776="","",VLOOKUP(D776,'Product Master'!$B:$F,5,FALSE))</f>
        <v/>
      </c>
      <c r="I776" s="52">
        <f>IFERROR(VLOOKUP(D776,'Product Master'!B:E,4,FALSE),0)</f>
        <v>0</v>
      </c>
      <c r="J776" s="53">
        <f>IFERROR(Table3[[#This Row],[QTY SOLD]]*Table3[[#This Row],[Selling Price]],0)</f>
        <v>0</v>
      </c>
      <c r="K776" s="50"/>
      <c r="L776" s="50">
        <f>Table3[[#This Row],[Total Sales]]-Table3[[#This Row],[Discount]]</f>
        <v>0</v>
      </c>
      <c r="M776" s="58">
        <f>Table3[[#This Row],[Net Sales]]-Table3[[#This Row],[Cost Price]]*Table3[[#This Row],[QTY SOLD]]</f>
        <v>0</v>
      </c>
      <c r="N776" s="25"/>
      <c r="O776" s="25"/>
      <c r="P776" s="25"/>
      <c r="Q776" s="25"/>
      <c r="R776" s="25"/>
      <c r="S776" s="25"/>
    </row>
    <row r="777" spans="1:19" x14ac:dyDescent="0.25">
      <c r="A777" s="65"/>
      <c r="B777" s="50"/>
      <c r="C777" s="50"/>
      <c r="D777" s="50"/>
      <c r="E777" s="50" t="str">
        <f>IF(D777="","",VLOOKUP(D777,'Product Master'!$B:$C,2,FALSE))</f>
        <v/>
      </c>
      <c r="F777" s="50" t="str">
        <f>IF(D777="","",IFERROR(VLOOKUP(D777,'Product Master'!$B:$G,3,FALSE),""))</f>
        <v/>
      </c>
      <c r="G777" s="51"/>
      <c r="H777" s="52" t="str">
        <f>IF(D777="","",VLOOKUP(D777,'Product Master'!$B:$F,5,FALSE))</f>
        <v/>
      </c>
      <c r="I777" s="52">
        <f>IFERROR(VLOOKUP(D777,'Product Master'!B:E,4,FALSE),0)</f>
        <v>0</v>
      </c>
      <c r="J777" s="53">
        <f>IFERROR(Table3[[#This Row],[QTY SOLD]]*Table3[[#This Row],[Selling Price]],0)</f>
        <v>0</v>
      </c>
      <c r="K777" s="50"/>
      <c r="L777" s="50">
        <f>Table3[[#This Row],[Total Sales]]-Table3[[#This Row],[Discount]]</f>
        <v>0</v>
      </c>
      <c r="M777" s="58">
        <f>Table3[[#This Row],[Net Sales]]-Table3[[#This Row],[Cost Price]]*Table3[[#This Row],[QTY SOLD]]</f>
        <v>0</v>
      </c>
      <c r="N777" s="25"/>
      <c r="O777" s="25"/>
      <c r="P777" s="25"/>
      <c r="Q777" s="25"/>
      <c r="R777" s="25"/>
      <c r="S777" s="25"/>
    </row>
    <row r="778" spans="1:19" x14ac:dyDescent="0.25">
      <c r="A778" s="65"/>
      <c r="B778" s="50"/>
      <c r="C778" s="50"/>
      <c r="D778" s="50"/>
      <c r="E778" s="50" t="str">
        <f>IF(D778="","",VLOOKUP(D778,'Product Master'!$B:$C,2,FALSE))</f>
        <v/>
      </c>
      <c r="F778" s="50" t="str">
        <f>IF(D778="","",IFERROR(VLOOKUP(D778,'Product Master'!$B:$G,3,FALSE),""))</f>
        <v/>
      </c>
      <c r="G778" s="51"/>
      <c r="H778" s="52" t="str">
        <f>IF(D778="","",VLOOKUP(D778,'Product Master'!$B:$F,5,FALSE))</f>
        <v/>
      </c>
      <c r="I778" s="52">
        <f>IFERROR(VLOOKUP(D778,'Product Master'!B:E,4,FALSE),0)</f>
        <v>0</v>
      </c>
      <c r="J778" s="53">
        <f>IFERROR(Table3[[#This Row],[QTY SOLD]]*Table3[[#This Row],[Selling Price]],0)</f>
        <v>0</v>
      </c>
      <c r="K778" s="50"/>
      <c r="L778" s="50">
        <f>Table3[[#This Row],[Total Sales]]-Table3[[#This Row],[Discount]]</f>
        <v>0</v>
      </c>
      <c r="M778" s="58">
        <f>Table3[[#This Row],[Net Sales]]-Table3[[#This Row],[Cost Price]]*Table3[[#This Row],[QTY SOLD]]</f>
        <v>0</v>
      </c>
      <c r="N778" s="25"/>
      <c r="O778" s="25"/>
      <c r="P778" s="25"/>
      <c r="Q778" s="25"/>
      <c r="R778" s="25"/>
      <c r="S778" s="25"/>
    </row>
    <row r="779" spans="1:19" x14ac:dyDescent="0.25">
      <c r="A779" s="65"/>
      <c r="B779" s="50"/>
      <c r="C779" s="50"/>
      <c r="D779" s="50"/>
      <c r="E779" s="50" t="str">
        <f>IF(D779="","",VLOOKUP(D779,'Product Master'!$B:$C,2,FALSE))</f>
        <v/>
      </c>
      <c r="F779" s="50" t="str">
        <f>IF(D779="","",IFERROR(VLOOKUP(D779,'Product Master'!$B:$G,3,FALSE),""))</f>
        <v/>
      </c>
      <c r="G779" s="51"/>
      <c r="H779" s="52" t="str">
        <f>IF(D779="","",VLOOKUP(D779,'Product Master'!$B:$F,5,FALSE))</f>
        <v/>
      </c>
      <c r="I779" s="52">
        <f>IFERROR(VLOOKUP(D779,'Product Master'!B:E,4,FALSE),0)</f>
        <v>0</v>
      </c>
      <c r="J779" s="53">
        <f>IFERROR(Table3[[#This Row],[QTY SOLD]]*Table3[[#This Row],[Selling Price]],0)</f>
        <v>0</v>
      </c>
      <c r="K779" s="50"/>
      <c r="L779" s="50">
        <f>Table3[[#This Row],[Total Sales]]-Table3[[#This Row],[Discount]]</f>
        <v>0</v>
      </c>
      <c r="M779" s="58">
        <f>Table3[[#This Row],[Net Sales]]-Table3[[#This Row],[Cost Price]]*Table3[[#This Row],[QTY SOLD]]</f>
        <v>0</v>
      </c>
      <c r="N779" s="25"/>
      <c r="O779" s="25"/>
      <c r="P779" s="25"/>
      <c r="Q779" s="25"/>
      <c r="R779" s="25"/>
      <c r="S779" s="25"/>
    </row>
    <row r="780" spans="1:19" x14ac:dyDescent="0.25">
      <c r="A780" s="65"/>
      <c r="B780" s="50"/>
      <c r="C780" s="50"/>
      <c r="D780" s="50"/>
      <c r="E780" s="50" t="str">
        <f>IF(D780="","",VLOOKUP(D780,'Product Master'!$B:$C,2,FALSE))</f>
        <v/>
      </c>
      <c r="F780" s="50" t="str">
        <f>IF(D780="","",IFERROR(VLOOKUP(D780,'Product Master'!$B:$G,3,FALSE),""))</f>
        <v/>
      </c>
      <c r="G780" s="51"/>
      <c r="H780" s="52" t="str">
        <f>IF(D780="","",VLOOKUP(D780,'Product Master'!$B:$F,5,FALSE))</f>
        <v/>
      </c>
      <c r="I780" s="52">
        <f>IFERROR(VLOOKUP(D780,'Product Master'!B:E,4,FALSE),0)</f>
        <v>0</v>
      </c>
      <c r="J780" s="53">
        <f>IFERROR(Table3[[#This Row],[QTY SOLD]]*Table3[[#This Row],[Selling Price]],0)</f>
        <v>0</v>
      </c>
      <c r="K780" s="50"/>
      <c r="L780" s="50">
        <f>Table3[[#This Row],[Total Sales]]-Table3[[#This Row],[Discount]]</f>
        <v>0</v>
      </c>
      <c r="M780" s="58">
        <f>Table3[[#This Row],[Net Sales]]-Table3[[#This Row],[Cost Price]]*Table3[[#This Row],[QTY SOLD]]</f>
        <v>0</v>
      </c>
      <c r="N780" s="25"/>
      <c r="O780" s="25"/>
      <c r="P780" s="25"/>
      <c r="Q780" s="25"/>
      <c r="R780" s="25"/>
      <c r="S780" s="25"/>
    </row>
    <row r="781" spans="1:19" x14ac:dyDescent="0.25">
      <c r="A781" s="65"/>
      <c r="B781" s="50"/>
      <c r="C781" s="50"/>
      <c r="D781" s="50"/>
      <c r="E781" s="50" t="str">
        <f>IF(D781="","",VLOOKUP(D781,'Product Master'!$B:$C,2,FALSE))</f>
        <v/>
      </c>
      <c r="F781" s="50" t="str">
        <f>IF(D781="","",IFERROR(VLOOKUP(D781,'Product Master'!$B:$G,3,FALSE),""))</f>
        <v/>
      </c>
      <c r="G781" s="51"/>
      <c r="H781" s="52" t="str">
        <f>IF(D781="","",VLOOKUP(D781,'Product Master'!$B:$F,5,FALSE))</f>
        <v/>
      </c>
      <c r="I781" s="52">
        <f>IFERROR(VLOOKUP(D781,'Product Master'!B:E,4,FALSE),0)</f>
        <v>0</v>
      </c>
      <c r="J781" s="53">
        <f>IFERROR(Table3[[#This Row],[QTY SOLD]]*Table3[[#This Row],[Selling Price]],0)</f>
        <v>0</v>
      </c>
      <c r="K781" s="50"/>
      <c r="L781" s="50">
        <f>Table3[[#This Row],[Total Sales]]-Table3[[#This Row],[Discount]]</f>
        <v>0</v>
      </c>
      <c r="M781" s="58">
        <f>Table3[[#This Row],[Net Sales]]-Table3[[#This Row],[Cost Price]]*Table3[[#This Row],[QTY SOLD]]</f>
        <v>0</v>
      </c>
      <c r="N781" s="25"/>
      <c r="O781" s="25"/>
      <c r="P781" s="25"/>
      <c r="Q781" s="25"/>
      <c r="R781" s="25"/>
      <c r="S781" s="25"/>
    </row>
    <row r="782" spans="1:19" x14ac:dyDescent="0.25">
      <c r="A782" s="65"/>
      <c r="B782" s="50"/>
      <c r="C782" s="50"/>
      <c r="D782" s="50"/>
      <c r="E782" s="50" t="str">
        <f>IF(D782="","",VLOOKUP(D782,'Product Master'!$B:$C,2,FALSE))</f>
        <v/>
      </c>
      <c r="F782" s="50" t="str">
        <f>IF(D782="","",IFERROR(VLOOKUP(D782,'Product Master'!$B:$G,3,FALSE),""))</f>
        <v/>
      </c>
      <c r="G782" s="51"/>
      <c r="H782" s="52" t="str">
        <f>IF(D782="","",VLOOKUP(D782,'Product Master'!$B:$F,5,FALSE))</f>
        <v/>
      </c>
      <c r="I782" s="52">
        <f>IFERROR(VLOOKUP(D782,'Product Master'!B:E,4,FALSE),0)</f>
        <v>0</v>
      </c>
      <c r="J782" s="53">
        <f>IFERROR(Table3[[#This Row],[QTY SOLD]]*Table3[[#This Row],[Selling Price]],0)</f>
        <v>0</v>
      </c>
      <c r="K782" s="50"/>
      <c r="L782" s="50">
        <f>Table3[[#This Row],[Total Sales]]-Table3[[#This Row],[Discount]]</f>
        <v>0</v>
      </c>
      <c r="M782" s="58">
        <f>Table3[[#This Row],[Net Sales]]-Table3[[#This Row],[Cost Price]]*Table3[[#This Row],[QTY SOLD]]</f>
        <v>0</v>
      </c>
      <c r="N782" s="25"/>
      <c r="O782" s="25"/>
      <c r="P782" s="25"/>
      <c r="Q782" s="25"/>
      <c r="R782" s="25"/>
      <c r="S782" s="25"/>
    </row>
    <row r="783" spans="1:19" x14ac:dyDescent="0.25">
      <c r="A783" s="65"/>
      <c r="B783" s="50"/>
      <c r="C783" s="50"/>
      <c r="D783" s="50"/>
      <c r="E783" s="50" t="str">
        <f>IF(D783="","",VLOOKUP(D783,'Product Master'!$B:$C,2,FALSE))</f>
        <v/>
      </c>
      <c r="F783" s="50" t="str">
        <f>IF(D783="","",IFERROR(VLOOKUP(D783,'Product Master'!$B:$G,3,FALSE),""))</f>
        <v/>
      </c>
      <c r="G783" s="51"/>
      <c r="H783" s="52" t="str">
        <f>IF(D783="","",VLOOKUP(D783,'Product Master'!$B:$F,5,FALSE))</f>
        <v/>
      </c>
      <c r="I783" s="52">
        <f>IFERROR(VLOOKUP(D783,'Product Master'!B:E,4,FALSE),0)</f>
        <v>0</v>
      </c>
      <c r="J783" s="53">
        <f>IFERROR(Table3[[#This Row],[QTY SOLD]]*Table3[[#This Row],[Selling Price]],0)</f>
        <v>0</v>
      </c>
      <c r="K783" s="50"/>
      <c r="L783" s="50">
        <f>Table3[[#This Row],[Total Sales]]-Table3[[#This Row],[Discount]]</f>
        <v>0</v>
      </c>
      <c r="M783" s="58">
        <f>Table3[[#This Row],[Net Sales]]-Table3[[#This Row],[Cost Price]]*Table3[[#This Row],[QTY SOLD]]</f>
        <v>0</v>
      </c>
      <c r="N783" s="25"/>
      <c r="O783" s="25"/>
      <c r="P783" s="25"/>
      <c r="Q783" s="25"/>
      <c r="R783" s="25"/>
      <c r="S783" s="25"/>
    </row>
    <row r="784" spans="1:19" x14ac:dyDescent="0.25">
      <c r="A784" s="65"/>
      <c r="B784" s="50"/>
      <c r="C784" s="50"/>
      <c r="D784" s="50"/>
      <c r="E784" s="50" t="str">
        <f>IF(D784="","",VLOOKUP(D784,'Product Master'!$B:$C,2,FALSE))</f>
        <v/>
      </c>
      <c r="F784" s="50" t="str">
        <f>IF(D784="","",IFERROR(VLOOKUP(D784,'Product Master'!$B:$G,3,FALSE),""))</f>
        <v/>
      </c>
      <c r="G784" s="51"/>
      <c r="H784" s="52" t="str">
        <f>IF(D784="","",VLOOKUP(D784,'Product Master'!$B:$F,5,FALSE))</f>
        <v/>
      </c>
      <c r="I784" s="52">
        <f>IFERROR(VLOOKUP(D784,'Product Master'!B:E,4,FALSE),0)</f>
        <v>0</v>
      </c>
      <c r="J784" s="53">
        <f>IFERROR(Table3[[#This Row],[QTY SOLD]]*Table3[[#This Row],[Selling Price]],0)</f>
        <v>0</v>
      </c>
      <c r="K784" s="50"/>
      <c r="L784" s="50">
        <f>Table3[[#This Row],[Total Sales]]-Table3[[#This Row],[Discount]]</f>
        <v>0</v>
      </c>
      <c r="M784" s="58">
        <f>Table3[[#This Row],[Net Sales]]-Table3[[#This Row],[Cost Price]]*Table3[[#This Row],[QTY SOLD]]</f>
        <v>0</v>
      </c>
      <c r="N784" s="25"/>
      <c r="O784" s="25"/>
      <c r="P784" s="25"/>
      <c r="Q784" s="25"/>
      <c r="R784" s="25"/>
      <c r="S784" s="25"/>
    </row>
    <row r="785" spans="1:19" x14ac:dyDescent="0.25">
      <c r="A785" s="65"/>
      <c r="B785" s="50"/>
      <c r="C785" s="50"/>
      <c r="D785" s="50"/>
      <c r="E785" s="50" t="str">
        <f>IF(D785="","",VLOOKUP(D785,'Product Master'!$B:$C,2,FALSE))</f>
        <v/>
      </c>
      <c r="F785" s="50" t="str">
        <f>IF(D785="","",IFERROR(VLOOKUP(D785,'Product Master'!$B:$G,3,FALSE),""))</f>
        <v/>
      </c>
      <c r="G785" s="51"/>
      <c r="H785" s="52" t="str">
        <f>IF(D785="","",VLOOKUP(D785,'Product Master'!$B:$F,5,FALSE))</f>
        <v/>
      </c>
      <c r="I785" s="52">
        <f>IFERROR(VLOOKUP(D785,'Product Master'!B:E,4,FALSE),0)</f>
        <v>0</v>
      </c>
      <c r="J785" s="53">
        <f>IFERROR(Table3[[#This Row],[QTY SOLD]]*Table3[[#This Row],[Selling Price]],0)</f>
        <v>0</v>
      </c>
      <c r="K785" s="50"/>
      <c r="L785" s="50">
        <f>Table3[[#This Row],[Total Sales]]-Table3[[#This Row],[Discount]]</f>
        <v>0</v>
      </c>
      <c r="M785" s="58">
        <f>Table3[[#This Row],[Net Sales]]-Table3[[#This Row],[Cost Price]]*Table3[[#This Row],[QTY SOLD]]</f>
        <v>0</v>
      </c>
      <c r="N785" s="25"/>
      <c r="O785" s="25"/>
      <c r="P785" s="25"/>
      <c r="Q785" s="25"/>
      <c r="R785" s="25"/>
      <c r="S785" s="25"/>
    </row>
    <row r="786" spans="1:19" x14ac:dyDescent="0.25">
      <c r="A786" s="65"/>
      <c r="B786" s="50"/>
      <c r="C786" s="50"/>
      <c r="D786" s="50"/>
      <c r="E786" s="50" t="str">
        <f>IF(D786="","",VLOOKUP(D786,'Product Master'!$B:$C,2,FALSE))</f>
        <v/>
      </c>
      <c r="F786" s="50" t="str">
        <f>IF(D786="","",IFERROR(VLOOKUP(D786,'Product Master'!$B:$G,3,FALSE),""))</f>
        <v/>
      </c>
      <c r="G786" s="51"/>
      <c r="H786" s="52" t="str">
        <f>IF(D786="","",VLOOKUP(D786,'Product Master'!$B:$F,5,FALSE))</f>
        <v/>
      </c>
      <c r="I786" s="52">
        <f>IFERROR(VLOOKUP(D786,'Product Master'!B:E,4,FALSE),0)</f>
        <v>0</v>
      </c>
      <c r="J786" s="53">
        <f>IFERROR(Table3[[#This Row],[QTY SOLD]]*Table3[[#This Row],[Selling Price]],0)</f>
        <v>0</v>
      </c>
      <c r="K786" s="50"/>
      <c r="L786" s="50">
        <f>Table3[[#This Row],[Total Sales]]-Table3[[#This Row],[Discount]]</f>
        <v>0</v>
      </c>
      <c r="M786" s="58">
        <f>Table3[[#This Row],[Net Sales]]-Table3[[#This Row],[Cost Price]]*Table3[[#This Row],[QTY SOLD]]</f>
        <v>0</v>
      </c>
      <c r="N786" s="25"/>
      <c r="O786" s="25"/>
      <c r="P786" s="25"/>
      <c r="Q786" s="25"/>
      <c r="R786" s="25"/>
      <c r="S786" s="25"/>
    </row>
    <row r="787" spans="1:19" x14ac:dyDescent="0.25">
      <c r="A787" s="65"/>
      <c r="B787" s="50"/>
      <c r="C787" s="50"/>
      <c r="D787" s="50"/>
      <c r="E787" s="50" t="str">
        <f>IF(D787="","",VLOOKUP(D787,'Product Master'!$B:$C,2,FALSE))</f>
        <v/>
      </c>
      <c r="F787" s="50" t="str">
        <f>IF(D787="","",IFERROR(VLOOKUP(D787,'Product Master'!$B:$G,3,FALSE),""))</f>
        <v/>
      </c>
      <c r="G787" s="51"/>
      <c r="H787" s="52" t="str">
        <f>IF(D787="","",VLOOKUP(D787,'Product Master'!$B:$F,5,FALSE))</f>
        <v/>
      </c>
      <c r="I787" s="52">
        <f>IFERROR(VLOOKUP(D787,'Product Master'!B:E,4,FALSE),0)</f>
        <v>0</v>
      </c>
      <c r="J787" s="53">
        <f>IFERROR(Table3[[#This Row],[QTY SOLD]]*Table3[[#This Row],[Selling Price]],0)</f>
        <v>0</v>
      </c>
      <c r="K787" s="50"/>
      <c r="L787" s="50">
        <f>Table3[[#This Row],[Total Sales]]-Table3[[#This Row],[Discount]]</f>
        <v>0</v>
      </c>
      <c r="M787" s="58">
        <f>Table3[[#This Row],[Net Sales]]-Table3[[#This Row],[Cost Price]]*Table3[[#This Row],[QTY SOLD]]</f>
        <v>0</v>
      </c>
      <c r="N787" s="25"/>
      <c r="O787" s="25"/>
      <c r="P787" s="25"/>
      <c r="Q787" s="25"/>
      <c r="R787" s="25"/>
      <c r="S787" s="25"/>
    </row>
    <row r="788" spans="1:19" x14ac:dyDescent="0.25">
      <c r="A788" s="65"/>
      <c r="B788" s="50"/>
      <c r="C788" s="50"/>
      <c r="D788" s="50"/>
      <c r="E788" s="50" t="str">
        <f>IF(D788="","",VLOOKUP(D788,'Product Master'!$B:$C,2,FALSE))</f>
        <v/>
      </c>
      <c r="F788" s="50" t="str">
        <f>IF(D788="","",IFERROR(VLOOKUP(D788,'Product Master'!$B:$G,3,FALSE),""))</f>
        <v/>
      </c>
      <c r="G788" s="51"/>
      <c r="H788" s="52" t="str">
        <f>IF(D788="","",VLOOKUP(D788,'Product Master'!$B:$F,5,FALSE))</f>
        <v/>
      </c>
      <c r="I788" s="52">
        <f>IFERROR(VLOOKUP(D788,'Product Master'!B:E,4,FALSE),0)</f>
        <v>0</v>
      </c>
      <c r="J788" s="53">
        <f>IFERROR(Table3[[#This Row],[QTY SOLD]]*Table3[[#This Row],[Selling Price]],0)</f>
        <v>0</v>
      </c>
      <c r="K788" s="50"/>
      <c r="L788" s="50">
        <f>Table3[[#This Row],[Total Sales]]-Table3[[#This Row],[Discount]]</f>
        <v>0</v>
      </c>
      <c r="M788" s="58">
        <f>Table3[[#This Row],[Net Sales]]-Table3[[#This Row],[Cost Price]]*Table3[[#This Row],[QTY SOLD]]</f>
        <v>0</v>
      </c>
      <c r="N788" s="25"/>
      <c r="O788" s="25"/>
      <c r="P788" s="25"/>
      <c r="Q788" s="25"/>
      <c r="R788" s="25"/>
      <c r="S788" s="25"/>
    </row>
    <row r="789" spans="1:19" x14ac:dyDescent="0.25">
      <c r="A789" s="65"/>
      <c r="B789" s="50"/>
      <c r="C789" s="50"/>
      <c r="D789" s="50"/>
      <c r="E789" s="50" t="str">
        <f>IF(D789="","",VLOOKUP(D789,'Product Master'!$B:$C,2,FALSE))</f>
        <v/>
      </c>
      <c r="F789" s="50" t="str">
        <f>IF(D789="","",IFERROR(VLOOKUP(D789,'Product Master'!$B:$G,3,FALSE),""))</f>
        <v/>
      </c>
      <c r="G789" s="51"/>
      <c r="H789" s="52" t="str">
        <f>IF(D789="","",VLOOKUP(D789,'Product Master'!$B:$F,5,FALSE))</f>
        <v/>
      </c>
      <c r="I789" s="52">
        <f>IFERROR(VLOOKUP(D789,'Product Master'!B:E,4,FALSE),0)</f>
        <v>0</v>
      </c>
      <c r="J789" s="53">
        <f>IFERROR(Table3[[#This Row],[QTY SOLD]]*Table3[[#This Row],[Selling Price]],0)</f>
        <v>0</v>
      </c>
      <c r="K789" s="50"/>
      <c r="L789" s="50">
        <f>Table3[[#This Row],[Total Sales]]-Table3[[#This Row],[Discount]]</f>
        <v>0</v>
      </c>
      <c r="M789" s="58">
        <f>Table3[[#This Row],[Net Sales]]-Table3[[#This Row],[Cost Price]]*Table3[[#This Row],[QTY SOLD]]</f>
        <v>0</v>
      </c>
      <c r="N789" s="25"/>
      <c r="O789" s="25"/>
      <c r="P789" s="25"/>
      <c r="Q789" s="25"/>
      <c r="R789" s="25"/>
      <c r="S789" s="25"/>
    </row>
    <row r="790" spans="1:19" x14ac:dyDescent="0.25">
      <c r="A790" s="65"/>
      <c r="B790" s="50"/>
      <c r="C790" s="50"/>
      <c r="D790" s="50"/>
      <c r="E790" s="50" t="str">
        <f>IF(D790="","",VLOOKUP(D790,'Product Master'!$B:$C,2,FALSE))</f>
        <v/>
      </c>
      <c r="F790" s="50" t="str">
        <f>IF(D790="","",IFERROR(VLOOKUP(D790,'Product Master'!$B:$G,3,FALSE),""))</f>
        <v/>
      </c>
      <c r="G790" s="51"/>
      <c r="H790" s="52" t="str">
        <f>IF(D790="","",VLOOKUP(D790,'Product Master'!$B:$F,5,FALSE))</f>
        <v/>
      </c>
      <c r="I790" s="52">
        <f>IFERROR(VLOOKUP(D790,'Product Master'!B:E,4,FALSE),0)</f>
        <v>0</v>
      </c>
      <c r="J790" s="53">
        <f>IFERROR(Table3[[#This Row],[QTY SOLD]]*Table3[[#This Row],[Selling Price]],0)</f>
        <v>0</v>
      </c>
      <c r="K790" s="50"/>
      <c r="L790" s="50">
        <f>Table3[[#This Row],[Total Sales]]-Table3[[#This Row],[Discount]]</f>
        <v>0</v>
      </c>
      <c r="M790" s="58">
        <f>Table3[[#This Row],[Net Sales]]-Table3[[#This Row],[Cost Price]]*Table3[[#This Row],[QTY SOLD]]</f>
        <v>0</v>
      </c>
      <c r="N790" s="25"/>
      <c r="O790" s="25"/>
      <c r="P790" s="25"/>
      <c r="Q790" s="25"/>
      <c r="R790" s="25"/>
      <c r="S790" s="25"/>
    </row>
    <row r="791" spans="1:19" x14ac:dyDescent="0.25">
      <c r="A791" s="65"/>
      <c r="B791" s="50"/>
      <c r="C791" s="50"/>
      <c r="D791" s="50"/>
      <c r="E791" s="50" t="str">
        <f>IF(D791="","",VLOOKUP(D791,'Product Master'!$B:$C,2,FALSE))</f>
        <v/>
      </c>
      <c r="F791" s="50" t="str">
        <f>IF(D791="","",IFERROR(VLOOKUP(D791,'Product Master'!$B:$G,3,FALSE),""))</f>
        <v/>
      </c>
      <c r="G791" s="51"/>
      <c r="H791" s="52" t="str">
        <f>IF(D791="","",VLOOKUP(D791,'Product Master'!$B:$F,5,FALSE))</f>
        <v/>
      </c>
      <c r="I791" s="52">
        <f>IFERROR(VLOOKUP(D791,'Product Master'!B:E,4,FALSE),0)</f>
        <v>0</v>
      </c>
      <c r="J791" s="53">
        <f>IFERROR(Table3[[#This Row],[QTY SOLD]]*Table3[[#This Row],[Selling Price]],0)</f>
        <v>0</v>
      </c>
      <c r="K791" s="50"/>
      <c r="L791" s="50">
        <f>Table3[[#This Row],[Total Sales]]-Table3[[#This Row],[Discount]]</f>
        <v>0</v>
      </c>
      <c r="M791" s="58">
        <f>Table3[[#This Row],[Net Sales]]-Table3[[#This Row],[Cost Price]]*Table3[[#This Row],[QTY SOLD]]</f>
        <v>0</v>
      </c>
      <c r="N791" s="25"/>
      <c r="O791" s="25"/>
      <c r="P791" s="25"/>
      <c r="Q791" s="25"/>
      <c r="R791" s="25"/>
      <c r="S791" s="25"/>
    </row>
    <row r="792" spans="1:19" x14ac:dyDescent="0.25">
      <c r="A792" s="65"/>
      <c r="B792" s="50"/>
      <c r="C792" s="50"/>
      <c r="D792" s="50"/>
      <c r="E792" s="50" t="str">
        <f>IF(D792="","",VLOOKUP(D792,'Product Master'!$B:$C,2,FALSE))</f>
        <v/>
      </c>
      <c r="F792" s="50" t="str">
        <f>IF(D792="","",IFERROR(VLOOKUP(D792,'Product Master'!$B:$G,3,FALSE),""))</f>
        <v/>
      </c>
      <c r="G792" s="51"/>
      <c r="H792" s="52" t="str">
        <f>IF(D792="","",VLOOKUP(D792,'Product Master'!$B:$F,5,FALSE))</f>
        <v/>
      </c>
      <c r="I792" s="52">
        <f>IFERROR(VLOOKUP(D792,'Product Master'!B:E,4,FALSE),0)</f>
        <v>0</v>
      </c>
      <c r="J792" s="53">
        <f>IFERROR(Table3[[#This Row],[QTY SOLD]]*Table3[[#This Row],[Selling Price]],0)</f>
        <v>0</v>
      </c>
      <c r="K792" s="50"/>
      <c r="L792" s="50">
        <f>Table3[[#This Row],[Total Sales]]-Table3[[#This Row],[Discount]]</f>
        <v>0</v>
      </c>
      <c r="M792" s="58">
        <f>Table3[[#This Row],[Net Sales]]-Table3[[#This Row],[Cost Price]]*Table3[[#This Row],[QTY SOLD]]</f>
        <v>0</v>
      </c>
      <c r="N792" s="25"/>
      <c r="O792" s="25"/>
      <c r="P792" s="25"/>
      <c r="Q792" s="25"/>
      <c r="R792" s="25"/>
      <c r="S792" s="25"/>
    </row>
    <row r="793" spans="1:19" x14ac:dyDescent="0.25">
      <c r="A793" s="65"/>
      <c r="B793" s="50"/>
      <c r="C793" s="50"/>
      <c r="D793" s="50"/>
      <c r="E793" s="50" t="str">
        <f>IF(D793="","",VLOOKUP(D793,'Product Master'!$B:$C,2,FALSE))</f>
        <v/>
      </c>
      <c r="F793" s="50" t="str">
        <f>IF(D793="","",IFERROR(VLOOKUP(D793,'Product Master'!$B:$G,3,FALSE),""))</f>
        <v/>
      </c>
      <c r="G793" s="51"/>
      <c r="H793" s="52" t="str">
        <f>IF(D793="","",VLOOKUP(D793,'Product Master'!$B:$F,5,FALSE))</f>
        <v/>
      </c>
      <c r="I793" s="52">
        <f>IFERROR(VLOOKUP(D793,'Product Master'!B:E,4,FALSE),0)</f>
        <v>0</v>
      </c>
      <c r="J793" s="53">
        <f>IFERROR(Table3[[#This Row],[QTY SOLD]]*Table3[[#This Row],[Selling Price]],0)</f>
        <v>0</v>
      </c>
      <c r="K793" s="50"/>
      <c r="L793" s="50">
        <f>Table3[[#This Row],[Total Sales]]-Table3[[#This Row],[Discount]]</f>
        <v>0</v>
      </c>
      <c r="M793" s="58">
        <f>Table3[[#This Row],[Net Sales]]-Table3[[#This Row],[Cost Price]]*Table3[[#This Row],[QTY SOLD]]</f>
        <v>0</v>
      </c>
      <c r="N793" s="25"/>
      <c r="O793" s="25"/>
      <c r="P793" s="25"/>
      <c r="Q793" s="25"/>
      <c r="R793" s="25"/>
      <c r="S793" s="25"/>
    </row>
    <row r="794" spans="1:19" x14ac:dyDescent="0.25">
      <c r="A794" s="65"/>
      <c r="B794" s="50"/>
      <c r="C794" s="50"/>
      <c r="D794" s="50"/>
      <c r="E794" s="50" t="str">
        <f>IF(D794="","",VLOOKUP(D794,'Product Master'!$B:$C,2,FALSE))</f>
        <v/>
      </c>
      <c r="F794" s="50" t="str">
        <f>IF(D794="","",IFERROR(VLOOKUP(D794,'Product Master'!$B:$G,3,FALSE),""))</f>
        <v/>
      </c>
      <c r="G794" s="51"/>
      <c r="H794" s="52" t="str">
        <f>IF(D794="","",VLOOKUP(D794,'Product Master'!$B:$F,5,FALSE))</f>
        <v/>
      </c>
      <c r="I794" s="52">
        <f>IFERROR(VLOOKUP(D794,'Product Master'!B:E,4,FALSE),0)</f>
        <v>0</v>
      </c>
      <c r="J794" s="53">
        <f>IFERROR(Table3[[#This Row],[QTY SOLD]]*Table3[[#This Row],[Selling Price]],0)</f>
        <v>0</v>
      </c>
      <c r="K794" s="50"/>
      <c r="L794" s="50">
        <f>Table3[[#This Row],[Total Sales]]-Table3[[#This Row],[Discount]]</f>
        <v>0</v>
      </c>
      <c r="M794" s="58">
        <f>Table3[[#This Row],[Net Sales]]-Table3[[#This Row],[Cost Price]]*Table3[[#This Row],[QTY SOLD]]</f>
        <v>0</v>
      </c>
      <c r="N794" s="25"/>
      <c r="O794" s="25"/>
      <c r="P794" s="25"/>
      <c r="Q794" s="25"/>
      <c r="R794" s="25"/>
      <c r="S794" s="25"/>
    </row>
    <row r="795" spans="1:19" x14ac:dyDescent="0.25">
      <c r="A795" s="65"/>
      <c r="B795" s="50"/>
      <c r="C795" s="50"/>
      <c r="D795" s="50"/>
      <c r="E795" s="50" t="str">
        <f>IF(D795="","",VLOOKUP(D795,'Product Master'!$B:$C,2,FALSE))</f>
        <v/>
      </c>
      <c r="F795" s="50" t="str">
        <f>IF(D795="","",IFERROR(VLOOKUP(D795,'Product Master'!$B:$G,3,FALSE),""))</f>
        <v/>
      </c>
      <c r="G795" s="51"/>
      <c r="H795" s="52" t="str">
        <f>IF(D795="","",VLOOKUP(D795,'Product Master'!$B:$F,5,FALSE))</f>
        <v/>
      </c>
      <c r="I795" s="52">
        <f>IFERROR(VLOOKUP(D795,'Product Master'!B:E,4,FALSE),0)</f>
        <v>0</v>
      </c>
      <c r="J795" s="53">
        <f>IFERROR(Table3[[#This Row],[QTY SOLD]]*Table3[[#This Row],[Selling Price]],0)</f>
        <v>0</v>
      </c>
      <c r="K795" s="50"/>
      <c r="L795" s="50">
        <f>Table3[[#This Row],[Total Sales]]-Table3[[#This Row],[Discount]]</f>
        <v>0</v>
      </c>
      <c r="M795" s="58">
        <f>Table3[[#This Row],[Net Sales]]-Table3[[#This Row],[Cost Price]]*Table3[[#This Row],[QTY SOLD]]</f>
        <v>0</v>
      </c>
      <c r="N795" s="25"/>
      <c r="O795" s="25"/>
      <c r="P795" s="25"/>
      <c r="Q795" s="25"/>
      <c r="R795" s="25"/>
      <c r="S795" s="25"/>
    </row>
    <row r="796" spans="1:19" x14ac:dyDescent="0.25">
      <c r="A796" s="65"/>
      <c r="B796" s="50"/>
      <c r="C796" s="50"/>
      <c r="D796" s="50"/>
      <c r="E796" s="50" t="str">
        <f>IF(D796="","",VLOOKUP(D796,'Product Master'!$B:$C,2,FALSE))</f>
        <v/>
      </c>
      <c r="F796" s="50" t="str">
        <f>IF(D796="","",IFERROR(VLOOKUP(D796,'Product Master'!$B:$G,3,FALSE),""))</f>
        <v/>
      </c>
      <c r="G796" s="51"/>
      <c r="H796" s="52" t="str">
        <f>IF(D796="","",VLOOKUP(D796,'Product Master'!$B:$F,5,FALSE))</f>
        <v/>
      </c>
      <c r="I796" s="52">
        <f>IFERROR(VLOOKUP(D796,'Product Master'!B:E,4,FALSE),0)</f>
        <v>0</v>
      </c>
      <c r="J796" s="53">
        <f>IFERROR(Table3[[#This Row],[QTY SOLD]]*Table3[[#This Row],[Selling Price]],0)</f>
        <v>0</v>
      </c>
      <c r="K796" s="50"/>
      <c r="L796" s="50">
        <f>Table3[[#This Row],[Total Sales]]-Table3[[#This Row],[Discount]]</f>
        <v>0</v>
      </c>
      <c r="M796" s="58">
        <f>Table3[[#This Row],[Net Sales]]-Table3[[#This Row],[Cost Price]]*Table3[[#This Row],[QTY SOLD]]</f>
        <v>0</v>
      </c>
      <c r="N796" s="25"/>
      <c r="O796" s="25"/>
      <c r="P796" s="25"/>
      <c r="Q796" s="25"/>
      <c r="R796" s="25"/>
      <c r="S796" s="25"/>
    </row>
    <row r="797" spans="1:19" x14ac:dyDescent="0.25">
      <c r="A797" s="65"/>
      <c r="B797" s="50"/>
      <c r="C797" s="50"/>
      <c r="D797" s="50"/>
      <c r="E797" s="50" t="str">
        <f>IF(D797="","",VLOOKUP(D797,'Product Master'!$B:$C,2,FALSE))</f>
        <v/>
      </c>
      <c r="F797" s="50" t="str">
        <f>IF(D797="","",IFERROR(VLOOKUP(D797,'Product Master'!$B:$G,3,FALSE),""))</f>
        <v/>
      </c>
      <c r="G797" s="51"/>
      <c r="H797" s="52" t="str">
        <f>IF(D797="","",VLOOKUP(D797,'Product Master'!$B:$F,5,FALSE))</f>
        <v/>
      </c>
      <c r="I797" s="52">
        <f>IFERROR(VLOOKUP(D797,'Product Master'!B:E,4,FALSE),0)</f>
        <v>0</v>
      </c>
      <c r="J797" s="53">
        <f>IFERROR(Table3[[#This Row],[QTY SOLD]]*Table3[[#This Row],[Selling Price]],0)</f>
        <v>0</v>
      </c>
      <c r="K797" s="50"/>
      <c r="L797" s="50">
        <f>Table3[[#This Row],[Total Sales]]-Table3[[#This Row],[Discount]]</f>
        <v>0</v>
      </c>
      <c r="M797" s="58">
        <f>Table3[[#This Row],[Net Sales]]-Table3[[#This Row],[Cost Price]]*Table3[[#This Row],[QTY SOLD]]</f>
        <v>0</v>
      </c>
      <c r="N797" s="25"/>
      <c r="O797" s="25"/>
      <c r="P797" s="25"/>
      <c r="Q797" s="25"/>
      <c r="R797" s="25"/>
      <c r="S797" s="25"/>
    </row>
    <row r="798" spans="1:19" x14ac:dyDescent="0.25">
      <c r="A798" s="65"/>
      <c r="B798" s="50"/>
      <c r="C798" s="50"/>
      <c r="D798" s="50"/>
      <c r="E798" s="50" t="str">
        <f>IF(D798="","",VLOOKUP(D798,'Product Master'!$B:$C,2,FALSE))</f>
        <v/>
      </c>
      <c r="F798" s="50" t="str">
        <f>IF(D798="","",IFERROR(VLOOKUP(D798,'Product Master'!$B:$G,3,FALSE),""))</f>
        <v/>
      </c>
      <c r="G798" s="51"/>
      <c r="H798" s="52" t="str">
        <f>IF(D798="","",VLOOKUP(D798,'Product Master'!$B:$F,5,FALSE))</f>
        <v/>
      </c>
      <c r="I798" s="52">
        <f>IFERROR(VLOOKUP(D798,'Product Master'!B:E,4,FALSE),0)</f>
        <v>0</v>
      </c>
      <c r="J798" s="53">
        <f>IFERROR(Table3[[#This Row],[QTY SOLD]]*Table3[[#This Row],[Selling Price]],0)</f>
        <v>0</v>
      </c>
      <c r="K798" s="50"/>
      <c r="L798" s="50">
        <f>Table3[[#This Row],[Total Sales]]-Table3[[#This Row],[Discount]]</f>
        <v>0</v>
      </c>
      <c r="M798" s="58">
        <f>Table3[[#This Row],[Net Sales]]-Table3[[#This Row],[Cost Price]]*Table3[[#This Row],[QTY SOLD]]</f>
        <v>0</v>
      </c>
      <c r="N798" s="25"/>
      <c r="O798" s="25"/>
      <c r="P798" s="25"/>
      <c r="Q798" s="25"/>
      <c r="R798" s="25"/>
      <c r="S798" s="25"/>
    </row>
    <row r="799" spans="1:19" x14ac:dyDescent="0.25">
      <c r="A799" s="65"/>
      <c r="B799" s="50"/>
      <c r="C799" s="50"/>
      <c r="D799" s="50"/>
      <c r="E799" s="50" t="str">
        <f>IF(D799="","",VLOOKUP(D799,'Product Master'!$B:$C,2,FALSE))</f>
        <v/>
      </c>
      <c r="F799" s="50" t="str">
        <f>IF(D799="","",IFERROR(VLOOKUP(D799,'Product Master'!$B:$G,3,FALSE),""))</f>
        <v/>
      </c>
      <c r="G799" s="51"/>
      <c r="H799" s="52" t="str">
        <f>IF(D799="","",VLOOKUP(D799,'Product Master'!$B:$F,5,FALSE))</f>
        <v/>
      </c>
      <c r="I799" s="52">
        <f>IFERROR(VLOOKUP(D799,'Product Master'!B:E,4,FALSE),0)</f>
        <v>0</v>
      </c>
      <c r="J799" s="53">
        <f>IFERROR(Table3[[#This Row],[QTY SOLD]]*Table3[[#This Row],[Selling Price]],0)</f>
        <v>0</v>
      </c>
      <c r="K799" s="50"/>
      <c r="L799" s="50">
        <f>Table3[[#This Row],[Total Sales]]-Table3[[#This Row],[Discount]]</f>
        <v>0</v>
      </c>
      <c r="M799" s="58">
        <f>Table3[[#This Row],[Net Sales]]-Table3[[#This Row],[Cost Price]]*Table3[[#This Row],[QTY SOLD]]</f>
        <v>0</v>
      </c>
      <c r="N799" s="25"/>
      <c r="O799" s="25"/>
      <c r="P799" s="25"/>
      <c r="Q799" s="25"/>
      <c r="R799" s="25"/>
      <c r="S799" s="25"/>
    </row>
    <row r="800" spans="1:19" x14ac:dyDescent="0.25">
      <c r="A800" s="65"/>
      <c r="B800" s="50"/>
      <c r="C800" s="50"/>
      <c r="D800" s="50"/>
      <c r="E800" s="50" t="str">
        <f>IF(D800="","",VLOOKUP(D800,'Product Master'!$B:$C,2,FALSE))</f>
        <v/>
      </c>
      <c r="F800" s="50" t="str">
        <f>IF(D800="","",IFERROR(VLOOKUP(D800,'Product Master'!$B:$G,3,FALSE),""))</f>
        <v/>
      </c>
      <c r="G800" s="51"/>
      <c r="H800" s="52" t="str">
        <f>IF(D800="","",VLOOKUP(D800,'Product Master'!$B:$F,5,FALSE))</f>
        <v/>
      </c>
      <c r="I800" s="52">
        <f>IFERROR(VLOOKUP(D800,'Product Master'!B:E,4,FALSE),0)</f>
        <v>0</v>
      </c>
      <c r="J800" s="53">
        <f>IFERROR(Table3[[#This Row],[QTY SOLD]]*Table3[[#This Row],[Selling Price]],0)</f>
        <v>0</v>
      </c>
      <c r="K800" s="50"/>
      <c r="L800" s="50">
        <f>Table3[[#This Row],[Total Sales]]-Table3[[#This Row],[Discount]]</f>
        <v>0</v>
      </c>
      <c r="M800" s="58">
        <f>Table3[[#This Row],[Net Sales]]-Table3[[#This Row],[Cost Price]]*Table3[[#This Row],[QTY SOLD]]</f>
        <v>0</v>
      </c>
      <c r="N800" s="25"/>
      <c r="O800" s="25"/>
      <c r="P800" s="25"/>
      <c r="Q800" s="25"/>
      <c r="R800" s="25"/>
      <c r="S800" s="25"/>
    </row>
    <row r="801" spans="1:19" x14ac:dyDescent="0.25">
      <c r="A801" s="65"/>
      <c r="B801" s="50"/>
      <c r="C801" s="50"/>
      <c r="D801" s="50"/>
      <c r="E801" s="50" t="str">
        <f>IF(D801="","",VLOOKUP(D801,'Product Master'!$B:$C,2,FALSE))</f>
        <v/>
      </c>
      <c r="F801" s="50" t="str">
        <f>IF(D801="","",IFERROR(VLOOKUP(D801,'Product Master'!$B:$G,3,FALSE),""))</f>
        <v/>
      </c>
      <c r="G801" s="51"/>
      <c r="H801" s="52" t="str">
        <f>IF(D801="","",VLOOKUP(D801,'Product Master'!$B:$F,5,FALSE))</f>
        <v/>
      </c>
      <c r="I801" s="52">
        <f>IFERROR(VLOOKUP(D801,'Product Master'!B:E,4,FALSE),0)</f>
        <v>0</v>
      </c>
      <c r="J801" s="53">
        <f>IFERROR(Table3[[#This Row],[QTY SOLD]]*Table3[[#This Row],[Selling Price]],0)</f>
        <v>0</v>
      </c>
      <c r="K801" s="50"/>
      <c r="L801" s="50">
        <f>Table3[[#This Row],[Total Sales]]-Table3[[#This Row],[Discount]]</f>
        <v>0</v>
      </c>
      <c r="M801" s="58">
        <f>Table3[[#This Row],[Net Sales]]-Table3[[#This Row],[Cost Price]]*Table3[[#This Row],[QTY SOLD]]</f>
        <v>0</v>
      </c>
      <c r="N801" s="25"/>
      <c r="O801" s="25"/>
      <c r="P801" s="25"/>
      <c r="Q801" s="25"/>
      <c r="R801" s="25"/>
      <c r="S801" s="25"/>
    </row>
    <row r="802" spans="1:19" x14ac:dyDescent="0.25">
      <c r="A802" s="65"/>
      <c r="B802" s="50"/>
      <c r="C802" s="50"/>
      <c r="D802" s="50"/>
      <c r="E802" s="50" t="str">
        <f>IF(D802="","",VLOOKUP(D802,'Product Master'!$B:$C,2,FALSE))</f>
        <v/>
      </c>
      <c r="F802" s="50" t="str">
        <f>IF(D802="","",IFERROR(VLOOKUP(D802,'Product Master'!$B:$G,3,FALSE),""))</f>
        <v/>
      </c>
      <c r="G802" s="51"/>
      <c r="H802" s="52" t="str">
        <f>IF(D802="","",VLOOKUP(D802,'Product Master'!$B:$F,5,FALSE))</f>
        <v/>
      </c>
      <c r="I802" s="52">
        <f>IFERROR(VLOOKUP(D802,'Product Master'!B:E,4,FALSE),0)</f>
        <v>0</v>
      </c>
      <c r="J802" s="53">
        <f>IFERROR(Table3[[#This Row],[QTY SOLD]]*Table3[[#This Row],[Selling Price]],0)</f>
        <v>0</v>
      </c>
      <c r="K802" s="50"/>
      <c r="L802" s="50">
        <f>Table3[[#This Row],[Total Sales]]-Table3[[#This Row],[Discount]]</f>
        <v>0</v>
      </c>
      <c r="M802" s="58">
        <f>Table3[[#This Row],[Net Sales]]-Table3[[#This Row],[Cost Price]]*Table3[[#This Row],[QTY SOLD]]</f>
        <v>0</v>
      </c>
      <c r="N802" s="25"/>
      <c r="O802" s="25"/>
      <c r="P802" s="25"/>
      <c r="Q802" s="25"/>
      <c r="R802" s="25"/>
      <c r="S802" s="25"/>
    </row>
    <row r="803" spans="1:19" x14ac:dyDescent="0.25">
      <c r="A803" s="65"/>
      <c r="B803" s="50"/>
      <c r="C803" s="50"/>
      <c r="D803" s="50"/>
      <c r="E803" s="50" t="str">
        <f>IF(D803="","",VLOOKUP(D803,'Product Master'!$B:$C,2,FALSE))</f>
        <v/>
      </c>
      <c r="F803" s="50" t="str">
        <f>IF(D803="","",IFERROR(VLOOKUP(D803,'Product Master'!$B:$G,3,FALSE),""))</f>
        <v/>
      </c>
      <c r="G803" s="51"/>
      <c r="H803" s="52" t="str">
        <f>IF(D803="","",VLOOKUP(D803,'Product Master'!$B:$F,5,FALSE))</f>
        <v/>
      </c>
      <c r="I803" s="52">
        <f>IFERROR(VLOOKUP(D803,'Product Master'!B:E,4,FALSE),0)</f>
        <v>0</v>
      </c>
      <c r="J803" s="53">
        <f>IFERROR(Table3[[#This Row],[QTY SOLD]]*Table3[[#This Row],[Selling Price]],0)</f>
        <v>0</v>
      </c>
      <c r="K803" s="50"/>
      <c r="L803" s="50">
        <f>Table3[[#This Row],[Total Sales]]-Table3[[#This Row],[Discount]]</f>
        <v>0</v>
      </c>
      <c r="M803" s="58">
        <f>Table3[[#This Row],[Net Sales]]-Table3[[#This Row],[Cost Price]]*Table3[[#This Row],[QTY SOLD]]</f>
        <v>0</v>
      </c>
      <c r="N803" s="25"/>
      <c r="O803" s="25"/>
      <c r="P803" s="25"/>
      <c r="Q803" s="25"/>
      <c r="R803" s="25"/>
      <c r="S803" s="25"/>
    </row>
    <row r="804" spans="1:19" x14ac:dyDescent="0.25">
      <c r="A804" s="65"/>
      <c r="B804" s="50"/>
      <c r="C804" s="50"/>
      <c r="D804" s="50"/>
      <c r="E804" s="50" t="str">
        <f>IF(D804="","",VLOOKUP(D804,'Product Master'!$B:$C,2,FALSE))</f>
        <v/>
      </c>
      <c r="F804" s="50" t="str">
        <f>IF(D804="","",IFERROR(VLOOKUP(D804,'Product Master'!$B:$G,3,FALSE),""))</f>
        <v/>
      </c>
      <c r="G804" s="51"/>
      <c r="H804" s="52" t="str">
        <f>IF(D804="","",VLOOKUP(D804,'Product Master'!$B:$F,5,FALSE))</f>
        <v/>
      </c>
      <c r="I804" s="52">
        <f>IFERROR(VLOOKUP(D804,'Product Master'!B:E,4,FALSE),0)</f>
        <v>0</v>
      </c>
      <c r="J804" s="53">
        <f>IFERROR(Table3[[#This Row],[QTY SOLD]]*Table3[[#This Row],[Selling Price]],0)</f>
        <v>0</v>
      </c>
      <c r="K804" s="50"/>
      <c r="L804" s="50">
        <f>Table3[[#This Row],[Total Sales]]-Table3[[#This Row],[Discount]]</f>
        <v>0</v>
      </c>
      <c r="M804" s="58">
        <f>Table3[[#This Row],[Net Sales]]-Table3[[#This Row],[Cost Price]]*Table3[[#This Row],[QTY SOLD]]</f>
        <v>0</v>
      </c>
      <c r="N804" s="25"/>
      <c r="O804" s="25"/>
      <c r="P804" s="25"/>
      <c r="Q804" s="25"/>
      <c r="R804" s="25"/>
      <c r="S804" s="25"/>
    </row>
    <row r="805" spans="1:19" x14ac:dyDescent="0.25">
      <c r="A805" s="65"/>
      <c r="B805" s="50"/>
      <c r="C805" s="50"/>
      <c r="D805" s="50"/>
      <c r="E805" s="50" t="str">
        <f>IF(D805="","",VLOOKUP(D805,'Product Master'!$B:$C,2,FALSE))</f>
        <v/>
      </c>
      <c r="F805" s="50" t="str">
        <f>IF(D805="","",IFERROR(VLOOKUP(D805,'Product Master'!$B:$G,3,FALSE),""))</f>
        <v/>
      </c>
      <c r="G805" s="51"/>
      <c r="H805" s="52" t="str">
        <f>IF(D805="","",VLOOKUP(D805,'Product Master'!$B:$F,5,FALSE))</f>
        <v/>
      </c>
      <c r="I805" s="52">
        <f>IFERROR(VLOOKUP(D805,'Product Master'!B:E,4,FALSE),0)</f>
        <v>0</v>
      </c>
      <c r="J805" s="53">
        <f>IFERROR(Table3[[#This Row],[QTY SOLD]]*Table3[[#This Row],[Selling Price]],0)</f>
        <v>0</v>
      </c>
      <c r="K805" s="50"/>
      <c r="L805" s="50">
        <f>Table3[[#This Row],[Total Sales]]-Table3[[#This Row],[Discount]]</f>
        <v>0</v>
      </c>
      <c r="M805" s="58">
        <f>Table3[[#This Row],[Net Sales]]-Table3[[#This Row],[Cost Price]]*Table3[[#This Row],[QTY SOLD]]</f>
        <v>0</v>
      </c>
      <c r="N805" s="25"/>
      <c r="O805" s="25"/>
      <c r="P805" s="25"/>
      <c r="Q805" s="25"/>
      <c r="R805" s="25"/>
      <c r="S805" s="25"/>
    </row>
    <row r="806" spans="1:19" x14ac:dyDescent="0.25">
      <c r="A806" s="65"/>
      <c r="B806" s="50"/>
      <c r="C806" s="50"/>
      <c r="D806" s="50"/>
      <c r="E806" s="50" t="str">
        <f>IF(D806="","",VLOOKUP(D806,'Product Master'!$B:$C,2,FALSE))</f>
        <v/>
      </c>
      <c r="F806" s="50" t="str">
        <f>IF(D806="","",IFERROR(VLOOKUP(D806,'Product Master'!$B:$G,3,FALSE),""))</f>
        <v/>
      </c>
      <c r="G806" s="51"/>
      <c r="H806" s="52" t="str">
        <f>IF(D806="","",VLOOKUP(D806,'Product Master'!$B:$F,5,FALSE))</f>
        <v/>
      </c>
      <c r="I806" s="52">
        <f>IFERROR(VLOOKUP(D806,'Product Master'!B:E,4,FALSE),0)</f>
        <v>0</v>
      </c>
      <c r="J806" s="53">
        <f>IFERROR(Table3[[#This Row],[QTY SOLD]]*Table3[[#This Row],[Selling Price]],0)</f>
        <v>0</v>
      </c>
      <c r="K806" s="50"/>
      <c r="L806" s="50">
        <f>Table3[[#This Row],[Total Sales]]-Table3[[#This Row],[Discount]]</f>
        <v>0</v>
      </c>
      <c r="M806" s="58">
        <f>Table3[[#This Row],[Net Sales]]-Table3[[#This Row],[Cost Price]]*Table3[[#This Row],[QTY SOLD]]</f>
        <v>0</v>
      </c>
      <c r="N806" s="25"/>
      <c r="O806" s="25"/>
      <c r="P806" s="25"/>
      <c r="Q806" s="25"/>
      <c r="R806" s="25"/>
      <c r="S806" s="25"/>
    </row>
    <row r="807" spans="1:19" x14ac:dyDescent="0.25">
      <c r="A807" s="65"/>
      <c r="B807" s="50"/>
      <c r="C807" s="50"/>
      <c r="D807" s="50"/>
      <c r="E807" s="50" t="str">
        <f>IF(D807="","",VLOOKUP(D807,'Product Master'!$B:$C,2,FALSE))</f>
        <v/>
      </c>
      <c r="F807" s="50" t="str">
        <f>IF(D807="","",IFERROR(VLOOKUP(D807,'Product Master'!$B:$G,3,FALSE),""))</f>
        <v/>
      </c>
      <c r="G807" s="51"/>
      <c r="H807" s="52" t="str">
        <f>IF(D807="","",VLOOKUP(D807,'Product Master'!$B:$F,5,FALSE))</f>
        <v/>
      </c>
      <c r="I807" s="52">
        <f>IFERROR(VLOOKUP(D807,'Product Master'!B:E,4,FALSE),0)</f>
        <v>0</v>
      </c>
      <c r="J807" s="53">
        <f>IFERROR(Table3[[#This Row],[QTY SOLD]]*Table3[[#This Row],[Selling Price]],0)</f>
        <v>0</v>
      </c>
      <c r="K807" s="50"/>
      <c r="L807" s="50">
        <f>Table3[[#This Row],[Total Sales]]-Table3[[#This Row],[Discount]]</f>
        <v>0</v>
      </c>
      <c r="M807" s="58">
        <f>Table3[[#This Row],[Net Sales]]-Table3[[#This Row],[Cost Price]]*Table3[[#This Row],[QTY SOLD]]</f>
        <v>0</v>
      </c>
      <c r="N807" s="25"/>
      <c r="O807" s="25"/>
      <c r="P807" s="25"/>
      <c r="Q807" s="25"/>
      <c r="R807" s="25"/>
      <c r="S807" s="25"/>
    </row>
    <row r="808" spans="1:19" x14ac:dyDescent="0.25">
      <c r="A808" s="65"/>
      <c r="B808" s="50"/>
      <c r="C808" s="50"/>
      <c r="D808" s="50"/>
      <c r="E808" s="50" t="str">
        <f>IF(D808="","",VLOOKUP(D808,'Product Master'!$B:$C,2,FALSE))</f>
        <v/>
      </c>
      <c r="F808" s="50" t="str">
        <f>IF(D808="","",IFERROR(VLOOKUP(D808,'Product Master'!$B:$G,3,FALSE),""))</f>
        <v/>
      </c>
      <c r="G808" s="51"/>
      <c r="H808" s="52" t="str">
        <f>IF(D808="","",VLOOKUP(D808,'Product Master'!$B:$F,5,FALSE))</f>
        <v/>
      </c>
      <c r="I808" s="52">
        <f>IFERROR(VLOOKUP(D808,'Product Master'!B:E,4,FALSE),0)</f>
        <v>0</v>
      </c>
      <c r="J808" s="53">
        <f>IFERROR(Table3[[#This Row],[QTY SOLD]]*Table3[[#This Row],[Selling Price]],0)</f>
        <v>0</v>
      </c>
      <c r="K808" s="50"/>
      <c r="L808" s="50">
        <f>Table3[[#This Row],[Total Sales]]-Table3[[#This Row],[Discount]]</f>
        <v>0</v>
      </c>
      <c r="M808" s="58">
        <f>Table3[[#This Row],[Net Sales]]-Table3[[#This Row],[Cost Price]]*Table3[[#This Row],[QTY SOLD]]</f>
        <v>0</v>
      </c>
      <c r="N808" s="25"/>
      <c r="O808" s="25"/>
      <c r="P808" s="25"/>
      <c r="Q808" s="25"/>
      <c r="R808" s="25"/>
      <c r="S808" s="25"/>
    </row>
    <row r="809" spans="1:19" x14ac:dyDescent="0.25">
      <c r="A809" s="65"/>
      <c r="B809" s="50"/>
      <c r="C809" s="50"/>
      <c r="D809" s="50"/>
      <c r="E809" s="50" t="str">
        <f>IF(D809="","",VLOOKUP(D809,'Product Master'!$B:$C,2,FALSE))</f>
        <v/>
      </c>
      <c r="F809" s="50" t="str">
        <f>IF(D809="","",IFERROR(VLOOKUP(D809,'Product Master'!$B:$G,3,FALSE),""))</f>
        <v/>
      </c>
      <c r="G809" s="51"/>
      <c r="H809" s="52" t="str">
        <f>IF(D809="","",VLOOKUP(D809,'Product Master'!$B:$F,5,FALSE))</f>
        <v/>
      </c>
      <c r="I809" s="52">
        <f>IFERROR(VLOOKUP(D809,'Product Master'!B:E,4,FALSE),0)</f>
        <v>0</v>
      </c>
      <c r="J809" s="53">
        <f>IFERROR(Table3[[#This Row],[QTY SOLD]]*Table3[[#This Row],[Selling Price]],0)</f>
        <v>0</v>
      </c>
      <c r="K809" s="50"/>
      <c r="L809" s="50">
        <f>Table3[[#This Row],[Total Sales]]-Table3[[#This Row],[Discount]]</f>
        <v>0</v>
      </c>
      <c r="M809" s="58">
        <f>Table3[[#This Row],[Net Sales]]-Table3[[#This Row],[Cost Price]]*Table3[[#This Row],[QTY SOLD]]</f>
        <v>0</v>
      </c>
      <c r="N809" s="25"/>
      <c r="O809" s="25"/>
      <c r="P809" s="25"/>
      <c r="Q809" s="25"/>
      <c r="R809" s="25"/>
      <c r="S809" s="25"/>
    </row>
    <row r="810" spans="1:19" x14ac:dyDescent="0.25">
      <c r="A810" s="65"/>
      <c r="B810" s="50"/>
      <c r="C810" s="50"/>
      <c r="D810" s="50"/>
      <c r="E810" s="50" t="str">
        <f>IF(D810="","",VLOOKUP(D810,'Product Master'!$B:$C,2,FALSE))</f>
        <v/>
      </c>
      <c r="F810" s="50" t="str">
        <f>IF(D810="","",IFERROR(VLOOKUP(D810,'Product Master'!$B:$G,3,FALSE),""))</f>
        <v/>
      </c>
      <c r="G810" s="51"/>
      <c r="H810" s="52" t="str">
        <f>IF(D810="","",VLOOKUP(D810,'Product Master'!$B:$F,5,FALSE))</f>
        <v/>
      </c>
      <c r="I810" s="52">
        <f>IFERROR(VLOOKUP(D810,'Product Master'!B:E,4,FALSE),0)</f>
        <v>0</v>
      </c>
      <c r="J810" s="53">
        <f>IFERROR(Table3[[#This Row],[QTY SOLD]]*Table3[[#This Row],[Selling Price]],0)</f>
        <v>0</v>
      </c>
      <c r="K810" s="50"/>
      <c r="L810" s="50">
        <f>Table3[[#This Row],[Total Sales]]-Table3[[#This Row],[Discount]]</f>
        <v>0</v>
      </c>
      <c r="M810" s="58">
        <f>Table3[[#This Row],[Net Sales]]-Table3[[#This Row],[Cost Price]]*Table3[[#This Row],[QTY SOLD]]</f>
        <v>0</v>
      </c>
      <c r="N810" s="25"/>
      <c r="O810" s="25"/>
      <c r="P810" s="25"/>
      <c r="Q810" s="25"/>
      <c r="R810" s="25"/>
      <c r="S810" s="25"/>
    </row>
    <row r="811" spans="1:19" x14ac:dyDescent="0.25">
      <c r="A811" s="65"/>
      <c r="B811" s="50"/>
      <c r="C811" s="50"/>
      <c r="D811" s="50"/>
      <c r="E811" s="50" t="str">
        <f>IF(D811="","",VLOOKUP(D811,'Product Master'!$B:$C,2,FALSE))</f>
        <v/>
      </c>
      <c r="F811" s="50" t="str">
        <f>IF(D811="","",IFERROR(VLOOKUP(D811,'Product Master'!$B:$G,3,FALSE),""))</f>
        <v/>
      </c>
      <c r="G811" s="51"/>
      <c r="H811" s="52" t="str">
        <f>IF(D811="","",VLOOKUP(D811,'Product Master'!$B:$F,5,FALSE))</f>
        <v/>
      </c>
      <c r="I811" s="52">
        <f>IFERROR(VLOOKUP(D811,'Product Master'!B:E,4,FALSE),0)</f>
        <v>0</v>
      </c>
      <c r="J811" s="53">
        <f>IFERROR(Table3[[#This Row],[QTY SOLD]]*Table3[[#This Row],[Selling Price]],0)</f>
        <v>0</v>
      </c>
      <c r="K811" s="50"/>
      <c r="L811" s="50">
        <f>Table3[[#This Row],[Total Sales]]-Table3[[#This Row],[Discount]]</f>
        <v>0</v>
      </c>
      <c r="M811" s="58">
        <f>Table3[[#This Row],[Net Sales]]-Table3[[#This Row],[Cost Price]]*Table3[[#This Row],[QTY SOLD]]</f>
        <v>0</v>
      </c>
      <c r="N811" s="25"/>
      <c r="O811" s="25"/>
      <c r="P811" s="25"/>
      <c r="Q811" s="25"/>
      <c r="R811" s="25"/>
      <c r="S811" s="25"/>
    </row>
    <row r="812" spans="1:19" x14ac:dyDescent="0.25">
      <c r="A812" s="65"/>
      <c r="B812" s="50"/>
      <c r="C812" s="50"/>
      <c r="D812" s="50"/>
      <c r="E812" s="50" t="str">
        <f>IF(D812="","",VLOOKUP(D812,'Product Master'!$B:$C,2,FALSE))</f>
        <v/>
      </c>
      <c r="F812" s="50" t="str">
        <f>IF(D812="","",IFERROR(VLOOKUP(D812,'Product Master'!$B:$G,3,FALSE),""))</f>
        <v/>
      </c>
      <c r="G812" s="51"/>
      <c r="H812" s="52" t="str">
        <f>IF(D812="","",VLOOKUP(D812,'Product Master'!$B:$F,5,FALSE))</f>
        <v/>
      </c>
      <c r="I812" s="52">
        <f>IFERROR(VLOOKUP(D812,'Product Master'!B:E,4,FALSE),0)</f>
        <v>0</v>
      </c>
      <c r="J812" s="53">
        <f>IFERROR(Table3[[#This Row],[QTY SOLD]]*Table3[[#This Row],[Selling Price]],0)</f>
        <v>0</v>
      </c>
      <c r="K812" s="50"/>
      <c r="L812" s="50">
        <f>Table3[[#This Row],[Total Sales]]-Table3[[#This Row],[Discount]]</f>
        <v>0</v>
      </c>
      <c r="M812" s="58">
        <f>Table3[[#This Row],[Net Sales]]-Table3[[#This Row],[Cost Price]]*Table3[[#This Row],[QTY SOLD]]</f>
        <v>0</v>
      </c>
      <c r="N812" s="25"/>
      <c r="O812" s="25"/>
      <c r="P812" s="25"/>
      <c r="Q812" s="25"/>
      <c r="R812" s="25"/>
      <c r="S812" s="25"/>
    </row>
    <row r="813" spans="1:19" x14ac:dyDescent="0.25">
      <c r="A813" s="65"/>
      <c r="B813" s="50"/>
      <c r="C813" s="50"/>
      <c r="D813" s="50"/>
      <c r="E813" s="50" t="str">
        <f>IF(D813="","",VLOOKUP(D813,'Product Master'!$B:$C,2,FALSE))</f>
        <v/>
      </c>
      <c r="F813" s="50" t="str">
        <f>IF(D813="","",IFERROR(VLOOKUP(D813,'Product Master'!$B:$G,3,FALSE),""))</f>
        <v/>
      </c>
      <c r="G813" s="51"/>
      <c r="H813" s="52" t="str">
        <f>IF(D813="","",VLOOKUP(D813,'Product Master'!$B:$F,5,FALSE))</f>
        <v/>
      </c>
      <c r="I813" s="52">
        <f>IFERROR(VLOOKUP(D813,'Product Master'!B:E,4,FALSE),0)</f>
        <v>0</v>
      </c>
      <c r="J813" s="53">
        <f>IFERROR(Table3[[#This Row],[QTY SOLD]]*Table3[[#This Row],[Selling Price]],0)</f>
        <v>0</v>
      </c>
      <c r="K813" s="50"/>
      <c r="L813" s="50">
        <f>Table3[[#This Row],[Total Sales]]-Table3[[#This Row],[Discount]]</f>
        <v>0</v>
      </c>
      <c r="M813" s="58">
        <f>Table3[[#This Row],[Net Sales]]-Table3[[#This Row],[Cost Price]]*Table3[[#This Row],[QTY SOLD]]</f>
        <v>0</v>
      </c>
      <c r="N813" s="25"/>
      <c r="O813" s="25"/>
      <c r="P813" s="25"/>
      <c r="Q813" s="25"/>
      <c r="R813" s="25"/>
      <c r="S813" s="25"/>
    </row>
    <row r="814" spans="1:19" x14ac:dyDescent="0.25">
      <c r="A814" s="65"/>
      <c r="B814" s="50"/>
      <c r="C814" s="50"/>
      <c r="D814" s="50"/>
      <c r="E814" s="50" t="str">
        <f>IF(D814="","",VLOOKUP(D814,'Product Master'!$B:$C,2,FALSE))</f>
        <v/>
      </c>
      <c r="F814" s="50" t="str">
        <f>IF(D814="","",IFERROR(VLOOKUP(D814,'Product Master'!$B:$G,3,FALSE),""))</f>
        <v/>
      </c>
      <c r="G814" s="51"/>
      <c r="H814" s="52" t="str">
        <f>IF(D814="","",VLOOKUP(D814,'Product Master'!$B:$F,5,FALSE))</f>
        <v/>
      </c>
      <c r="I814" s="52">
        <f>IFERROR(VLOOKUP(D814,'Product Master'!B:E,4,FALSE),0)</f>
        <v>0</v>
      </c>
      <c r="J814" s="53">
        <f>IFERROR(Table3[[#This Row],[QTY SOLD]]*Table3[[#This Row],[Selling Price]],0)</f>
        <v>0</v>
      </c>
      <c r="K814" s="50"/>
      <c r="L814" s="50">
        <f>Table3[[#This Row],[Total Sales]]-Table3[[#This Row],[Discount]]</f>
        <v>0</v>
      </c>
      <c r="M814" s="58">
        <f>Table3[[#This Row],[Net Sales]]-Table3[[#This Row],[Cost Price]]*Table3[[#This Row],[QTY SOLD]]</f>
        <v>0</v>
      </c>
      <c r="N814" s="25"/>
      <c r="O814" s="25"/>
      <c r="P814" s="25"/>
      <c r="Q814" s="25"/>
      <c r="R814" s="25"/>
      <c r="S814" s="25"/>
    </row>
    <row r="815" spans="1:19" x14ac:dyDescent="0.25">
      <c r="A815" s="65"/>
      <c r="B815" s="50"/>
      <c r="C815" s="50"/>
      <c r="D815" s="50"/>
      <c r="E815" s="50" t="str">
        <f>IF(D815="","",VLOOKUP(D815,'Product Master'!$B:$C,2,FALSE))</f>
        <v/>
      </c>
      <c r="F815" s="50" t="str">
        <f>IF(D815="","",IFERROR(VLOOKUP(D815,'Product Master'!$B:$G,3,FALSE),""))</f>
        <v/>
      </c>
      <c r="G815" s="51"/>
      <c r="H815" s="52" t="str">
        <f>IF(D815="","",VLOOKUP(D815,'Product Master'!$B:$F,5,FALSE))</f>
        <v/>
      </c>
      <c r="I815" s="52">
        <f>IFERROR(VLOOKUP(D815,'Product Master'!B:E,4,FALSE),0)</f>
        <v>0</v>
      </c>
      <c r="J815" s="53">
        <f>IFERROR(Table3[[#This Row],[QTY SOLD]]*Table3[[#This Row],[Selling Price]],0)</f>
        <v>0</v>
      </c>
      <c r="K815" s="50"/>
      <c r="L815" s="50">
        <f>Table3[[#This Row],[Total Sales]]-Table3[[#This Row],[Discount]]</f>
        <v>0</v>
      </c>
      <c r="M815" s="58">
        <f>Table3[[#This Row],[Net Sales]]-Table3[[#This Row],[Cost Price]]*Table3[[#This Row],[QTY SOLD]]</f>
        <v>0</v>
      </c>
      <c r="N815" s="25"/>
      <c r="O815" s="25"/>
      <c r="P815" s="25"/>
      <c r="Q815" s="25"/>
      <c r="R815" s="25"/>
      <c r="S815" s="25"/>
    </row>
    <row r="816" spans="1:19" x14ac:dyDescent="0.25">
      <c r="A816" s="65"/>
      <c r="B816" s="50"/>
      <c r="C816" s="50"/>
      <c r="D816" s="50"/>
      <c r="E816" s="50" t="str">
        <f>IF(D816="","",VLOOKUP(D816,'Product Master'!$B:$C,2,FALSE))</f>
        <v/>
      </c>
      <c r="F816" s="50" t="str">
        <f>IF(D816="","",IFERROR(VLOOKUP(D816,'Product Master'!$B:$G,3,FALSE),""))</f>
        <v/>
      </c>
      <c r="G816" s="51"/>
      <c r="H816" s="52" t="str">
        <f>IF(D816="","",VLOOKUP(D816,'Product Master'!$B:$F,5,FALSE))</f>
        <v/>
      </c>
      <c r="I816" s="52">
        <f>IFERROR(VLOOKUP(D816,'Product Master'!B:E,4,FALSE),0)</f>
        <v>0</v>
      </c>
      <c r="J816" s="53">
        <f>IFERROR(Table3[[#This Row],[QTY SOLD]]*Table3[[#This Row],[Selling Price]],0)</f>
        <v>0</v>
      </c>
      <c r="K816" s="50"/>
      <c r="L816" s="50">
        <f>Table3[[#This Row],[Total Sales]]-Table3[[#This Row],[Discount]]</f>
        <v>0</v>
      </c>
      <c r="M816" s="58">
        <f>Table3[[#This Row],[Net Sales]]-Table3[[#This Row],[Cost Price]]*Table3[[#This Row],[QTY SOLD]]</f>
        <v>0</v>
      </c>
      <c r="N816" s="25"/>
      <c r="O816" s="25"/>
      <c r="P816" s="25"/>
      <c r="Q816" s="25"/>
      <c r="R816" s="25"/>
      <c r="S816" s="25"/>
    </row>
    <row r="817" spans="1:19" x14ac:dyDescent="0.25">
      <c r="A817" s="65"/>
      <c r="B817" s="50"/>
      <c r="C817" s="50"/>
      <c r="D817" s="50"/>
      <c r="E817" s="50" t="str">
        <f>IF(D817="","",VLOOKUP(D817,'Product Master'!$B:$C,2,FALSE))</f>
        <v/>
      </c>
      <c r="F817" s="50" t="str">
        <f>IF(D817="","",IFERROR(VLOOKUP(D817,'Product Master'!$B:$G,3,FALSE),""))</f>
        <v/>
      </c>
      <c r="G817" s="51"/>
      <c r="H817" s="52" t="str">
        <f>IF(D817="","",VLOOKUP(D817,'Product Master'!$B:$F,5,FALSE))</f>
        <v/>
      </c>
      <c r="I817" s="52">
        <f>IFERROR(VLOOKUP(D817,'Product Master'!B:E,4,FALSE),0)</f>
        <v>0</v>
      </c>
      <c r="J817" s="53">
        <f>IFERROR(Table3[[#This Row],[QTY SOLD]]*Table3[[#This Row],[Selling Price]],0)</f>
        <v>0</v>
      </c>
      <c r="K817" s="50"/>
      <c r="L817" s="50">
        <f>Table3[[#This Row],[Total Sales]]-Table3[[#This Row],[Discount]]</f>
        <v>0</v>
      </c>
      <c r="M817" s="58">
        <f>Table3[[#This Row],[Net Sales]]-Table3[[#This Row],[Cost Price]]*Table3[[#This Row],[QTY SOLD]]</f>
        <v>0</v>
      </c>
      <c r="N817" s="25"/>
      <c r="O817" s="25"/>
      <c r="P817" s="25"/>
      <c r="Q817" s="25"/>
      <c r="R817" s="25"/>
      <c r="S817" s="25"/>
    </row>
    <row r="818" spans="1:19" x14ac:dyDescent="0.25">
      <c r="A818" s="65"/>
      <c r="B818" s="50"/>
      <c r="C818" s="50"/>
      <c r="D818" s="50"/>
      <c r="E818" s="50" t="str">
        <f>IF(D818="","",VLOOKUP(D818,'Product Master'!$B:$C,2,FALSE))</f>
        <v/>
      </c>
      <c r="F818" s="50" t="str">
        <f>IF(D818="","",IFERROR(VLOOKUP(D818,'Product Master'!$B:$G,3,FALSE),""))</f>
        <v/>
      </c>
      <c r="G818" s="51"/>
      <c r="H818" s="52" t="str">
        <f>IF(D818="","",VLOOKUP(D818,'Product Master'!$B:$F,5,FALSE))</f>
        <v/>
      </c>
      <c r="I818" s="52">
        <f>IFERROR(VLOOKUP(D818,'Product Master'!B:E,4,FALSE),0)</f>
        <v>0</v>
      </c>
      <c r="J818" s="53">
        <f>IFERROR(Table3[[#This Row],[QTY SOLD]]*Table3[[#This Row],[Selling Price]],0)</f>
        <v>0</v>
      </c>
      <c r="K818" s="50"/>
      <c r="L818" s="50">
        <f>Table3[[#This Row],[Total Sales]]-Table3[[#This Row],[Discount]]</f>
        <v>0</v>
      </c>
      <c r="M818" s="58">
        <f>Table3[[#This Row],[Net Sales]]-Table3[[#This Row],[Cost Price]]*Table3[[#This Row],[QTY SOLD]]</f>
        <v>0</v>
      </c>
      <c r="N818" s="25"/>
      <c r="O818" s="25"/>
      <c r="P818" s="25"/>
      <c r="Q818" s="25"/>
      <c r="R818" s="25"/>
      <c r="S818" s="25"/>
    </row>
    <row r="819" spans="1:19" x14ac:dyDescent="0.25">
      <c r="A819" s="65"/>
      <c r="B819" s="50"/>
      <c r="C819" s="50"/>
      <c r="D819" s="50"/>
      <c r="E819" s="50" t="str">
        <f>IF(D819="","",VLOOKUP(D819,'Product Master'!$B:$C,2,FALSE))</f>
        <v/>
      </c>
      <c r="F819" s="50" t="str">
        <f>IF(D819="","",IFERROR(VLOOKUP(D819,'Product Master'!$B:$G,3,FALSE),""))</f>
        <v/>
      </c>
      <c r="G819" s="51"/>
      <c r="H819" s="52" t="str">
        <f>IF(D819="","",VLOOKUP(D819,'Product Master'!$B:$F,5,FALSE))</f>
        <v/>
      </c>
      <c r="I819" s="52">
        <f>IFERROR(VLOOKUP(D819,'Product Master'!B:E,4,FALSE),0)</f>
        <v>0</v>
      </c>
      <c r="J819" s="53">
        <f>IFERROR(Table3[[#This Row],[QTY SOLD]]*Table3[[#This Row],[Selling Price]],0)</f>
        <v>0</v>
      </c>
      <c r="K819" s="50"/>
      <c r="L819" s="50">
        <f>Table3[[#This Row],[Total Sales]]-Table3[[#This Row],[Discount]]</f>
        <v>0</v>
      </c>
      <c r="M819" s="58">
        <f>Table3[[#This Row],[Net Sales]]-Table3[[#This Row],[Cost Price]]*Table3[[#This Row],[QTY SOLD]]</f>
        <v>0</v>
      </c>
      <c r="N819" s="25"/>
      <c r="O819" s="25"/>
      <c r="P819" s="25"/>
      <c r="Q819" s="25"/>
      <c r="R819" s="25"/>
      <c r="S819" s="25"/>
    </row>
    <row r="820" spans="1:19" x14ac:dyDescent="0.25">
      <c r="A820" s="65"/>
      <c r="B820" s="50"/>
      <c r="C820" s="50"/>
      <c r="D820" s="50"/>
      <c r="E820" s="50" t="str">
        <f>IF(D820="","",VLOOKUP(D820,'Product Master'!$B:$C,2,FALSE))</f>
        <v/>
      </c>
      <c r="F820" s="50" t="str">
        <f>IF(D820="","",IFERROR(VLOOKUP(D820,'Product Master'!$B:$G,3,FALSE),""))</f>
        <v/>
      </c>
      <c r="G820" s="51"/>
      <c r="H820" s="52" t="str">
        <f>IF(D820="","",VLOOKUP(D820,'Product Master'!$B:$F,5,FALSE))</f>
        <v/>
      </c>
      <c r="I820" s="52">
        <f>IFERROR(VLOOKUP(D820,'Product Master'!B:E,4,FALSE),0)</f>
        <v>0</v>
      </c>
      <c r="J820" s="53">
        <f>IFERROR(Table3[[#This Row],[QTY SOLD]]*Table3[[#This Row],[Selling Price]],0)</f>
        <v>0</v>
      </c>
      <c r="K820" s="50"/>
      <c r="L820" s="50">
        <f>Table3[[#This Row],[Total Sales]]-Table3[[#This Row],[Discount]]</f>
        <v>0</v>
      </c>
      <c r="M820" s="58">
        <f>Table3[[#This Row],[Net Sales]]-Table3[[#This Row],[Cost Price]]*Table3[[#This Row],[QTY SOLD]]</f>
        <v>0</v>
      </c>
      <c r="N820" s="25"/>
      <c r="O820" s="25"/>
      <c r="P820" s="25"/>
      <c r="Q820" s="25"/>
      <c r="R820" s="25"/>
      <c r="S820" s="25"/>
    </row>
    <row r="821" spans="1:19" x14ac:dyDescent="0.25">
      <c r="A821" s="65"/>
      <c r="B821" s="50"/>
      <c r="C821" s="50"/>
      <c r="D821" s="50"/>
      <c r="E821" s="50" t="str">
        <f>IF(D821="","",VLOOKUP(D821,'Product Master'!$B:$C,2,FALSE))</f>
        <v/>
      </c>
      <c r="F821" s="50" t="str">
        <f>IF(D821="","",IFERROR(VLOOKUP(D821,'Product Master'!$B:$G,3,FALSE),""))</f>
        <v/>
      </c>
      <c r="G821" s="51"/>
      <c r="H821" s="52" t="str">
        <f>IF(D821="","",VLOOKUP(D821,'Product Master'!$B:$F,5,FALSE))</f>
        <v/>
      </c>
      <c r="I821" s="52">
        <f>IFERROR(VLOOKUP(D821,'Product Master'!B:E,4,FALSE),0)</f>
        <v>0</v>
      </c>
      <c r="J821" s="53">
        <f>IFERROR(Table3[[#This Row],[QTY SOLD]]*Table3[[#This Row],[Selling Price]],0)</f>
        <v>0</v>
      </c>
      <c r="K821" s="50"/>
      <c r="L821" s="50">
        <f>Table3[[#This Row],[Total Sales]]-Table3[[#This Row],[Discount]]</f>
        <v>0</v>
      </c>
      <c r="M821" s="58">
        <f>Table3[[#This Row],[Net Sales]]-Table3[[#This Row],[Cost Price]]*Table3[[#This Row],[QTY SOLD]]</f>
        <v>0</v>
      </c>
      <c r="N821" s="25"/>
      <c r="O821" s="25"/>
      <c r="P821" s="25"/>
      <c r="Q821" s="25"/>
      <c r="R821" s="25"/>
      <c r="S821" s="25"/>
    </row>
    <row r="822" spans="1:19" x14ac:dyDescent="0.25">
      <c r="A822" s="65"/>
      <c r="B822" s="50"/>
      <c r="C822" s="50"/>
      <c r="D822" s="50"/>
      <c r="E822" s="50" t="str">
        <f>IF(D822="","",VLOOKUP(D822,'Product Master'!$B:$C,2,FALSE))</f>
        <v/>
      </c>
      <c r="F822" s="50" t="str">
        <f>IF(D822="","",IFERROR(VLOOKUP(D822,'Product Master'!$B:$G,3,FALSE),""))</f>
        <v/>
      </c>
      <c r="G822" s="51"/>
      <c r="H822" s="52" t="str">
        <f>IF(D822="","",VLOOKUP(D822,'Product Master'!$B:$F,5,FALSE))</f>
        <v/>
      </c>
      <c r="I822" s="52">
        <f>IFERROR(VLOOKUP(D822,'Product Master'!B:E,4,FALSE),0)</f>
        <v>0</v>
      </c>
      <c r="J822" s="53">
        <f>IFERROR(Table3[[#This Row],[QTY SOLD]]*Table3[[#This Row],[Selling Price]],0)</f>
        <v>0</v>
      </c>
      <c r="K822" s="50"/>
      <c r="L822" s="50">
        <f>Table3[[#This Row],[Total Sales]]-Table3[[#This Row],[Discount]]</f>
        <v>0</v>
      </c>
      <c r="M822" s="58">
        <f>Table3[[#This Row],[Net Sales]]-Table3[[#This Row],[Cost Price]]*Table3[[#This Row],[QTY SOLD]]</f>
        <v>0</v>
      </c>
      <c r="N822" s="25"/>
      <c r="O822" s="25"/>
      <c r="P822" s="25"/>
      <c r="Q822" s="25"/>
      <c r="R822" s="25"/>
      <c r="S822" s="25"/>
    </row>
    <row r="823" spans="1:19" x14ac:dyDescent="0.25">
      <c r="A823" s="65"/>
      <c r="B823" s="50"/>
      <c r="C823" s="50"/>
      <c r="D823" s="50"/>
      <c r="E823" s="50" t="str">
        <f>IF(D823="","",VLOOKUP(D823,'Product Master'!$B:$C,2,FALSE))</f>
        <v/>
      </c>
      <c r="F823" s="50" t="str">
        <f>IF(D823="","",IFERROR(VLOOKUP(D823,'Product Master'!$B:$G,3,FALSE),""))</f>
        <v/>
      </c>
      <c r="G823" s="51"/>
      <c r="H823" s="52" t="str">
        <f>IF(D823="","",VLOOKUP(D823,'Product Master'!$B:$F,5,FALSE))</f>
        <v/>
      </c>
      <c r="I823" s="52">
        <f>IFERROR(VLOOKUP(D823,'Product Master'!B:E,4,FALSE),0)</f>
        <v>0</v>
      </c>
      <c r="J823" s="53">
        <f>IFERROR(Table3[[#This Row],[QTY SOLD]]*Table3[[#This Row],[Selling Price]],0)</f>
        <v>0</v>
      </c>
      <c r="K823" s="50"/>
      <c r="L823" s="50">
        <f>Table3[[#This Row],[Total Sales]]-Table3[[#This Row],[Discount]]</f>
        <v>0</v>
      </c>
      <c r="M823" s="58">
        <f>Table3[[#This Row],[Net Sales]]-Table3[[#This Row],[Cost Price]]*Table3[[#This Row],[QTY SOLD]]</f>
        <v>0</v>
      </c>
      <c r="N823" s="25"/>
      <c r="O823" s="25"/>
      <c r="P823" s="25"/>
      <c r="Q823" s="25"/>
      <c r="R823" s="25"/>
      <c r="S823" s="25"/>
    </row>
    <row r="824" spans="1:19" x14ac:dyDescent="0.25">
      <c r="A824" s="65"/>
      <c r="B824" s="50"/>
      <c r="C824" s="50"/>
      <c r="D824" s="50"/>
      <c r="E824" s="50" t="str">
        <f>IF(D824="","",VLOOKUP(D824,'Product Master'!$B:$C,2,FALSE))</f>
        <v/>
      </c>
      <c r="F824" s="50" t="str">
        <f>IF(D824="","",IFERROR(VLOOKUP(D824,'Product Master'!$B:$G,3,FALSE),""))</f>
        <v/>
      </c>
      <c r="G824" s="51"/>
      <c r="H824" s="52" t="str">
        <f>IF(D824="","",VLOOKUP(D824,'Product Master'!$B:$F,5,FALSE))</f>
        <v/>
      </c>
      <c r="I824" s="52">
        <f>IFERROR(VLOOKUP(D824,'Product Master'!B:E,4,FALSE),0)</f>
        <v>0</v>
      </c>
      <c r="J824" s="53">
        <f>IFERROR(Table3[[#This Row],[QTY SOLD]]*Table3[[#This Row],[Selling Price]],0)</f>
        <v>0</v>
      </c>
      <c r="K824" s="50"/>
      <c r="L824" s="50">
        <f>Table3[[#This Row],[Total Sales]]-Table3[[#This Row],[Discount]]</f>
        <v>0</v>
      </c>
      <c r="M824" s="58">
        <f>Table3[[#This Row],[Net Sales]]-Table3[[#This Row],[Cost Price]]*Table3[[#This Row],[QTY SOLD]]</f>
        <v>0</v>
      </c>
      <c r="N824" s="25"/>
      <c r="O824" s="25"/>
      <c r="P824" s="25"/>
      <c r="Q824" s="25"/>
      <c r="R824" s="25"/>
      <c r="S824" s="25"/>
    </row>
    <row r="825" spans="1:19" x14ac:dyDescent="0.25">
      <c r="A825" s="65"/>
      <c r="B825" s="50"/>
      <c r="C825" s="50"/>
      <c r="D825" s="50"/>
      <c r="E825" s="50" t="str">
        <f>IF(D825="","",VLOOKUP(D825,'Product Master'!$B:$C,2,FALSE))</f>
        <v/>
      </c>
      <c r="F825" s="50" t="str">
        <f>IF(D825="","",IFERROR(VLOOKUP(D825,'Product Master'!$B:$G,3,FALSE),""))</f>
        <v/>
      </c>
      <c r="G825" s="51"/>
      <c r="H825" s="52" t="str">
        <f>IF(D825="","",VLOOKUP(D825,'Product Master'!$B:$F,5,FALSE))</f>
        <v/>
      </c>
      <c r="I825" s="52">
        <f>IFERROR(VLOOKUP(D825,'Product Master'!B:E,4,FALSE),0)</f>
        <v>0</v>
      </c>
      <c r="J825" s="53">
        <f>IFERROR(Table3[[#This Row],[QTY SOLD]]*Table3[[#This Row],[Selling Price]],0)</f>
        <v>0</v>
      </c>
      <c r="K825" s="50"/>
      <c r="L825" s="50">
        <f>Table3[[#This Row],[Total Sales]]-Table3[[#This Row],[Discount]]</f>
        <v>0</v>
      </c>
      <c r="M825" s="58">
        <f>Table3[[#This Row],[Net Sales]]-Table3[[#This Row],[Cost Price]]*Table3[[#This Row],[QTY SOLD]]</f>
        <v>0</v>
      </c>
      <c r="N825" s="25"/>
      <c r="O825" s="25"/>
      <c r="P825" s="25"/>
      <c r="Q825" s="25"/>
      <c r="R825" s="25"/>
      <c r="S825" s="25"/>
    </row>
    <row r="826" spans="1:19" x14ac:dyDescent="0.25">
      <c r="A826" s="65"/>
      <c r="B826" s="50"/>
      <c r="C826" s="50"/>
      <c r="D826" s="50"/>
      <c r="E826" s="50" t="str">
        <f>IF(D826="","",VLOOKUP(D826,'Product Master'!$B:$C,2,FALSE))</f>
        <v/>
      </c>
      <c r="F826" s="50" t="str">
        <f>IF(D826="","",IFERROR(VLOOKUP(D826,'Product Master'!$B:$G,3,FALSE),""))</f>
        <v/>
      </c>
      <c r="G826" s="51"/>
      <c r="H826" s="52" t="str">
        <f>IF(D826="","",VLOOKUP(D826,'Product Master'!$B:$F,5,FALSE))</f>
        <v/>
      </c>
      <c r="I826" s="52">
        <f>IFERROR(VLOOKUP(D826,'Product Master'!B:E,4,FALSE),0)</f>
        <v>0</v>
      </c>
      <c r="J826" s="53">
        <f>IFERROR(Table3[[#This Row],[QTY SOLD]]*Table3[[#This Row],[Selling Price]],0)</f>
        <v>0</v>
      </c>
      <c r="K826" s="50"/>
      <c r="L826" s="50">
        <f>Table3[[#This Row],[Total Sales]]-Table3[[#This Row],[Discount]]</f>
        <v>0</v>
      </c>
      <c r="M826" s="58">
        <f>Table3[[#This Row],[Net Sales]]-Table3[[#This Row],[Cost Price]]*Table3[[#This Row],[QTY SOLD]]</f>
        <v>0</v>
      </c>
      <c r="N826" s="25"/>
      <c r="O826" s="25"/>
      <c r="P826" s="25"/>
      <c r="Q826" s="25"/>
      <c r="R826" s="25"/>
      <c r="S826" s="25"/>
    </row>
    <row r="827" spans="1:19" x14ac:dyDescent="0.25">
      <c r="A827" s="65"/>
      <c r="B827" s="50"/>
      <c r="C827" s="50"/>
      <c r="D827" s="50"/>
      <c r="E827" s="50" t="str">
        <f>IF(D827="","",VLOOKUP(D827,'Product Master'!$B:$C,2,FALSE))</f>
        <v/>
      </c>
      <c r="F827" s="50" t="str">
        <f>IF(D827="","",IFERROR(VLOOKUP(D827,'Product Master'!$B:$G,3,FALSE),""))</f>
        <v/>
      </c>
      <c r="G827" s="51"/>
      <c r="H827" s="52" t="str">
        <f>IF(D827="","",VLOOKUP(D827,'Product Master'!$B:$F,5,FALSE))</f>
        <v/>
      </c>
      <c r="I827" s="52">
        <f>IFERROR(VLOOKUP(D827,'Product Master'!B:E,4,FALSE),0)</f>
        <v>0</v>
      </c>
      <c r="J827" s="53">
        <f>IFERROR(Table3[[#This Row],[QTY SOLD]]*Table3[[#This Row],[Selling Price]],0)</f>
        <v>0</v>
      </c>
      <c r="K827" s="50"/>
      <c r="L827" s="50">
        <f>Table3[[#This Row],[Total Sales]]-Table3[[#This Row],[Discount]]</f>
        <v>0</v>
      </c>
      <c r="M827" s="58">
        <f>Table3[[#This Row],[Net Sales]]-Table3[[#This Row],[Cost Price]]*Table3[[#This Row],[QTY SOLD]]</f>
        <v>0</v>
      </c>
      <c r="N827" s="25"/>
      <c r="O827" s="25"/>
      <c r="P827" s="25"/>
      <c r="Q827" s="25"/>
      <c r="R827" s="25"/>
      <c r="S827" s="25"/>
    </row>
    <row r="828" spans="1:19" x14ac:dyDescent="0.25">
      <c r="A828" s="65"/>
      <c r="B828" s="50"/>
      <c r="C828" s="50"/>
      <c r="D828" s="50"/>
      <c r="E828" s="50" t="str">
        <f>IF(D828="","",VLOOKUP(D828,'Product Master'!$B:$C,2,FALSE))</f>
        <v/>
      </c>
      <c r="F828" s="50" t="str">
        <f>IF(D828="","",IFERROR(VLOOKUP(D828,'Product Master'!$B:$G,3,FALSE),""))</f>
        <v/>
      </c>
      <c r="G828" s="51"/>
      <c r="H828" s="52" t="str">
        <f>IF(D828="","",VLOOKUP(D828,'Product Master'!$B:$F,5,FALSE))</f>
        <v/>
      </c>
      <c r="I828" s="52">
        <f>IFERROR(VLOOKUP(D828,'Product Master'!B:E,4,FALSE),0)</f>
        <v>0</v>
      </c>
      <c r="J828" s="53">
        <f>IFERROR(Table3[[#This Row],[QTY SOLD]]*Table3[[#This Row],[Selling Price]],0)</f>
        <v>0</v>
      </c>
      <c r="K828" s="50"/>
      <c r="L828" s="50">
        <f>Table3[[#This Row],[Total Sales]]-Table3[[#This Row],[Discount]]</f>
        <v>0</v>
      </c>
      <c r="M828" s="58">
        <f>Table3[[#This Row],[Net Sales]]-Table3[[#This Row],[Cost Price]]*Table3[[#This Row],[QTY SOLD]]</f>
        <v>0</v>
      </c>
      <c r="N828" s="25"/>
      <c r="O828" s="25"/>
      <c r="P828" s="25"/>
      <c r="Q828" s="25"/>
      <c r="R828" s="25"/>
      <c r="S828" s="25"/>
    </row>
    <row r="829" spans="1:19" x14ac:dyDescent="0.25">
      <c r="A829" s="65"/>
      <c r="B829" s="50"/>
      <c r="C829" s="50"/>
      <c r="D829" s="50"/>
      <c r="E829" s="50" t="str">
        <f>IF(D829="","",VLOOKUP(D829,'Product Master'!$B:$C,2,FALSE))</f>
        <v/>
      </c>
      <c r="F829" s="50" t="str">
        <f>IF(D829="","",IFERROR(VLOOKUP(D829,'Product Master'!$B:$G,3,FALSE),""))</f>
        <v/>
      </c>
      <c r="G829" s="51"/>
      <c r="H829" s="52" t="str">
        <f>IF(D829="","",VLOOKUP(D829,'Product Master'!$B:$F,5,FALSE))</f>
        <v/>
      </c>
      <c r="I829" s="52">
        <f>IFERROR(VLOOKUP(D829,'Product Master'!B:E,4,FALSE),0)</f>
        <v>0</v>
      </c>
      <c r="J829" s="53">
        <f>IFERROR(Table3[[#This Row],[QTY SOLD]]*Table3[[#This Row],[Selling Price]],0)</f>
        <v>0</v>
      </c>
      <c r="K829" s="50"/>
      <c r="L829" s="50">
        <f>Table3[[#This Row],[Total Sales]]-Table3[[#This Row],[Discount]]</f>
        <v>0</v>
      </c>
      <c r="M829" s="58">
        <f>Table3[[#This Row],[Net Sales]]-Table3[[#This Row],[Cost Price]]*Table3[[#This Row],[QTY SOLD]]</f>
        <v>0</v>
      </c>
      <c r="N829" s="25"/>
      <c r="O829" s="25"/>
      <c r="P829" s="25"/>
      <c r="Q829" s="25"/>
      <c r="R829" s="25"/>
      <c r="S829" s="25"/>
    </row>
    <row r="830" spans="1:19" x14ac:dyDescent="0.25">
      <c r="A830" s="65"/>
      <c r="B830" s="50"/>
      <c r="C830" s="50"/>
      <c r="D830" s="50"/>
      <c r="E830" s="50" t="str">
        <f>IF(D830="","",VLOOKUP(D830,'Product Master'!$B:$C,2,FALSE))</f>
        <v/>
      </c>
      <c r="F830" s="50" t="str">
        <f>IF(D830="","",IFERROR(VLOOKUP(D830,'Product Master'!$B:$G,3,FALSE),""))</f>
        <v/>
      </c>
      <c r="G830" s="51"/>
      <c r="H830" s="52" t="str">
        <f>IF(D830="","",VLOOKUP(D830,'Product Master'!$B:$F,5,FALSE))</f>
        <v/>
      </c>
      <c r="I830" s="52">
        <f>IFERROR(VLOOKUP(D830,'Product Master'!B:E,4,FALSE),0)</f>
        <v>0</v>
      </c>
      <c r="J830" s="53">
        <f>IFERROR(Table3[[#This Row],[QTY SOLD]]*Table3[[#This Row],[Selling Price]],0)</f>
        <v>0</v>
      </c>
      <c r="K830" s="50"/>
      <c r="L830" s="50">
        <f>Table3[[#This Row],[Total Sales]]-Table3[[#This Row],[Discount]]</f>
        <v>0</v>
      </c>
      <c r="M830" s="58">
        <f>Table3[[#This Row],[Net Sales]]-Table3[[#This Row],[Cost Price]]*Table3[[#This Row],[QTY SOLD]]</f>
        <v>0</v>
      </c>
      <c r="N830" s="25"/>
      <c r="O830" s="25"/>
      <c r="P830" s="25"/>
      <c r="Q830" s="25"/>
      <c r="R830" s="25"/>
      <c r="S830" s="25"/>
    </row>
    <row r="831" spans="1:19" x14ac:dyDescent="0.25">
      <c r="A831" s="65"/>
      <c r="B831" s="50"/>
      <c r="C831" s="50"/>
      <c r="D831" s="50"/>
      <c r="E831" s="50" t="str">
        <f>IF(D831="","",VLOOKUP(D831,'Product Master'!$B:$C,2,FALSE))</f>
        <v/>
      </c>
      <c r="F831" s="50" t="str">
        <f>IF(D831="","",IFERROR(VLOOKUP(D831,'Product Master'!$B:$G,3,FALSE),""))</f>
        <v/>
      </c>
      <c r="G831" s="51"/>
      <c r="H831" s="52" t="str">
        <f>IF(D831="","",VLOOKUP(D831,'Product Master'!$B:$F,5,FALSE))</f>
        <v/>
      </c>
      <c r="I831" s="52">
        <f>IFERROR(VLOOKUP(D831,'Product Master'!B:E,4,FALSE),0)</f>
        <v>0</v>
      </c>
      <c r="J831" s="53">
        <f>IFERROR(Table3[[#This Row],[QTY SOLD]]*Table3[[#This Row],[Selling Price]],0)</f>
        <v>0</v>
      </c>
      <c r="K831" s="50"/>
      <c r="L831" s="50">
        <f>Table3[[#This Row],[Total Sales]]-Table3[[#This Row],[Discount]]</f>
        <v>0</v>
      </c>
      <c r="M831" s="58">
        <f>Table3[[#This Row],[Net Sales]]-Table3[[#This Row],[Cost Price]]*Table3[[#This Row],[QTY SOLD]]</f>
        <v>0</v>
      </c>
      <c r="N831" s="25"/>
      <c r="O831" s="25"/>
      <c r="P831" s="25"/>
      <c r="Q831" s="25"/>
      <c r="R831" s="25"/>
      <c r="S831" s="25"/>
    </row>
    <row r="832" spans="1:19" x14ac:dyDescent="0.25">
      <c r="A832" s="65"/>
      <c r="B832" s="50"/>
      <c r="C832" s="50"/>
      <c r="D832" s="50"/>
      <c r="E832" s="50" t="str">
        <f>IF(D832="","",VLOOKUP(D832,'Product Master'!$B:$C,2,FALSE))</f>
        <v/>
      </c>
      <c r="F832" s="50" t="str">
        <f>IF(D832="","",IFERROR(VLOOKUP(D832,'Product Master'!$B:$G,3,FALSE),""))</f>
        <v/>
      </c>
      <c r="G832" s="51"/>
      <c r="H832" s="52" t="str">
        <f>IF(D832="","",VLOOKUP(D832,'Product Master'!$B:$F,5,FALSE))</f>
        <v/>
      </c>
      <c r="I832" s="52">
        <f>IFERROR(VLOOKUP(D832,'Product Master'!B:E,4,FALSE),0)</f>
        <v>0</v>
      </c>
      <c r="J832" s="53">
        <f>IFERROR(Table3[[#This Row],[QTY SOLD]]*Table3[[#This Row],[Selling Price]],0)</f>
        <v>0</v>
      </c>
      <c r="K832" s="50"/>
      <c r="L832" s="50">
        <f>Table3[[#This Row],[Total Sales]]-Table3[[#This Row],[Discount]]</f>
        <v>0</v>
      </c>
      <c r="M832" s="58">
        <f>Table3[[#This Row],[Net Sales]]-Table3[[#This Row],[Cost Price]]*Table3[[#This Row],[QTY SOLD]]</f>
        <v>0</v>
      </c>
      <c r="N832" s="25"/>
      <c r="O832" s="25"/>
      <c r="P832" s="25"/>
      <c r="Q832" s="25"/>
      <c r="R832" s="25"/>
      <c r="S832" s="25"/>
    </row>
    <row r="833" spans="1:19" x14ac:dyDescent="0.25">
      <c r="A833" s="65"/>
      <c r="B833" s="50"/>
      <c r="C833" s="50"/>
      <c r="D833" s="50"/>
      <c r="E833" s="50" t="str">
        <f>IF(D833="","",VLOOKUP(D833,'Product Master'!$B:$C,2,FALSE))</f>
        <v/>
      </c>
      <c r="F833" s="50" t="str">
        <f>IF(D833="","",IFERROR(VLOOKUP(D833,'Product Master'!$B:$G,3,FALSE),""))</f>
        <v/>
      </c>
      <c r="G833" s="51"/>
      <c r="H833" s="52" t="str">
        <f>IF(D833="","",VLOOKUP(D833,'Product Master'!$B:$F,5,FALSE))</f>
        <v/>
      </c>
      <c r="I833" s="52">
        <f>IFERROR(VLOOKUP(D833,'Product Master'!B:E,4,FALSE),0)</f>
        <v>0</v>
      </c>
      <c r="J833" s="53">
        <f>IFERROR(Table3[[#This Row],[QTY SOLD]]*Table3[[#This Row],[Selling Price]],0)</f>
        <v>0</v>
      </c>
      <c r="K833" s="50"/>
      <c r="L833" s="50">
        <f>Table3[[#This Row],[Total Sales]]-Table3[[#This Row],[Discount]]</f>
        <v>0</v>
      </c>
      <c r="M833" s="58">
        <f>Table3[[#This Row],[Net Sales]]-Table3[[#This Row],[Cost Price]]*Table3[[#This Row],[QTY SOLD]]</f>
        <v>0</v>
      </c>
      <c r="N833" s="25"/>
      <c r="O833" s="25"/>
      <c r="P833" s="25"/>
      <c r="Q833" s="25"/>
      <c r="R833" s="25"/>
      <c r="S833" s="25"/>
    </row>
    <row r="834" spans="1:19" x14ac:dyDescent="0.25">
      <c r="A834" s="65"/>
      <c r="B834" s="50"/>
      <c r="C834" s="50"/>
      <c r="D834" s="50"/>
      <c r="E834" s="50" t="str">
        <f>IF(D834="","",VLOOKUP(D834,'Product Master'!$B:$C,2,FALSE))</f>
        <v/>
      </c>
      <c r="F834" s="50" t="str">
        <f>IF(D834="","",IFERROR(VLOOKUP(D834,'Product Master'!$B:$G,3,FALSE),""))</f>
        <v/>
      </c>
      <c r="G834" s="51"/>
      <c r="H834" s="52" t="str">
        <f>IF(D834="","",VLOOKUP(D834,'Product Master'!$B:$F,5,FALSE))</f>
        <v/>
      </c>
      <c r="I834" s="52">
        <f>IFERROR(VLOOKUP(D834,'Product Master'!B:E,4,FALSE),0)</f>
        <v>0</v>
      </c>
      <c r="J834" s="53">
        <f>IFERROR(Table3[[#This Row],[QTY SOLD]]*Table3[[#This Row],[Selling Price]],0)</f>
        <v>0</v>
      </c>
      <c r="K834" s="50"/>
      <c r="L834" s="50">
        <f>Table3[[#This Row],[Total Sales]]-Table3[[#This Row],[Discount]]</f>
        <v>0</v>
      </c>
      <c r="M834" s="58">
        <f>Table3[[#This Row],[Net Sales]]-Table3[[#This Row],[Cost Price]]*Table3[[#This Row],[QTY SOLD]]</f>
        <v>0</v>
      </c>
      <c r="N834" s="25"/>
      <c r="O834" s="25"/>
      <c r="P834" s="25"/>
      <c r="Q834" s="25"/>
      <c r="R834" s="25"/>
      <c r="S834" s="25"/>
    </row>
    <row r="835" spans="1:19" x14ac:dyDescent="0.25">
      <c r="A835" s="65"/>
      <c r="B835" s="50"/>
      <c r="C835" s="50"/>
      <c r="D835" s="50"/>
      <c r="E835" s="50" t="str">
        <f>IF(D835="","",VLOOKUP(D835,'Product Master'!$B:$C,2,FALSE))</f>
        <v/>
      </c>
      <c r="F835" s="50" t="str">
        <f>IF(D835="","",IFERROR(VLOOKUP(D835,'Product Master'!$B:$G,3,FALSE),""))</f>
        <v/>
      </c>
      <c r="G835" s="51"/>
      <c r="H835" s="52" t="str">
        <f>IF(D835="","",VLOOKUP(D835,'Product Master'!$B:$F,5,FALSE))</f>
        <v/>
      </c>
      <c r="I835" s="52">
        <f>IFERROR(VLOOKUP(D835,'Product Master'!B:E,4,FALSE),0)</f>
        <v>0</v>
      </c>
      <c r="J835" s="53">
        <f>IFERROR(Table3[[#This Row],[QTY SOLD]]*Table3[[#This Row],[Selling Price]],0)</f>
        <v>0</v>
      </c>
      <c r="K835" s="50"/>
      <c r="L835" s="50">
        <f>Table3[[#This Row],[Total Sales]]-Table3[[#This Row],[Discount]]</f>
        <v>0</v>
      </c>
      <c r="M835" s="58">
        <f>Table3[[#This Row],[Net Sales]]-Table3[[#This Row],[Cost Price]]*Table3[[#This Row],[QTY SOLD]]</f>
        <v>0</v>
      </c>
      <c r="N835" s="25"/>
      <c r="O835" s="25"/>
      <c r="P835" s="25"/>
      <c r="Q835" s="25"/>
      <c r="R835" s="25"/>
      <c r="S835" s="25"/>
    </row>
    <row r="836" spans="1:19" x14ac:dyDescent="0.25">
      <c r="A836" s="65"/>
      <c r="B836" s="50"/>
      <c r="C836" s="50"/>
      <c r="D836" s="50"/>
      <c r="E836" s="50" t="str">
        <f>IF(D836="","",VLOOKUP(D836,'Product Master'!$B:$C,2,FALSE))</f>
        <v/>
      </c>
      <c r="F836" s="50" t="str">
        <f>IF(D836="","",IFERROR(VLOOKUP(D836,'Product Master'!$B:$G,3,FALSE),""))</f>
        <v/>
      </c>
      <c r="G836" s="51"/>
      <c r="H836" s="52" t="str">
        <f>IF(D836="","",VLOOKUP(D836,'Product Master'!$B:$F,5,FALSE))</f>
        <v/>
      </c>
      <c r="I836" s="52">
        <f>IFERROR(VLOOKUP(D836,'Product Master'!B:E,4,FALSE),0)</f>
        <v>0</v>
      </c>
      <c r="J836" s="53">
        <f>IFERROR(Table3[[#This Row],[QTY SOLD]]*Table3[[#This Row],[Selling Price]],0)</f>
        <v>0</v>
      </c>
      <c r="K836" s="50"/>
      <c r="L836" s="50">
        <f>Table3[[#This Row],[Total Sales]]-Table3[[#This Row],[Discount]]</f>
        <v>0</v>
      </c>
      <c r="M836" s="58">
        <f>Table3[[#This Row],[Net Sales]]-Table3[[#This Row],[Cost Price]]*Table3[[#This Row],[QTY SOLD]]</f>
        <v>0</v>
      </c>
      <c r="N836" s="25"/>
      <c r="O836" s="25"/>
      <c r="P836" s="25"/>
      <c r="Q836" s="25"/>
      <c r="R836" s="25"/>
      <c r="S836" s="25"/>
    </row>
    <row r="837" spans="1:19" x14ac:dyDescent="0.25">
      <c r="A837" s="65"/>
      <c r="B837" s="50"/>
      <c r="C837" s="50"/>
      <c r="D837" s="50"/>
      <c r="E837" s="50" t="str">
        <f>IF(D837="","",VLOOKUP(D837,'Product Master'!$B:$C,2,FALSE))</f>
        <v/>
      </c>
      <c r="F837" s="50" t="str">
        <f>IF(D837="","",IFERROR(VLOOKUP(D837,'Product Master'!$B:$G,3,FALSE),""))</f>
        <v/>
      </c>
      <c r="G837" s="51"/>
      <c r="H837" s="52" t="str">
        <f>IF(D837="","",VLOOKUP(D837,'Product Master'!$B:$F,5,FALSE))</f>
        <v/>
      </c>
      <c r="I837" s="52">
        <f>IFERROR(VLOOKUP(D837,'Product Master'!B:E,4,FALSE),0)</f>
        <v>0</v>
      </c>
      <c r="J837" s="53">
        <f>IFERROR(Table3[[#This Row],[QTY SOLD]]*Table3[[#This Row],[Selling Price]],0)</f>
        <v>0</v>
      </c>
      <c r="K837" s="50"/>
      <c r="L837" s="50">
        <f>Table3[[#This Row],[Total Sales]]-Table3[[#This Row],[Discount]]</f>
        <v>0</v>
      </c>
      <c r="M837" s="58">
        <f>Table3[[#This Row],[Net Sales]]-Table3[[#This Row],[Cost Price]]*Table3[[#This Row],[QTY SOLD]]</f>
        <v>0</v>
      </c>
      <c r="N837" s="25"/>
      <c r="O837" s="25"/>
      <c r="P837" s="25"/>
      <c r="Q837" s="25"/>
      <c r="R837" s="25"/>
      <c r="S837" s="25"/>
    </row>
    <row r="838" spans="1:19" x14ac:dyDescent="0.25">
      <c r="A838" s="65"/>
      <c r="B838" s="50"/>
      <c r="C838" s="50"/>
      <c r="D838" s="50"/>
      <c r="E838" s="50" t="str">
        <f>IF(D838="","",VLOOKUP(D838,'Product Master'!$B:$C,2,FALSE))</f>
        <v/>
      </c>
      <c r="F838" s="50" t="str">
        <f>IF(D838="","",IFERROR(VLOOKUP(D838,'Product Master'!$B:$G,3,FALSE),""))</f>
        <v/>
      </c>
      <c r="G838" s="51"/>
      <c r="H838" s="52" t="str">
        <f>IF(D838="","",VLOOKUP(D838,'Product Master'!$B:$F,5,FALSE))</f>
        <v/>
      </c>
      <c r="I838" s="52">
        <f>IFERROR(VLOOKUP(D838,'Product Master'!B:E,4,FALSE),0)</f>
        <v>0</v>
      </c>
      <c r="J838" s="53">
        <f>IFERROR(Table3[[#This Row],[QTY SOLD]]*Table3[[#This Row],[Selling Price]],0)</f>
        <v>0</v>
      </c>
      <c r="K838" s="50"/>
      <c r="L838" s="50">
        <f>Table3[[#This Row],[Total Sales]]-Table3[[#This Row],[Discount]]</f>
        <v>0</v>
      </c>
      <c r="M838" s="58">
        <f>Table3[[#This Row],[Net Sales]]-Table3[[#This Row],[Cost Price]]*Table3[[#This Row],[QTY SOLD]]</f>
        <v>0</v>
      </c>
      <c r="N838" s="25"/>
      <c r="O838" s="25"/>
      <c r="P838" s="25"/>
      <c r="Q838" s="25"/>
      <c r="R838" s="25"/>
      <c r="S838" s="25"/>
    </row>
    <row r="839" spans="1:19" x14ac:dyDescent="0.25">
      <c r="A839" s="65"/>
      <c r="B839" s="50"/>
      <c r="C839" s="50"/>
      <c r="D839" s="50"/>
      <c r="E839" s="50" t="str">
        <f>IF(D839="","",VLOOKUP(D839,'Product Master'!$B:$C,2,FALSE))</f>
        <v/>
      </c>
      <c r="F839" s="50" t="str">
        <f>IF(D839="","",IFERROR(VLOOKUP(D839,'Product Master'!$B:$G,3,FALSE),""))</f>
        <v/>
      </c>
      <c r="G839" s="51"/>
      <c r="H839" s="52" t="str">
        <f>IF(D839="","",VLOOKUP(D839,'Product Master'!$B:$F,5,FALSE))</f>
        <v/>
      </c>
      <c r="I839" s="52">
        <f>IFERROR(VLOOKUP(D839,'Product Master'!B:E,4,FALSE),0)</f>
        <v>0</v>
      </c>
      <c r="J839" s="53">
        <f>IFERROR(Table3[[#This Row],[QTY SOLD]]*Table3[[#This Row],[Selling Price]],0)</f>
        <v>0</v>
      </c>
      <c r="K839" s="50"/>
      <c r="L839" s="50">
        <f>Table3[[#This Row],[Total Sales]]-Table3[[#This Row],[Discount]]</f>
        <v>0</v>
      </c>
      <c r="M839" s="58">
        <f>Table3[[#This Row],[Net Sales]]-Table3[[#This Row],[Cost Price]]*Table3[[#This Row],[QTY SOLD]]</f>
        <v>0</v>
      </c>
      <c r="N839" s="25"/>
      <c r="O839" s="25"/>
      <c r="P839" s="25"/>
      <c r="Q839" s="25"/>
      <c r="R839" s="25"/>
      <c r="S839" s="25"/>
    </row>
    <row r="840" spans="1:19" x14ac:dyDescent="0.25">
      <c r="A840" s="65"/>
      <c r="B840" s="50"/>
      <c r="C840" s="50"/>
      <c r="D840" s="50"/>
      <c r="E840" s="50" t="str">
        <f>IF(D840="","",VLOOKUP(D840,'Product Master'!$B:$C,2,FALSE))</f>
        <v/>
      </c>
      <c r="F840" s="50" t="str">
        <f>IF(D840="","",IFERROR(VLOOKUP(D840,'Product Master'!$B:$G,3,FALSE),""))</f>
        <v/>
      </c>
      <c r="G840" s="51"/>
      <c r="H840" s="52" t="str">
        <f>IF(D840="","",VLOOKUP(D840,'Product Master'!$B:$F,5,FALSE))</f>
        <v/>
      </c>
      <c r="I840" s="52">
        <f>IFERROR(VLOOKUP(D840,'Product Master'!B:E,4,FALSE),0)</f>
        <v>0</v>
      </c>
      <c r="J840" s="53">
        <f>IFERROR(Table3[[#This Row],[QTY SOLD]]*Table3[[#This Row],[Selling Price]],0)</f>
        <v>0</v>
      </c>
      <c r="K840" s="50"/>
      <c r="L840" s="50">
        <f>Table3[[#This Row],[Total Sales]]-Table3[[#This Row],[Discount]]</f>
        <v>0</v>
      </c>
      <c r="M840" s="58">
        <f>Table3[[#This Row],[Net Sales]]-Table3[[#This Row],[Cost Price]]*Table3[[#This Row],[QTY SOLD]]</f>
        <v>0</v>
      </c>
      <c r="N840" s="25"/>
      <c r="O840" s="25"/>
      <c r="P840" s="25"/>
      <c r="Q840" s="25"/>
      <c r="R840" s="25"/>
      <c r="S840" s="25"/>
    </row>
    <row r="841" spans="1:19" x14ac:dyDescent="0.25">
      <c r="A841" s="65"/>
      <c r="B841" s="50"/>
      <c r="C841" s="50"/>
      <c r="D841" s="50"/>
      <c r="E841" s="50" t="str">
        <f>IF(D841="","",VLOOKUP(D841,'Product Master'!$B:$C,2,FALSE))</f>
        <v/>
      </c>
      <c r="F841" s="50" t="str">
        <f>IF(D841="","",IFERROR(VLOOKUP(D841,'Product Master'!$B:$G,3,FALSE),""))</f>
        <v/>
      </c>
      <c r="G841" s="51"/>
      <c r="H841" s="52" t="str">
        <f>IF(D841="","",VLOOKUP(D841,'Product Master'!$B:$F,5,FALSE))</f>
        <v/>
      </c>
      <c r="I841" s="52">
        <f>IFERROR(VLOOKUP(D841,'Product Master'!B:E,4,FALSE),0)</f>
        <v>0</v>
      </c>
      <c r="J841" s="53">
        <f>IFERROR(Table3[[#This Row],[QTY SOLD]]*Table3[[#This Row],[Selling Price]],0)</f>
        <v>0</v>
      </c>
      <c r="K841" s="50"/>
      <c r="L841" s="50">
        <f>Table3[[#This Row],[Total Sales]]-Table3[[#This Row],[Discount]]</f>
        <v>0</v>
      </c>
      <c r="M841" s="58">
        <f>Table3[[#This Row],[Net Sales]]-Table3[[#This Row],[Cost Price]]*Table3[[#This Row],[QTY SOLD]]</f>
        <v>0</v>
      </c>
      <c r="N841" s="25"/>
      <c r="O841" s="25"/>
      <c r="P841" s="25"/>
      <c r="Q841" s="25"/>
      <c r="R841" s="25"/>
      <c r="S841" s="25"/>
    </row>
    <row r="842" spans="1:19" x14ac:dyDescent="0.25">
      <c r="A842" s="65"/>
      <c r="B842" s="50"/>
      <c r="C842" s="50"/>
      <c r="D842" s="50"/>
      <c r="E842" s="50" t="str">
        <f>IF(D842="","",VLOOKUP(D842,'Product Master'!$B:$C,2,FALSE))</f>
        <v/>
      </c>
      <c r="F842" s="50" t="str">
        <f>IF(D842="","",IFERROR(VLOOKUP(D842,'Product Master'!$B:$G,3,FALSE),""))</f>
        <v/>
      </c>
      <c r="G842" s="51"/>
      <c r="H842" s="52" t="str">
        <f>IF(D842="","",VLOOKUP(D842,'Product Master'!$B:$F,5,FALSE))</f>
        <v/>
      </c>
      <c r="I842" s="52">
        <f>IFERROR(VLOOKUP(D842,'Product Master'!B:E,4,FALSE),0)</f>
        <v>0</v>
      </c>
      <c r="J842" s="53">
        <f>IFERROR(Table3[[#This Row],[QTY SOLD]]*Table3[[#This Row],[Selling Price]],0)</f>
        <v>0</v>
      </c>
      <c r="K842" s="50"/>
      <c r="L842" s="50">
        <f>Table3[[#This Row],[Total Sales]]-Table3[[#This Row],[Discount]]</f>
        <v>0</v>
      </c>
      <c r="M842" s="58">
        <f>Table3[[#This Row],[Net Sales]]-Table3[[#This Row],[Cost Price]]*Table3[[#This Row],[QTY SOLD]]</f>
        <v>0</v>
      </c>
      <c r="N842" s="25"/>
      <c r="O842" s="25"/>
      <c r="P842" s="25"/>
      <c r="Q842" s="25"/>
      <c r="R842" s="25"/>
      <c r="S842" s="25"/>
    </row>
    <row r="843" spans="1:19" x14ac:dyDescent="0.25">
      <c r="A843" s="65"/>
      <c r="B843" s="50"/>
      <c r="C843" s="50"/>
      <c r="D843" s="50"/>
      <c r="E843" s="50" t="str">
        <f>IF(D843="","",VLOOKUP(D843,'Product Master'!$B:$C,2,FALSE))</f>
        <v/>
      </c>
      <c r="F843" s="50" t="str">
        <f>IF(D843="","",IFERROR(VLOOKUP(D843,'Product Master'!$B:$G,3,FALSE),""))</f>
        <v/>
      </c>
      <c r="G843" s="51"/>
      <c r="H843" s="52" t="str">
        <f>IF(D843="","",VLOOKUP(D843,'Product Master'!$B:$F,5,FALSE))</f>
        <v/>
      </c>
      <c r="I843" s="52">
        <f>IFERROR(VLOOKUP(D843,'Product Master'!B:E,4,FALSE),0)</f>
        <v>0</v>
      </c>
      <c r="J843" s="53">
        <f>IFERROR(Table3[[#This Row],[QTY SOLD]]*Table3[[#This Row],[Selling Price]],0)</f>
        <v>0</v>
      </c>
      <c r="K843" s="50"/>
      <c r="L843" s="50">
        <f>Table3[[#This Row],[Total Sales]]-Table3[[#This Row],[Discount]]</f>
        <v>0</v>
      </c>
      <c r="M843" s="58">
        <f>Table3[[#This Row],[Net Sales]]-Table3[[#This Row],[Cost Price]]*Table3[[#This Row],[QTY SOLD]]</f>
        <v>0</v>
      </c>
      <c r="N843" s="25"/>
      <c r="O843" s="25"/>
      <c r="P843" s="25"/>
      <c r="Q843" s="25"/>
      <c r="R843" s="25"/>
      <c r="S843" s="25"/>
    </row>
    <row r="844" spans="1:19" x14ac:dyDescent="0.25">
      <c r="A844" s="65"/>
      <c r="B844" s="50"/>
      <c r="C844" s="50"/>
      <c r="D844" s="50"/>
      <c r="E844" s="50" t="str">
        <f>IF(D844="","",VLOOKUP(D844,'Product Master'!$B:$C,2,FALSE))</f>
        <v/>
      </c>
      <c r="F844" s="50" t="str">
        <f>IF(D844="","",IFERROR(VLOOKUP(D844,'Product Master'!$B:$G,3,FALSE),""))</f>
        <v/>
      </c>
      <c r="G844" s="51"/>
      <c r="H844" s="52" t="str">
        <f>IF(D844="","",VLOOKUP(D844,'Product Master'!$B:$F,5,FALSE))</f>
        <v/>
      </c>
      <c r="I844" s="52">
        <f>IFERROR(VLOOKUP(D844,'Product Master'!B:E,4,FALSE),0)</f>
        <v>0</v>
      </c>
      <c r="J844" s="53">
        <f>IFERROR(Table3[[#This Row],[QTY SOLD]]*Table3[[#This Row],[Selling Price]],0)</f>
        <v>0</v>
      </c>
      <c r="K844" s="50"/>
      <c r="L844" s="50">
        <f>Table3[[#This Row],[Total Sales]]-Table3[[#This Row],[Discount]]</f>
        <v>0</v>
      </c>
      <c r="M844" s="58">
        <f>Table3[[#This Row],[Net Sales]]-Table3[[#This Row],[Cost Price]]*Table3[[#This Row],[QTY SOLD]]</f>
        <v>0</v>
      </c>
      <c r="N844" s="25"/>
      <c r="O844" s="25"/>
      <c r="P844" s="25"/>
      <c r="Q844" s="25"/>
      <c r="R844" s="25"/>
      <c r="S844" s="25"/>
    </row>
    <row r="845" spans="1:19" x14ac:dyDescent="0.25">
      <c r="A845" s="65"/>
      <c r="B845" s="50"/>
      <c r="C845" s="50"/>
      <c r="D845" s="50"/>
      <c r="E845" s="50" t="str">
        <f>IF(D845="","",VLOOKUP(D845,'Product Master'!$B:$C,2,FALSE))</f>
        <v/>
      </c>
      <c r="F845" s="50" t="str">
        <f>IF(D845="","",IFERROR(VLOOKUP(D845,'Product Master'!$B:$G,3,FALSE),""))</f>
        <v/>
      </c>
      <c r="G845" s="51"/>
      <c r="H845" s="52" t="str">
        <f>IF(D845="","",VLOOKUP(D845,'Product Master'!$B:$F,5,FALSE))</f>
        <v/>
      </c>
      <c r="I845" s="52">
        <f>IFERROR(VLOOKUP(D845,'Product Master'!B:E,4,FALSE),0)</f>
        <v>0</v>
      </c>
      <c r="J845" s="53">
        <f>IFERROR(Table3[[#This Row],[QTY SOLD]]*Table3[[#This Row],[Selling Price]],0)</f>
        <v>0</v>
      </c>
      <c r="K845" s="50"/>
      <c r="L845" s="50">
        <f>Table3[[#This Row],[Total Sales]]-Table3[[#This Row],[Discount]]</f>
        <v>0</v>
      </c>
      <c r="M845" s="58">
        <f>Table3[[#This Row],[Net Sales]]-Table3[[#This Row],[Cost Price]]*Table3[[#This Row],[QTY SOLD]]</f>
        <v>0</v>
      </c>
      <c r="N845" s="25"/>
      <c r="O845" s="25"/>
      <c r="P845" s="25"/>
      <c r="Q845" s="25"/>
      <c r="R845" s="25"/>
      <c r="S845" s="25"/>
    </row>
    <row r="846" spans="1:19" x14ac:dyDescent="0.25">
      <c r="A846" s="65"/>
      <c r="B846" s="50"/>
      <c r="C846" s="50"/>
      <c r="D846" s="50"/>
      <c r="E846" s="50" t="str">
        <f>IF(D846="","",VLOOKUP(D846,'Product Master'!$B:$C,2,FALSE))</f>
        <v/>
      </c>
      <c r="F846" s="50" t="str">
        <f>IF(D846="","",IFERROR(VLOOKUP(D846,'Product Master'!$B:$G,3,FALSE),""))</f>
        <v/>
      </c>
      <c r="G846" s="51"/>
      <c r="H846" s="52" t="str">
        <f>IF(D846="","",VLOOKUP(D846,'Product Master'!$B:$F,5,FALSE))</f>
        <v/>
      </c>
      <c r="I846" s="52">
        <f>IFERROR(VLOOKUP(D846,'Product Master'!B:E,4,FALSE),0)</f>
        <v>0</v>
      </c>
      <c r="J846" s="53">
        <f>IFERROR(Table3[[#This Row],[QTY SOLD]]*Table3[[#This Row],[Selling Price]],0)</f>
        <v>0</v>
      </c>
      <c r="K846" s="50"/>
      <c r="L846" s="50">
        <f>Table3[[#This Row],[Total Sales]]-Table3[[#This Row],[Discount]]</f>
        <v>0</v>
      </c>
      <c r="M846" s="58">
        <f>Table3[[#This Row],[Net Sales]]-Table3[[#This Row],[Cost Price]]*Table3[[#This Row],[QTY SOLD]]</f>
        <v>0</v>
      </c>
      <c r="N846" s="25"/>
      <c r="O846" s="25"/>
      <c r="P846" s="25"/>
      <c r="Q846" s="25"/>
      <c r="R846" s="25"/>
      <c r="S846" s="25"/>
    </row>
    <row r="847" spans="1:19" x14ac:dyDescent="0.25">
      <c r="A847" s="65"/>
      <c r="B847" s="50"/>
      <c r="C847" s="50"/>
      <c r="D847" s="50"/>
      <c r="E847" s="50" t="str">
        <f>IF(D847="","",VLOOKUP(D847,'Product Master'!$B:$C,2,FALSE))</f>
        <v/>
      </c>
      <c r="F847" s="50" t="str">
        <f>IF(D847="","",IFERROR(VLOOKUP(D847,'Product Master'!$B:$G,3,FALSE),""))</f>
        <v/>
      </c>
      <c r="G847" s="51"/>
      <c r="H847" s="52" t="str">
        <f>IF(D847="","",VLOOKUP(D847,'Product Master'!$B:$F,5,FALSE))</f>
        <v/>
      </c>
      <c r="I847" s="52">
        <f>IFERROR(VLOOKUP(D847,'Product Master'!B:E,4,FALSE),0)</f>
        <v>0</v>
      </c>
      <c r="J847" s="53">
        <f>IFERROR(Table3[[#This Row],[QTY SOLD]]*Table3[[#This Row],[Selling Price]],0)</f>
        <v>0</v>
      </c>
      <c r="K847" s="50"/>
      <c r="L847" s="50">
        <f>Table3[[#This Row],[Total Sales]]-Table3[[#This Row],[Discount]]</f>
        <v>0</v>
      </c>
      <c r="M847" s="58">
        <f>Table3[[#This Row],[Net Sales]]-Table3[[#This Row],[Cost Price]]*Table3[[#This Row],[QTY SOLD]]</f>
        <v>0</v>
      </c>
      <c r="N847" s="25"/>
      <c r="O847" s="25"/>
      <c r="P847" s="25"/>
      <c r="Q847" s="25"/>
      <c r="R847" s="25"/>
      <c r="S847" s="25"/>
    </row>
    <row r="848" spans="1:19" x14ac:dyDescent="0.25">
      <c r="A848" s="65"/>
      <c r="B848" s="50"/>
      <c r="C848" s="50"/>
      <c r="D848" s="50"/>
      <c r="E848" s="50" t="str">
        <f>IF(D848="","",VLOOKUP(D848,'Product Master'!$B:$C,2,FALSE))</f>
        <v/>
      </c>
      <c r="F848" s="50" t="str">
        <f>IF(D848="","",IFERROR(VLOOKUP(D848,'Product Master'!$B:$G,3,FALSE),""))</f>
        <v/>
      </c>
      <c r="G848" s="51"/>
      <c r="H848" s="52" t="str">
        <f>IF(D848="","",VLOOKUP(D848,'Product Master'!$B:$F,5,FALSE))</f>
        <v/>
      </c>
      <c r="I848" s="52">
        <f>IFERROR(VLOOKUP(D848,'Product Master'!B:E,4,FALSE),0)</f>
        <v>0</v>
      </c>
      <c r="J848" s="53">
        <f>IFERROR(Table3[[#This Row],[QTY SOLD]]*Table3[[#This Row],[Selling Price]],0)</f>
        <v>0</v>
      </c>
      <c r="K848" s="50"/>
      <c r="L848" s="50">
        <f>Table3[[#This Row],[Total Sales]]-Table3[[#This Row],[Discount]]</f>
        <v>0</v>
      </c>
      <c r="M848" s="58">
        <f>Table3[[#This Row],[Net Sales]]-Table3[[#This Row],[Cost Price]]*Table3[[#This Row],[QTY SOLD]]</f>
        <v>0</v>
      </c>
      <c r="N848" s="25"/>
      <c r="O848" s="25"/>
      <c r="P848" s="25"/>
      <c r="Q848" s="25"/>
      <c r="R848" s="25"/>
      <c r="S848" s="25"/>
    </row>
    <row r="849" spans="1:19" x14ac:dyDescent="0.25">
      <c r="A849" s="65"/>
      <c r="B849" s="50"/>
      <c r="C849" s="50"/>
      <c r="D849" s="50"/>
      <c r="E849" s="50" t="str">
        <f>IF(D849="","",VLOOKUP(D849,'Product Master'!$B:$C,2,FALSE))</f>
        <v/>
      </c>
      <c r="F849" s="50" t="str">
        <f>IF(D849="","",IFERROR(VLOOKUP(D849,'Product Master'!$B:$G,3,FALSE),""))</f>
        <v/>
      </c>
      <c r="G849" s="51"/>
      <c r="H849" s="52" t="str">
        <f>IF(D849="","",VLOOKUP(D849,'Product Master'!$B:$F,5,FALSE))</f>
        <v/>
      </c>
      <c r="I849" s="52">
        <f>IFERROR(VLOOKUP(D849,'Product Master'!B:E,4,FALSE),0)</f>
        <v>0</v>
      </c>
      <c r="J849" s="53">
        <f>IFERROR(Table3[[#This Row],[QTY SOLD]]*Table3[[#This Row],[Selling Price]],0)</f>
        <v>0</v>
      </c>
      <c r="K849" s="50"/>
      <c r="L849" s="50">
        <f>Table3[[#This Row],[Total Sales]]-Table3[[#This Row],[Discount]]</f>
        <v>0</v>
      </c>
      <c r="M849" s="58">
        <f>Table3[[#This Row],[Net Sales]]-Table3[[#This Row],[Cost Price]]*Table3[[#This Row],[QTY SOLD]]</f>
        <v>0</v>
      </c>
      <c r="N849" s="25"/>
      <c r="O849" s="25"/>
      <c r="P849" s="25"/>
      <c r="Q849" s="25"/>
      <c r="R849" s="25"/>
      <c r="S849" s="25"/>
    </row>
    <row r="850" spans="1:19" x14ac:dyDescent="0.25">
      <c r="A850" s="65"/>
      <c r="B850" s="50"/>
      <c r="C850" s="50"/>
      <c r="D850" s="50"/>
      <c r="E850" s="50" t="str">
        <f>IF(D850="","",VLOOKUP(D850,'Product Master'!$B:$C,2,FALSE))</f>
        <v/>
      </c>
      <c r="F850" s="50" t="str">
        <f>IF(D850="","",IFERROR(VLOOKUP(D850,'Product Master'!$B:$G,3,FALSE),""))</f>
        <v/>
      </c>
      <c r="G850" s="51"/>
      <c r="H850" s="52" t="str">
        <f>IF(D850="","",VLOOKUP(D850,'Product Master'!$B:$F,5,FALSE))</f>
        <v/>
      </c>
      <c r="I850" s="52">
        <f>IFERROR(VLOOKUP(D850,'Product Master'!B:E,4,FALSE),0)</f>
        <v>0</v>
      </c>
      <c r="J850" s="53">
        <f>IFERROR(Table3[[#This Row],[QTY SOLD]]*Table3[[#This Row],[Selling Price]],0)</f>
        <v>0</v>
      </c>
      <c r="K850" s="50"/>
      <c r="L850" s="50">
        <f>Table3[[#This Row],[Total Sales]]-Table3[[#This Row],[Discount]]</f>
        <v>0</v>
      </c>
      <c r="M850" s="58">
        <f>Table3[[#This Row],[Net Sales]]-Table3[[#This Row],[Cost Price]]*Table3[[#This Row],[QTY SOLD]]</f>
        <v>0</v>
      </c>
      <c r="N850" s="25"/>
      <c r="O850" s="25"/>
      <c r="P850" s="25"/>
      <c r="Q850" s="25"/>
      <c r="R850" s="25"/>
      <c r="S850" s="25"/>
    </row>
    <row r="851" spans="1:19" x14ac:dyDescent="0.25">
      <c r="A851" s="65"/>
      <c r="B851" s="50"/>
      <c r="C851" s="50"/>
      <c r="D851" s="50"/>
      <c r="E851" s="50" t="str">
        <f>IF(D851="","",VLOOKUP(D851,'Product Master'!$B:$C,2,FALSE))</f>
        <v/>
      </c>
      <c r="F851" s="50" t="str">
        <f>IF(D851="","",IFERROR(VLOOKUP(D851,'Product Master'!$B:$G,3,FALSE),""))</f>
        <v/>
      </c>
      <c r="G851" s="51"/>
      <c r="H851" s="52" t="str">
        <f>IF(D851="","",VLOOKUP(D851,'Product Master'!$B:$F,5,FALSE))</f>
        <v/>
      </c>
      <c r="I851" s="52">
        <f>IFERROR(VLOOKUP(D851,'Product Master'!B:E,4,FALSE),0)</f>
        <v>0</v>
      </c>
      <c r="J851" s="53">
        <f>IFERROR(Table3[[#This Row],[QTY SOLD]]*Table3[[#This Row],[Selling Price]],0)</f>
        <v>0</v>
      </c>
      <c r="K851" s="50"/>
      <c r="L851" s="50">
        <f>Table3[[#This Row],[Total Sales]]-Table3[[#This Row],[Discount]]</f>
        <v>0</v>
      </c>
      <c r="M851" s="58">
        <f>Table3[[#This Row],[Net Sales]]-Table3[[#This Row],[Cost Price]]*Table3[[#This Row],[QTY SOLD]]</f>
        <v>0</v>
      </c>
      <c r="N851" s="25"/>
      <c r="O851" s="25"/>
      <c r="P851" s="25"/>
      <c r="Q851" s="25"/>
      <c r="R851" s="25"/>
      <c r="S851" s="25"/>
    </row>
    <row r="852" spans="1:19" x14ac:dyDescent="0.25">
      <c r="A852" s="65"/>
      <c r="B852" s="50"/>
      <c r="C852" s="50"/>
      <c r="D852" s="50"/>
      <c r="E852" s="50" t="str">
        <f>IF(D852="","",VLOOKUP(D852,'Product Master'!$B:$C,2,FALSE))</f>
        <v/>
      </c>
      <c r="F852" s="50" t="str">
        <f>IF(D852="","",IFERROR(VLOOKUP(D852,'Product Master'!$B:$G,3,FALSE),""))</f>
        <v/>
      </c>
      <c r="G852" s="51"/>
      <c r="H852" s="52" t="str">
        <f>IF(D852="","",VLOOKUP(D852,'Product Master'!$B:$F,5,FALSE))</f>
        <v/>
      </c>
      <c r="I852" s="52">
        <f>IFERROR(VLOOKUP(D852,'Product Master'!B:E,4,FALSE),0)</f>
        <v>0</v>
      </c>
      <c r="J852" s="53">
        <f>IFERROR(Table3[[#This Row],[QTY SOLD]]*Table3[[#This Row],[Selling Price]],0)</f>
        <v>0</v>
      </c>
      <c r="K852" s="50"/>
      <c r="L852" s="50">
        <f>Table3[[#This Row],[Total Sales]]-Table3[[#This Row],[Discount]]</f>
        <v>0</v>
      </c>
      <c r="M852" s="58">
        <f>Table3[[#This Row],[Net Sales]]-Table3[[#This Row],[Cost Price]]*Table3[[#This Row],[QTY SOLD]]</f>
        <v>0</v>
      </c>
      <c r="N852" s="25"/>
      <c r="O852" s="25"/>
      <c r="P852" s="25"/>
      <c r="Q852" s="25"/>
      <c r="R852" s="25"/>
      <c r="S852" s="25"/>
    </row>
    <row r="853" spans="1:19" x14ac:dyDescent="0.25">
      <c r="A853" s="65"/>
      <c r="B853" s="50"/>
      <c r="C853" s="50"/>
      <c r="D853" s="50"/>
      <c r="E853" s="50" t="str">
        <f>IF(D853="","",VLOOKUP(D853,'Product Master'!$B:$C,2,FALSE))</f>
        <v/>
      </c>
      <c r="F853" s="50" t="str">
        <f>IF(D853="","",IFERROR(VLOOKUP(D853,'Product Master'!$B:$G,3,FALSE),""))</f>
        <v/>
      </c>
      <c r="G853" s="51"/>
      <c r="H853" s="52" t="str">
        <f>IF(D853="","",VLOOKUP(D853,'Product Master'!$B:$F,5,FALSE))</f>
        <v/>
      </c>
      <c r="I853" s="52">
        <f>IFERROR(VLOOKUP(D853,'Product Master'!B:E,4,FALSE),0)</f>
        <v>0</v>
      </c>
      <c r="J853" s="53">
        <f>IFERROR(Table3[[#This Row],[QTY SOLD]]*Table3[[#This Row],[Selling Price]],0)</f>
        <v>0</v>
      </c>
      <c r="K853" s="50"/>
      <c r="L853" s="50">
        <f>Table3[[#This Row],[Total Sales]]-Table3[[#This Row],[Discount]]</f>
        <v>0</v>
      </c>
      <c r="M853" s="58">
        <f>Table3[[#This Row],[Net Sales]]-Table3[[#This Row],[Cost Price]]*Table3[[#This Row],[QTY SOLD]]</f>
        <v>0</v>
      </c>
      <c r="N853" s="25"/>
      <c r="O853" s="25"/>
      <c r="P853" s="25"/>
      <c r="Q853" s="25"/>
      <c r="R853" s="25"/>
      <c r="S853" s="25"/>
    </row>
    <row r="854" spans="1:19" x14ac:dyDescent="0.25">
      <c r="A854" s="65"/>
      <c r="B854" s="50"/>
      <c r="C854" s="50"/>
      <c r="D854" s="50"/>
      <c r="E854" s="50" t="str">
        <f>IF(D854="","",VLOOKUP(D854,'Product Master'!$B:$C,2,FALSE))</f>
        <v/>
      </c>
      <c r="F854" s="50" t="str">
        <f>IF(D854="","",IFERROR(VLOOKUP(D854,'Product Master'!$B:$G,3,FALSE),""))</f>
        <v/>
      </c>
      <c r="G854" s="51"/>
      <c r="H854" s="52" t="str">
        <f>IF(D854="","",VLOOKUP(D854,'Product Master'!$B:$F,5,FALSE))</f>
        <v/>
      </c>
      <c r="I854" s="52">
        <f>IFERROR(VLOOKUP(D854,'Product Master'!B:E,4,FALSE),0)</f>
        <v>0</v>
      </c>
      <c r="J854" s="53">
        <f>IFERROR(Table3[[#This Row],[QTY SOLD]]*Table3[[#This Row],[Selling Price]],0)</f>
        <v>0</v>
      </c>
      <c r="K854" s="50"/>
      <c r="L854" s="50">
        <f>Table3[[#This Row],[Total Sales]]-Table3[[#This Row],[Discount]]</f>
        <v>0</v>
      </c>
      <c r="M854" s="58">
        <f>Table3[[#This Row],[Net Sales]]-Table3[[#This Row],[Cost Price]]*Table3[[#This Row],[QTY SOLD]]</f>
        <v>0</v>
      </c>
      <c r="N854" s="25"/>
      <c r="O854" s="25"/>
      <c r="P854" s="25"/>
      <c r="Q854" s="25"/>
      <c r="R854" s="25"/>
      <c r="S854" s="25"/>
    </row>
    <row r="855" spans="1:19" x14ac:dyDescent="0.25">
      <c r="A855" s="65"/>
      <c r="B855" s="50"/>
      <c r="C855" s="50"/>
      <c r="D855" s="50"/>
      <c r="E855" s="50" t="str">
        <f>IF(D855="","",VLOOKUP(D855,'Product Master'!$B:$C,2,FALSE))</f>
        <v/>
      </c>
      <c r="F855" s="50" t="str">
        <f>IF(D855="","",IFERROR(VLOOKUP(D855,'Product Master'!$B:$G,3,FALSE),""))</f>
        <v/>
      </c>
      <c r="G855" s="51"/>
      <c r="H855" s="52" t="str">
        <f>IF(D855="","",VLOOKUP(D855,'Product Master'!$B:$F,5,FALSE))</f>
        <v/>
      </c>
      <c r="I855" s="52">
        <f>IFERROR(VLOOKUP(D855,'Product Master'!B:E,4,FALSE),0)</f>
        <v>0</v>
      </c>
      <c r="J855" s="53">
        <f>IFERROR(Table3[[#This Row],[QTY SOLD]]*Table3[[#This Row],[Selling Price]],0)</f>
        <v>0</v>
      </c>
      <c r="K855" s="50"/>
      <c r="L855" s="50">
        <f>Table3[[#This Row],[Total Sales]]-Table3[[#This Row],[Discount]]</f>
        <v>0</v>
      </c>
      <c r="M855" s="58">
        <f>Table3[[#This Row],[Net Sales]]-Table3[[#This Row],[Cost Price]]*Table3[[#This Row],[QTY SOLD]]</f>
        <v>0</v>
      </c>
      <c r="N855" s="25"/>
      <c r="O855" s="25"/>
      <c r="P855" s="25"/>
      <c r="Q855" s="25"/>
      <c r="R855" s="25"/>
      <c r="S855" s="25"/>
    </row>
    <row r="856" spans="1:19" x14ac:dyDescent="0.25">
      <c r="A856" s="65"/>
      <c r="B856" s="50"/>
      <c r="C856" s="50"/>
      <c r="D856" s="50"/>
      <c r="E856" s="50" t="str">
        <f>IF(D856="","",VLOOKUP(D856,'Product Master'!$B:$C,2,FALSE))</f>
        <v/>
      </c>
      <c r="F856" s="50" t="str">
        <f>IF(D856="","",IFERROR(VLOOKUP(D856,'Product Master'!$B:$G,3,FALSE),""))</f>
        <v/>
      </c>
      <c r="G856" s="51"/>
      <c r="H856" s="52" t="str">
        <f>IF(D856="","",VLOOKUP(D856,'Product Master'!$B:$F,5,FALSE))</f>
        <v/>
      </c>
      <c r="I856" s="52">
        <f>IFERROR(VLOOKUP(D856,'Product Master'!B:E,4,FALSE),0)</f>
        <v>0</v>
      </c>
      <c r="J856" s="53">
        <f>IFERROR(Table3[[#This Row],[QTY SOLD]]*Table3[[#This Row],[Selling Price]],0)</f>
        <v>0</v>
      </c>
      <c r="K856" s="50"/>
      <c r="L856" s="50">
        <f>Table3[[#This Row],[Total Sales]]-Table3[[#This Row],[Discount]]</f>
        <v>0</v>
      </c>
      <c r="M856" s="58">
        <f>Table3[[#This Row],[Net Sales]]-Table3[[#This Row],[Cost Price]]*Table3[[#This Row],[QTY SOLD]]</f>
        <v>0</v>
      </c>
      <c r="N856" s="25"/>
      <c r="O856" s="25"/>
      <c r="P856" s="25"/>
      <c r="Q856" s="25"/>
      <c r="R856" s="25"/>
      <c r="S856" s="25"/>
    </row>
    <row r="857" spans="1:19" x14ac:dyDescent="0.25">
      <c r="A857" s="65"/>
      <c r="B857" s="50"/>
      <c r="C857" s="50"/>
      <c r="D857" s="50"/>
      <c r="E857" s="50" t="str">
        <f>IF(D857="","",VLOOKUP(D857,'Product Master'!$B:$C,2,FALSE))</f>
        <v/>
      </c>
      <c r="F857" s="50" t="str">
        <f>IF(D857="","",IFERROR(VLOOKUP(D857,'Product Master'!$B:$G,3,FALSE),""))</f>
        <v/>
      </c>
      <c r="G857" s="51"/>
      <c r="H857" s="52" t="str">
        <f>IF(D857="","",VLOOKUP(D857,'Product Master'!$B:$F,5,FALSE))</f>
        <v/>
      </c>
      <c r="I857" s="52">
        <f>IFERROR(VLOOKUP(D857,'Product Master'!B:E,4,FALSE),0)</f>
        <v>0</v>
      </c>
      <c r="J857" s="53">
        <f>IFERROR(Table3[[#This Row],[QTY SOLD]]*Table3[[#This Row],[Selling Price]],0)</f>
        <v>0</v>
      </c>
      <c r="K857" s="50"/>
      <c r="L857" s="50">
        <f>Table3[[#This Row],[Total Sales]]-Table3[[#This Row],[Discount]]</f>
        <v>0</v>
      </c>
      <c r="M857" s="58">
        <f>Table3[[#This Row],[Net Sales]]-Table3[[#This Row],[Cost Price]]*Table3[[#This Row],[QTY SOLD]]</f>
        <v>0</v>
      </c>
      <c r="N857" s="25"/>
      <c r="O857" s="25"/>
      <c r="P857" s="25"/>
      <c r="Q857" s="25"/>
      <c r="R857" s="25"/>
      <c r="S857" s="25"/>
    </row>
    <row r="858" spans="1:19" x14ac:dyDescent="0.25">
      <c r="A858" s="65"/>
      <c r="B858" s="50"/>
      <c r="C858" s="50"/>
      <c r="D858" s="50"/>
      <c r="E858" s="50" t="str">
        <f>IF(D858="","",VLOOKUP(D858,'Product Master'!$B:$C,2,FALSE))</f>
        <v/>
      </c>
      <c r="F858" s="50" t="str">
        <f>IF(D858="","",IFERROR(VLOOKUP(D858,'Product Master'!$B:$G,3,FALSE),""))</f>
        <v/>
      </c>
      <c r="G858" s="51"/>
      <c r="H858" s="52" t="str">
        <f>IF(D858="","",VLOOKUP(D858,'Product Master'!$B:$F,5,FALSE))</f>
        <v/>
      </c>
      <c r="I858" s="52">
        <f>IFERROR(VLOOKUP(D858,'Product Master'!B:E,4,FALSE),0)</f>
        <v>0</v>
      </c>
      <c r="J858" s="53">
        <f>IFERROR(Table3[[#This Row],[QTY SOLD]]*Table3[[#This Row],[Selling Price]],0)</f>
        <v>0</v>
      </c>
      <c r="K858" s="50"/>
      <c r="L858" s="50">
        <f>Table3[[#This Row],[Total Sales]]-Table3[[#This Row],[Discount]]</f>
        <v>0</v>
      </c>
      <c r="M858" s="58">
        <f>Table3[[#This Row],[Net Sales]]-Table3[[#This Row],[Cost Price]]*Table3[[#This Row],[QTY SOLD]]</f>
        <v>0</v>
      </c>
      <c r="N858" s="25"/>
      <c r="O858" s="25"/>
      <c r="P858" s="25"/>
      <c r="Q858" s="25"/>
      <c r="R858" s="25"/>
      <c r="S858" s="25"/>
    </row>
    <row r="859" spans="1:19" x14ac:dyDescent="0.25">
      <c r="A859" s="65"/>
      <c r="B859" s="50"/>
      <c r="C859" s="50"/>
      <c r="D859" s="50"/>
      <c r="E859" s="50" t="str">
        <f>IF(D859="","",VLOOKUP(D859,'Product Master'!$B:$C,2,FALSE))</f>
        <v/>
      </c>
      <c r="F859" s="50" t="str">
        <f>IF(D859="","",IFERROR(VLOOKUP(D859,'Product Master'!$B:$G,3,FALSE),""))</f>
        <v/>
      </c>
      <c r="G859" s="51"/>
      <c r="H859" s="52" t="str">
        <f>IF(D859="","",VLOOKUP(D859,'Product Master'!$B:$F,5,FALSE))</f>
        <v/>
      </c>
      <c r="I859" s="52">
        <f>IFERROR(VLOOKUP(D859,'Product Master'!B:E,4,FALSE),0)</f>
        <v>0</v>
      </c>
      <c r="J859" s="53">
        <f>IFERROR(Table3[[#This Row],[QTY SOLD]]*Table3[[#This Row],[Selling Price]],0)</f>
        <v>0</v>
      </c>
      <c r="K859" s="50"/>
      <c r="L859" s="50">
        <f>Table3[[#This Row],[Total Sales]]-Table3[[#This Row],[Discount]]</f>
        <v>0</v>
      </c>
      <c r="M859" s="58">
        <f>Table3[[#This Row],[Net Sales]]-Table3[[#This Row],[Cost Price]]*Table3[[#This Row],[QTY SOLD]]</f>
        <v>0</v>
      </c>
      <c r="N859" s="25"/>
      <c r="O859" s="25"/>
      <c r="P859" s="25"/>
      <c r="Q859" s="25"/>
      <c r="R859" s="25"/>
      <c r="S859" s="25"/>
    </row>
    <row r="860" spans="1:19" x14ac:dyDescent="0.25">
      <c r="A860" s="65"/>
      <c r="B860" s="50"/>
      <c r="C860" s="50"/>
      <c r="D860" s="50"/>
      <c r="E860" s="50" t="str">
        <f>IF(D860="","",VLOOKUP(D860,'Product Master'!$B:$C,2,FALSE))</f>
        <v/>
      </c>
      <c r="F860" s="50" t="str">
        <f>IF(D860="","",IFERROR(VLOOKUP(D860,'Product Master'!$B:$G,3,FALSE),""))</f>
        <v/>
      </c>
      <c r="G860" s="51"/>
      <c r="H860" s="52" t="str">
        <f>IF(D860="","",VLOOKUP(D860,'Product Master'!$B:$F,5,FALSE))</f>
        <v/>
      </c>
      <c r="I860" s="52">
        <f>IFERROR(VLOOKUP(D860,'Product Master'!B:E,4,FALSE),0)</f>
        <v>0</v>
      </c>
      <c r="J860" s="53">
        <f>IFERROR(Table3[[#This Row],[QTY SOLD]]*Table3[[#This Row],[Selling Price]],0)</f>
        <v>0</v>
      </c>
      <c r="K860" s="50"/>
      <c r="L860" s="50">
        <f>Table3[[#This Row],[Total Sales]]-Table3[[#This Row],[Discount]]</f>
        <v>0</v>
      </c>
      <c r="M860" s="58">
        <f>Table3[[#This Row],[Net Sales]]-Table3[[#This Row],[Cost Price]]*Table3[[#This Row],[QTY SOLD]]</f>
        <v>0</v>
      </c>
      <c r="N860" s="25"/>
      <c r="O860" s="25"/>
      <c r="P860" s="25"/>
      <c r="Q860" s="25"/>
      <c r="R860" s="25"/>
      <c r="S860" s="25"/>
    </row>
    <row r="861" spans="1:19" x14ac:dyDescent="0.25">
      <c r="A861" s="65"/>
      <c r="B861" s="50"/>
      <c r="C861" s="50"/>
      <c r="D861" s="50"/>
      <c r="E861" s="50" t="str">
        <f>IF(D861="","",VLOOKUP(D861,'Product Master'!$B:$C,2,FALSE))</f>
        <v/>
      </c>
      <c r="F861" s="50" t="str">
        <f>IF(D861="","",IFERROR(VLOOKUP(D861,'Product Master'!$B:$G,3,FALSE),""))</f>
        <v/>
      </c>
      <c r="G861" s="51"/>
      <c r="H861" s="52" t="str">
        <f>IF(D861="","",VLOOKUP(D861,'Product Master'!$B:$F,5,FALSE))</f>
        <v/>
      </c>
      <c r="I861" s="52">
        <f>IFERROR(VLOOKUP(D861,'Product Master'!B:E,4,FALSE),0)</f>
        <v>0</v>
      </c>
      <c r="J861" s="53">
        <f>IFERROR(Table3[[#This Row],[QTY SOLD]]*Table3[[#This Row],[Selling Price]],0)</f>
        <v>0</v>
      </c>
      <c r="K861" s="50"/>
      <c r="L861" s="50">
        <f>Table3[[#This Row],[Total Sales]]-Table3[[#This Row],[Discount]]</f>
        <v>0</v>
      </c>
      <c r="M861" s="58">
        <f>Table3[[#This Row],[Net Sales]]-Table3[[#This Row],[Cost Price]]*Table3[[#This Row],[QTY SOLD]]</f>
        <v>0</v>
      </c>
      <c r="N861" s="25"/>
      <c r="O861" s="25"/>
      <c r="P861" s="25"/>
      <c r="Q861" s="25"/>
      <c r="R861" s="25"/>
      <c r="S861" s="25"/>
    </row>
    <row r="862" spans="1:19" x14ac:dyDescent="0.25">
      <c r="A862" s="65"/>
      <c r="B862" s="50"/>
      <c r="C862" s="50"/>
      <c r="D862" s="50"/>
      <c r="E862" s="50" t="str">
        <f>IF(D862="","",VLOOKUP(D862,'Product Master'!$B:$C,2,FALSE))</f>
        <v/>
      </c>
      <c r="F862" s="50" t="str">
        <f>IF(D862="","",IFERROR(VLOOKUP(D862,'Product Master'!$B:$G,3,FALSE),""))</f>
        <v/>
      </c>
      <c r="G862" s="51"/>
      <c r="H862" s="52" t="str">
        <f>IF(D862="","",VLOOKUP(D862,'Product Master'!$B:$F,5,FALSE))</f>
        <v/>
      </c>
      <c r="I862" s="52">
        <f>IFERROR(VLOOKUP(D862,'Product Master'!B:E,4,FALSE),0)</f>
        <v>0</v>
      </c>
      <c r="J862" s="53">
        <f>IFERROR(Table3[[#This Row],[QTY SOLD]]*Table3[[#This Row],[Selling Price]],0)</f>
        <v>0</v>
      </c>
      <c r="K862" s="50"/>
      <c r="L862" s="50">
        <f>Table3[[#This Row],[Total Sales]]-Table3[[#This Row],[Discount]]</f>
        <v>0</v>
      </c>
      <c r="M862" s="58">
        <f>Table3[[#This Row],[Net Sales]]-Table3[[#This Row],[Cost Price]]*Table3[[#This Row],[QTY SOLD]]</f>
        <v>0</v>
      </c>
      <c r="N862" s="25"/>
      <c r="O862" s="25"/>
      <c r="P862" s="25"/>
      <c r="Q862" s="25"/>
      <c r="R862" s="25"/>
      <c r="S862" s="25"/>
    </row>
    <row r="863" spans="1:19" x14ac:dyDescent="0.25">
      <c r="A863" s="65"/>
      <c r="B863" s="50"/>
      <c r="C863" s="50"/>
      <c r="D863" s="50"/>
      <c r="E863" s="50" t="str">
        <f>IF(D863="","",VLOOKUP(D863,'Product Master'!$B:$C,2,FALSE))</f>
        <v/>
      </c>
      <c r="F863" s="50" t="str">
        <f>IF(D863="","",IFERROR(VLOOKUP(D863,'Product Master'!$B:$G,3,FALSE),""))</f>
        <v/>
      </c>
      <c r="G863" s="51"/>
      <c r="H863" s="52" t="str">
        <f>IF(D863="","",VLOOKUP(D863,'Product Master'!$B:$F,5,FALSE))</f>
        <v/>
      </c>
      <c r="I863" s="52">
        <f>IFERROR(VLOOKUP(D863,'Product Master'!B:E,4,FALSE),0)</f>
        <v>0</v>
      </c>
      <c r="J863" s="53">
        <f>IFERROR(Table3[[#This Row],[QTY SOLD]]*Table3[[#This Row],[Selling Price]],0)</f>
        <v>0</v>
      </c>
      <c r="K863" s="50"/>
      <c r="L863" s="50">
        <f>Table3[[#This Row],[Total Sales]]-Table3[[#This Row],[Discount]]</f>
        <v>0</v>
      </c>
      <c r="M863" s="58">
        <f>Table3[[#This Row],[Net Sales]]-Table3[[#This Row],[Cost Price]]*Table3[[#This Row],[QTY SOLD]]</f>
        <v>0</v>
      </c>
      <c r="N863" s="25"/>
      <c r="O863" s="25"/>
      <c r="P863" s="25"/>
      <c r="Q863" s="25"/>
      <c r="R863" s="25"/>
      <c r="S863" s="25"/>
    </row>
    <row r="864" spans="1:19" x14ac:dyDescent="0.25">
      <c r="A864" s="65"/>
      <c r="B864" s="50"/>
      <c r="C864" s="50"/>
      <c r="D864" s="50"/>
      <c r="E864" s="50" t="str">
        <f>IF(D864="","",VLOOKUP(D864,'Product Master'!$B:$C,2,FALSE))</f>
        <v/>
      </c>
      <c r="F864" s="50" t="str">
        <f>IF(D864="","",IFERROR(VLOOKUP(D864,'Product Master'!$B:$G,3,FALSE),""))</f>
        <v/>
      </c>
      <c r="G864" s="51"/>
      <c r="H864" s="52" t="str">
        <f>IF(D864="","",VLOOKUP(D864,'Product Master'!$B:$F,5,FALSE))</f>
        <v/>
      </c>
      <c r="I864" s="52">
        <f>IFERROR(VLOOKUP(D864,'Product Master'!B:E,4,FALSE),0)</f>
        <v>0</v>
      </c>
      <c r="J864" s="53">
        <f>IFERROR(Table3[[#This Row],[QTY SOLD]]*Table3[[#This Row],[Selling Price]],0)</f>
        <v>0</v>
      </c>
      <c r="K864" s="50"/>
      <c r="L864" s="50">
        <f>Table3[[#This Row],[Total Sales]]-Table3[[#This Row],[Discount]]</f>
        <v>0</v>
      </c>
      <c r="M864" s="58">
        <f>Table3[[#This Row],[Net Sales]]-Table3[[#This Row],[Cost Price]]*Table3[[#This Row],[QTY SOLD]]</f>
        <v>0</v>
      </c>
      <c r="N864" s="25"/>
      <c r="O864" s="25"/>
      <c r="P864" s="25"/>
      <c r="Q864" s="25"/>
      <c r="R864" s="25"/>
      <c r="S864" s="25"/>
    </row>
    <row r="865" spans="1:19" x14ac:dyDescent="0.25">
      <c r="A865" s="65"/>
      <c r="B865" s="50"/>
      <c r="C865" s="50"/>
      <c r="D865" s="50"/>
      <c r="E865" s="50" t="str">
        <f>IF(D865="","",VLOOKUP(D865,'Product Master'!$B:$C,2,FALSE))</f>
        <v/>
      </c>
      <c r="F865" s="50" t="str">
        <f>IF(D865="","",IFERROR(VLOOKUP(D865,'Product Master'!$B:$G,3,FALSE),""))</f>
        <v/>
      </c>
      <c r="G865" s="51"/>
      <c r="H865" s="52" t="str">
        <f>IF(D865="","",VLOOKUP(D865,'Product Master'!$B:$F,5,FALSE))</f>
        <v/>
      </c>
      <c r="I865" s="52">
        <f>IFERROR(VLOOKUP(D865,'Product Master'!B:E,4,FALSE),0)</f>
        <v>0</v>
      </c>
      <c r="J865" s="53">
        <f>IFERROR(Table3[[#This Row],[QTY SOLD]]*Table3[[#This Row],[Selling Price]],0)</f>
        <v>0</v>
      </c>
      <c r="K865" s="50"/>
      <c r="L865" s="50">
        <f>Table3[[#This Row],[Total Sales]]-Table3[[#This Row],[Discount]]</f>
        <v>0</v>
      </c>
      <c r="M865" s="58">
        <f>Table3[[#This Row],[Net Sales]]-Table3[[#This Row],[Cost Price]]*Table3[[#This Row],[QTY SOLD]]</f>
        <v>0</v>
      </c>
      <c r="N865" s="25"/>
      <c r="O865" s="25"/>
      <c r="P865" s="25"/>
      <c r="Q865" s="25"/>
      <c r="R865" s="25"/>
      <c r="S865" s="25"/>
    </row>
    <row r="866" spans="1:19" x14ac:dyDescent="0.25">
      <c r="A866" s="65"/>
      <c r="B866" s="50"/>
      <c r="C866" s="50"/>
      <c r="D866" s="50"/>
      <c r="E866" s="50" t="str">
        <f>IF(D866="","",VLOOKUP(D866,'Product Master'!$B:$C,2,FALSE))</f>
        <v/>
      </c>
      <c r="F866" s="50" t="str">
        <f>IF(D866="","",IFERROR(VLOOKUP(D866,'Product Master'!$B:$G,3,FALSE),""))</f>
        <v/>
      </c>
      <c r="G866" s="51"/>
      <c r="H866" s="52" t="str">
        <f>IF(D866="","",VLOOKUP(D866,'Product Master'!$B:$F,5,FALSE))</f>
        <v/>
      </c>
      <c r="I866" s="52">
        <f>IFERROR(VLOOKUP(D866,'Product Master'!B:E,4,FALSE),0)</f>
        <v>0</v>
      </c>
      <c r="J866" s="53">
        <f>IFERROR(Table3[[#This Row],[QTY SOLD]]*Table3[[#This Row],[Selling Price]],0)</f>
        <v>0</v>
      </c>
      <c r="K866" s="50"/>
      <c r="L866" s="50">
        <f>Table3[[#This Row],[Total Sales]]-Table3[[#This Row],[Discount]]</f>
        <v>0</v>
      </c>
      <c r="M866" s="58">
        <f>Table3[[#This Row],[Net Sales]]-Table3[[#This Row],[Cost Price]]*Table3[[#This Row],[QTY SOLD]]</f>
        <v>0</v>
      </c>
      <c r="N866" s="25"/>
      <c r="O866" s="25"/>
      <c r="P866" s="25"/>
      <c r="Q866" s="25"/>
      <c r="R866" s="25"/>
      <c r="S866" s="25"/>
    </row>
    <row r="867" spans="1:19" x14ac:dyDescent="0.25">
      <c r="A867" s="65"/>
      <c r="B867" s="50"/>
      <c r="C867" s="50"/>
      <c r="D867" s="50"/>
      <c r="E867" s="50" t="str">
        <f>IF(D867="","",VLOOKUP(D867,'Product Master'!$B:$C,2,FALSE))</f>
        <v/>
      </c>
      <c r="F867" s="50" t="str">
        <f>IF(D867="","",IFERROR(VLOOKUP(D867,'Product Master'!$B:$G,3,FALSE),""))</f>
        <v/>
      </c>
      <c r="G867" s="51"/>
      <c r="H867" s="52" t="str">
        <f>IF(D867="","",VLOOKUP(D867,'Product Master'!$B:$F,5,FALSE))</f>
        <v/>
      </c>
      <c r="I867" s="52">
        <f>IFERROR(VLOOKUP(D867,'Product Master'!B:E,4,FALSE),0)</f>
        <v>0</v>
      </c>
      <c r="J867" s="53">
        <f>IFERROR(Table3[[#This Row],[QTY SOLD]]*Table3[[#This Row],[Selling Price]],0)</f>
        <v>0</v>
      </c>
      <c r="K867" s="50"/>
      <c r="L867" s="50">
        <f>Table3[[#This Row],[Total Sales]]-Table3[[#This Row],[Discount]]</f>
        <v>0</v>
      </c>
      <c r="M867" s="58">
        <f>Table3[[#This Row],[Net Sales]]-Table3[[#This Row],[Cost Price]]*Table3[[#This Row],[QTY SOLD]]</f>
        <v>0</v>
      </c>
      <c r="N867" s="25"/>
      <c r="O867" s="25"/>
      <c r="P867" s="25"/>
      <c r="Q867" s="25"/>
      <c r="R867" s="25"/>
      <c r="S867" s="25"/>
    </row>
    <row r="868" spans="1:19" x14ac:dyDescent="0.25">
      <c r="A868" s="65"/>
      <c r="B868" s="50"/>
      <c r="C868" s="50"/>
      <c r="D868" s="50"/>
      <c r="E868" s="50" t="str">
        <f>IF(D868="","",VLOOKUP(D868,'Product Master'!$B:$C,2,FALSE))</f>
        <v/>
      </c>
      <c r="F868" s="50" t="str">
        <f>IF(D868="","",IFERROR(VLOOKUP(D868,'Product Master'!$B:$G,3,FALSE),""))</f>
        <v/>
      </c>
      <c r="G868" s="51"/>
      <c r="H868" s="52" t="str">
        <f>IF(D868="","",VLOOKUP(D868,'Product Master'!$B:$F,5,FALSE))</f>
        <v/>
      </c>
      <c r="I868" s="52">
        <f>IFERROR(VLOOKUP(D868,'Product Master'!B:E,4,FALSE),0)</f>
        <v>0</v>
      </c>
      <c r="J868" s="53">
        <f>IFERROR(Table3[[#This Row],[QTY SOLD]]*Table3[[#This Row],[Selling Price]],0)</f>
        <v>0</v>
      </c>
      <c r="K868" s="50"/>
      <c r="L868" s="50">
        <f>Table3[[#This Row],[Total Sales]]-Table3[[#This Row],[Discount]]</f>
        <v>0</v>
      </c>
      <c r="M868" s="58">
        <f>Table3[[#This Row],[Net Sales]]-Table3[[#This Row],[Cost Price]]*Table3[[#This Row],[QTY SOLD]]</f>
        <v>0</v>
      </c>
      <c r="N868" s="25"/>
      <c r="O868" s="25"/>
      <c r="P868" s="25"/>
      <c r="Q868" s="25"/>
      <c r="R868" s="25"/>
      <c r="S868" s="25"/>
    </row>
    <row r="869" spans="1:19" x14ac:dyDescent="0.25">
      <c r="A869" s="65"/>
      <c r="B869" s="50"/>
      <c r="C869" s="50"/>
      <c r="D869" s="50"/>
      <c r="E869" s="50" t="str">
        <f>IF(D869="","",VLOOKUP(D869,'Product Master'!$B:$C,2,FALSE))</f>
        <v/>
      </c>
      <c r="F869" s="50" t="str">
        <f>IF(D869="","",IFERROR(VLOOKUP(D869,'Product Master'!$B:$G,3,FALSE),""))</f>
        <v/>
      </c>
      <c r="G869" s="51"/>
      <c r="H869" s="52" t="str">
        <f>IF(D869="","",VLOOKUP(D869,'Product Master'!$B:$F,5,FALSE))</f>
        <v/>
      </c>
      <c r="I869" s="52">
        <f>IFERROR(VLOOKUP(D869,'Product Master'!B:E,4,FALSE),0)</f>
        <v>0</v>
      </c>
      <c r="J869" s="53">
        <f>IFERROR(Table3[[#This Row],[QTY SOLD]]*Table3[[#This Row],[Selling Price]],0)</f>
        <v>0</v>
      </c>
      <c r="K869" s="50"/>
      <c r="L869" s="50">
        <f>Table3[[#This Row],[Total Sales]]-Table3[[#This Row],[Discount]]</f>
        <v>0</v>
      </c>
      <c r="M869" s="58">
        <f>Table3[[#This Row],[Net Sales]]-Table3[[#This Row],[Cost Price]]*Table3[[#This Row],[QTY SOLD]]</f>
        <v>0</v>
      </c>
      <c r="N869" s="25"/>
      <c r="O869" s="25"/>
      <c r="P869" s="25"/>
      <c r="Q869" s="25"/>
      <c r="R869" s="25"/>
      <c r="S869" s="25"/>
    </row>
    <row r="870" spans="1:19" x14ac:dyDescent="0.25">
      <c r="A870" s="65"/>
      <c r="B870" s="50"/>
      <c r="C870" s="50"/>
      <c r="D870" s="50"/>
      <c r="E870" s="50" t="str">
        <f>IF(D870="","",VLOOKUP(D870,'Product Master'!$B:$C,2,FALSE))</f>
        <v/>
      </c>
      <c r="F870" s="50" t="str">
        <f>IF(D870="","",IFERROR(VLOOKUP(D870,'Product Master'!$B:$G,3,FALSE),""))</f>
        <v/>
      </c>
      <c r="G870" s="51"/>
      <c r="H870" s="52" t="str">
        <f>IF(D870="","",VLOOKUP(D870,'Product Master'!$B:$F,5,FALSE))</f>
        <v/>
      </c>
      <c r="I870" s="52">
        <f>IFERROR(VLOOKUP(D870,'Product Master'!B:E,4,FALSE),0)</f>
        <v>0</v>
      </c>
      <c r="J870" s="53">
        <f>IFERROR(Table3[[#This Row],[QTY SOLD]]*Table3[[#This Row],[Selling Price]],0)</f>
        <v>0</v>
      </c>
      <c r="K870" s="50"/>
      <c r="L870" s="50">
        <f>Table3[[#This Row],[Total Sales]]-Table3[[#This Row],[Discount]]</f>
        <v>0</v>
      </c>
      <c r="M870" s="58">
        <f>Table3[[#This Row],[Net Sales]]-Table3[[#This Row],[Cost Price]]*Table3[[#This Row],[QTY SOLD]]</f>
        <v>0</v>
      </c>
      <c r="N870" s="25"/>
      <c r="O870" s="25"/>
      <c r="P870" s="25"/>
      <c r="Q870" s="25"/>
      <c r="R870" s="25"/>
      <c r="S870" s="25"/>
    </row>
    <row r="871" spans="1:19" x14ac:dyDescent="0.25">
      <c r="A871" s="65"/>
      <c r="B871" s="50"/>
      <c r="C871" s="50"/>
      <c r="D871" s="50"/>
      <c r="E871" s="50" t="str">
        <f>IF(D871="","",VLOOKUP(D871,'Product Master'!$B:$C,2,FALSE))</f>
        <v/>
      </c>
      <c r="F871" s="50" t="str">
        <f>IF(D871="","",IFERROR(VLOOKUP(D871,'Product Master'!$B:$G,3,FALSE),""))</f>
        <v/>
      </c>
      <c r="G871" s="51"/>
      <c r="H871" s="52" t="str">
        <f>IF(D871="","",VLOOKUP(D871,'Product Master'!$B:$F,5,FALSE))</f>
        <v/>
      </c>
      <c r="I871" s="52">
        <f>IFERROR(VLOOKUP(D871,'Product Master'!B:E,4,FALSE),0)</f>
        <v>0</v>
      </c>
      <c r="J871" s="53">
        <f>IFERROR(Table3[[#This Row],[QTY SOLD]]*Table3[[#This Row],[Selling Price]],0)</f>
        <v>0</v>
      </c>
      <c r="K871" s="50"/>
      <c r="L871" s="50">
        <f>Table3[[#This Row],[Total Sales]]-Table3[[#This Row],[Discount]]</f>
        <v>0</v>
      </c>
      <c r="M871" s="58">
        <f>Table3[[#This Row],[Net Sales]]-Table3[[#This Row],[Cost Price]]*Table3[[#This Row],[QTY SOLD]]</f>
        <v>0</v>
      </c>
      <c r="N871" s="25"/>
      <c r="O871" s="25"/>
      <c r="P871" s="25"/>
      <c r="Q871" s="25"/>
      <c r="R871" s="25"/>
      <c r="S871" s="25"/>
    </row>
    <row r="872" spans="1:19" x14ac:dyDescent="0.25">
      <c r="A872" s="65"/>
      <c r="B872" s="50"/>
      <c r="C872" s="50"/>
      <c r="D872" s="50"/>
      <c r="E872" s="50" t="str">
        <f>IF(D872="","",VLOOKUP(D872,'Product Master'!$B:$C,2,FALSE))</f>
        <v/>
      </c>
      <c r="F872" s="50" t="str">
        <f>IF(D872="","",IFERROR(VLOOKUP(D872,'Product Master'!$B:$G,3,FALSE),""))</f>
        <v/>
      </c>
      <c r="G872" s="51"/>
      <c r="H872" s="52" t="str">
        <f>IF(D872="","",VLOOKUP(D872,'Product Master'!$B:$F,5,FALSE))</f>
        <v/>
      </c>
      <c r="I872" s="52">
        <f>IFERROR(VLOOKUP(D872,'Product Master'!B:E,4,FALSE),0)</f>
        <v>0</v>
      </c>
      <c r="J872" s="53">
        <f>IFERROR(Table3[[#This Row],[QTY SOLD]]*Table3[[#This Row],[Selling Price]],0)</f>
        <v>0</v>
      </c>
      <c r="K872" s="50"/>
      <c r="L872" s="50">
        <f>Table3[[#This Row],[Total Sales]]-Table3[[#This Row],[Discount]]</f>
        <v>0</v>
      </c>
      <c r="M872" s="58">
        <f>Table3[[#This Row],[Net Sales]]-Table3[[#This Row],[Cost Price]]*Table3[[#This Row],[QTY SOLD]]</f>
        <v>0</v>
      </c>
      <c r="N872" s="25"/>
      <c r="O872" s="25"/>
      <c r="P872" s="25"/>
      <c r="Q872" s="25"/>
      <c r="R872" s="25"/>
      <c r="S872" s="25"/>
    </row>
    <row r="873" spans="1:19" x14ac:dyDescent="0.25">
      <c r="A873" s="65"/>
      <c r="B873" s="50"/>
      <c r="C873" s="50"/>
      <c r="D873" s="50"/>
      <c r="E873" s="50" t="str">
        <f>IF(D873="","",VLOOKUP(D873,'Product Master'!$B:$C,2,FALSE))</f>
        <v/>
      </c>
      <c r="F873" s="50" t="str">
        <f>IF(D873="","",IFERROR(VLOOKUP(D873,'Product Master'!$B:$G,3,FALSE),""))</f>
        <v/>
      </c>
      <c r="G873" s="51"/>
      <c r="H873" s="52" t="str">
        <f>IF(D873="","",VLOOKUP(D873,'Product Master'!$B:$F,5,FALSE))</f>
        <v/>
      </c>
      <c r="I873" s="52">
        <f>IFERROR(VLOOKUP(D873,'Product Master'!B:E,4,FALSE),0)</f>
        <v>0</v>
      </c>
      <c r="J873" s="53">
        <f>IFERROR(Table3[[#This Row],[QTY SOLD]]*Table3[[#This Row],[Selling Price]],0)</f>
        <v>0</v>
      </c>
      <c r="K873" s="50"/>
      <c r="L873" s="50">
        <f>Table3[[#This Row],[Total Sales]]-Table3[[#This Row],[Discount]]</f>
        <v>0</v>
      </c>
      <c r="M873" s="58">
        <f>Table3[[#This Row],[Net Sales]]-Table3[[#This Row],[Cost Price]]*Table3[[#This Row],[QTY SOLD]]</f>
        <v>0</v>
      </c>
      <c r="N873" s="25"/>
      <c r="O873" s="25"/>
      <c r="P873" s="25"/>
      <c r="Q873" s="25"/>
      <c r="R873" s="25"/>
      <c r="S873" s="25"/>
    </row>
    <row r="874" spans="1:19" x14ac:dyDescent="0.25">
      <c r="A874" s="65"/>
      <c r="B874" s="50"/>
      <c r="C874" s="50"/>
      <c r="D874" s="50"/>
      <c r="E874" s="50" t="str">
        <f>IF(D874="","",VLOOKUP(D874,'Product Master'!$B:$C,2,FALSE))</f>
        <v/>
      </c>
      <c r="F874" s="50" t="str">
        <f>IF(D874="","",IFERROR(VLOOKUP(D874,'Product Master'!$B:$G,3,FALSE),""))</f>
        <v/>
      </c>
      <c r="G874" s="51"/>
      <c r="H874" s="52" t="str">
        <f>IF(D874="","",VLOOKUP(D874,'Product Master'!$B:$F,5,FALSE))</f>
        <v/>
      </c>
      <c r="I874" s="52">
        <f>IFERROR(VLOOKUP(D874,'Product Master'!B:E,4,FALSE),0)</f>
        <v>0</v>
      </c>
      <c r="J874" s="53">
        <f>IFERROR(Table3[[#This Row],[QTY SOLD]]*Table3[[#This Row],[Selling Price]],0)</f>
        <v>0</v>
      </c>
      <c r="K874" s="50"/>
      <c r="L874" s="50">
        <f>Table3[[#This Row],[Total Sales]]-Table3[[#This Row],[Discount]]</f>
        <v>0</v>
      </c>
      <c r="M874" s="58">
        <f>Table3[[#This Row],[Net Sales]]-Table3[[#This Row],[Cost Price]]*Table3[[#This Row],[QTY SOLD]]</f>
        <v>0</v>
      </c>
      <c r="N874" s="25"/>
      <c r="O874" s="25"/>
      <c r="P874" s="25"/>
      <c r="Q874" s="25"/>
      <c r="R874" s="25"/>
      <c r="S874" s="25"/>
    </row>
    <row r="875" spans="1:19" x14ac:dyDescent="0.25">
      <c r="A875" s="65"/>
      <c r="B875" s="50"/>
      <c r="C875" s="50"/>
      <c r="D875" s="50"/>
      <c r="E875" s="50" t="str">
        <f>IF(D875="","",VLOOKUP(D875,'Product Master'!$B:$C,2,FALSE))</f>
        <v/>
      </c>
      <c r="F875" s="50" t="str">
        <f>IF(D875="","",IFERROR(VLOOKUP(D875,'Product Master'!$B:$G,3,FALSE),""))</f>
        <v/>
      </c>
      <c r="G875" s="51"/>
      <c r="H875" s="52" t="str">
        <f>IF(D875="","",VLOOKUP(D875,'Product Master'!$B:$F,5,FALSE))</f>
        <v/>
      </c>
      <c r="I875" s="52">
        <f>IFERROR(VLOOKUP(D875,'Product Master'!B:E,4,FALSE),0)</f>
        <v>0</v>
      </c>
      <c r="J875" s="53">
        <f>IFERROR(Table3[[#This Row],[QTY SOLD]]*Table3[[#This Row],[Selling Price]],0)</f>
        <v>0</v>
      </c>
      <c r="K875" s="50"/>
      <c r="L875" s="50">
        <f>Table3[[#This Row],[Total Sales]]-Table3[[#This Row],[Discount]]</f>
        <v>0</v>
      </c>
      <c r="M875" s="58">
        <f>Table3[[#This Row],[Net Sales]]-Table3[[#This Row],[Cost Price]]*Table3[[#This Row],[QTY SOLD]]</f>
        <v>0</v>
      </c>
      <c r="N875" s="25"/>
      <c r="O875" s="25"/>
      <c r="P875" s="25"/>
      <c r="Q875" s="25"/>
      <c r="R875" s="25"/>
      <c r="S875" s="25"/>
    </row>
    <row r="876" spans="1:19" x14ac:dyDescent="0.25">
      <c r="A876" s="65"/>
      <c r="B876" s="50"/>
      <c r="C876" s="50"/>
      <c r="D876" s="50"/>
      <c r="E876" s="50" t="str">
        <f>IF(D876="","",VLOOKUP(D876,'Product Master'!$B:$C,2,FALSE))</f>
        <v/>
      </c>
      <c r="F876" s="50" t="str">
        <f>IF(D876="","",IFERROR(VLOOKUP(D876,'Product Master'!$B:$G,3,FALSE),""))</f>
        <v/>
      </c>
      <c r="G876" s="51"/>
      <c r="H876" s="52" t="str">
        <f>IF(D876="","",VLOOKUP(D876,'Product Master'!$B:$F,5,FALSE))</f>
        <v/>
      </c>
      <c r="I876" s="52">
        <f>IFERROR(VLOOKUP(D876,'Product Master'!B:E,4,FALSE),0)</f>
        <v>0</v>
      </c>
      <c r="J876" s="53">
        <f>IFERROR(Table3[[#This Row],[QTY SOLD]]*Table3[[#This Row],[Selling Price]],0)</f>
        <v>0</v>
      </c>
      <c r="K876" s="50"/>
      <c r="L876" s="50">
        <f>Table3[[#This Row],[Total Sales]]-Table3[[#This Row],[Discount]]</f>
        <v>0</v>
      </c>
      <c r="M876" s="58">
        <f>Table3[[#This Row],[Net Sales]]-Table3[[#This Row],[Cost Price]]*Table3[[#This Row],[QTY SOLD]]</f>
        <v>0</v>
      </c>
      <c r="N876" s="25"/>
      <c r="O876" s="25"/>
      <c r="P876" s="25"/>
      <c r="Q876" s="25"/>
      <c r="R876" s="25"/>
      <c r="S876" s="25"/>
    </row>
    <row r="877" spans="1:19" x14ac:dyDescent="0.25">
      <c r="A877" s="65"/>
      <c r="B877" s="50"/>
      <c r="C877" s="50"/>
      <c r="D877" s="50"/>
      <c r="E877" s="50" t="str">
        <f>IF(D877="","",VLOOKUP(D877,'Product Master'!$B:$C,2,FALSE))</f>
        <v/>
      </c>
      <c r="F877" s="50" t="str">
        <f>IF(D877="","",IFERROR(VLOOKUP(D877,'Product Master'!$B:$G,3,FALSE),""))</f>
        <v/>
      </c>
      <c r="G877" s="51"/>
      <c r="H877" s="52" t="str">
        <f>IF(D877="","",VLOOKUP(D877,'Product Master'!$B:$F,5,FALSE))</f>
        <v/>
      </c>
      <c r="I877" s="52">
        <f>IFERROR(VLOOKUP(D877,'Product Master'!B:E,4,FALSE),0)</f>
        <v>0</v>
      </c>
      <c r="J877" s="53">
        <f>IFERROR(Table3[[#This Row],[QTY SOLD]]*Table3[[#This Row],[Selling Price]],0)</f>
        <v>0</v>
      </c>
      <c r="K877" s="50"/>
      <c r="L877" s="50">
        <f>Table3[[#This Row],[Total Sales]]-Table3[[#This Row],[Discount]]</f>
        <v>0</v>
      </c>
      <c r="M877" s="58">
        <f>Table3[[#This Row],[Net Sales]]-Table3[[#This Row],[Cost Price]]*Table3[[#This Row],[QTY SOLD]]</f>
        <v>0</v>
      </c>
      <c r="N877" s="25"/>
      <c r="O877" s="25"/>
      <c r="P877" s="25"/>
      <c r="Q877" s="25"/>
      <c r="R877" s="25"/>
      <c r="S877" s="25"/>
    </row>
    <row r="878" spans="1:19" x14ac:dyDescent="0.25">
      <c r="A878" s="65"/>
      <c r="B878" s="50"/>
      <c r="C878" s="50"/>
      <c r="D878" s="50"/>
      <c r="E878" s="50" t="str">
        <f>IF(D878="","",VLOOKUP(D878,'Product Master'!$B:$C,2,FALSE))</f>
        <v/>
      </c>
      <c r="F878" s="50" t="str">
        <f>IF(D878="","",IFERROR(VLOOKUP(D878,'Product Master'!$B:$G,3,FALSE),""))</f>
        <v/>
      </c>
      <c r="G878" s="51"/>
      <c r="H878" s="52" t="str">
        <f>IF(D878="","",VLOOKUP(D878,'Product Master'!$B:$F,5,FALSE))</f>
        <v/>
      </c>
      <c r="I878" s="52">
        <f>IFERROR(VLOOKUP(D878,'Product Master'!B:E,4,FALSE),0)</f>
        <v>0</v>
      </c>
      <c r="J878" s="53">
        <f>IFERROR(Table3[[#This Row],[QTY SOLD]]*Table3[[#This Row],[Selling Price]],0)</f>
        <v>0</v>
      </c>
      <c r="K878" s="50"/>
      <c r="L878" s="50">
        <f>Table3[[#This Row],[Total Sales]]-Table3[[#This Row],[Discount]]</f>
        <v>0</v>
      </c>
      <c r="M878" s="58">
        <f>Table3[[#This Row],[Net Sales]]-Table3[[#This Row],[Cost Price]]*Table3[[#This Row],[QTY SOLD]]</f>
        <v>0</v>
      </c>
      <c r="N878" s="25"/>
      <c r="O878" s="25"/>
      <c r="P878" s="25"/>
      <c r="Q878" s="25"/>
      <c r="R878" s="25"/>
      <c r="S878" s="25"/>
    </row>
    <row r="879" spans="1:19" x14ac:dyDescent="0.25">
      <c r="A879" s="65"/>
      <c r="B879" s="50"/>
      <c r="C879" s="50"/>
      <c r="D879" s="50"/>
      <c r="E879" s="50" t="str">
        <f>IF(D879="","",VLOOKUP(D879,'Product Master'!$B:$C,2,FALSE))</f>
        <v/>
      </c>
      <c r="F879" s="50" t="str">
        <f>IF(D879="","",IFERROR(VLOOKUP(D879,'Product Master'!$B:$G,3,FALSE),""))</f>
        <v/>
      </c>
      <c r="G879" s="51"/>
      <c r="H879" s="52" t="str">
        <f>IF(D879="","",VLOOKUP(D879,'Product Master'!$B:$F,5,FALSE))</f>
        <v/>
      </c>
      <c r="I879" s="52">
        <f>IFERROR(VLOOKUP(D879,'Product Master'!B:E,4,FALSE),0)</f>
        <v>0</v>
      </c>
      <c r="J879" s="53">
        <f>IFERROR(Table3[[#This Row],[QTY SOLD]]*Table3[[#This Row],[Selling Price]],0)</f>
        <v>0</v>
      </c>
      <c r="K879" s="50"/>
      <c r="L879" s="50">
        <f>Table3[[#This Row],[Total Sales]]-Table3[[#This Row],[Discount]]</f>
        <v>0</v>
      </c>
      <c r="M879" s="58">
        <f>Table3[[#This Row],[Net Sales]]-Table3[[#This Row],[Cost Price]]*Table3[[#This Row],[QTY SOLD]]</f>
        <v>0</v>
      </c>
      <c r="N879" s="25"/>
      <c r="O879" s="25"/>
      <c r="P879" s="25"/>
      <c r="Q879" s="25"/>
      <c r="R879" s="25"/>
      <c r="S879" s="25"/>
    </row>
    <row r="880" spans="1:19" x14ac:dyDescent="0.25">
      <c r="A880" s="65"/>
      <c r="B880" s="50"/>
      <c r="C880" s="50"/>
      <c r="D880" s="50"/>
      <c r="E880" s="50" t="str">
        <f>IF(D880="","",VLOOKUP(D880,'Product Master'!$B:$C,2,FALSE))</f>
        <v/>
      </c>
      <c r="F880" s="50" t="str">
        <f>IF(D880="","",IFERROR(VLOOKUP(D880,'Product Master'!$B:$G,3,FALSE),""))</f>
        <v/>
      </c>
      <c r="G880" s="51"/>
      <c r="H880" s="52" t="str">
        <f>IF(D880="","",VLOOKUP(D880,'Product Master'!$B:$F,5,FALSE))</f>
        <v/>
      </c>
      <c r="I880" s="52">
        <f>IFERROR(VLOOKUP(D880,'Product Master'!B:E,4,FALSE),0)</f>
        <v>0</v>
      </c>
      <c r="J880" s="53">
        <f>IFERROR(Table3[[#This Row],[QTY SOLD]]*Table3[[#This Row],[Selling Price]],0)</f>
        <v>0</v>
      </c>
      <c r="K880" s="50"/>
      <c r="L880" s="50">
        <f>Table3[[#This Row],[Total Sales]]-Table3[[#This Row],[Discount]]</f>
        <v>0</v>
      </c>
      <c r="M880" s="58">
        <f>Table3[[#This Row],[Net Sales]]-Table3[[#This Row],[Cost Price]]*Table3[[#This Row],[QTY SOLD]]</f>
        <v>0</v>
      </c>
      <c r="N880" s="25"/>
      <c r="O880" s="25"/>
      <c r="P880" s="25"/>
      <c r="Q880" s="25"/>
      <c r="R880" s="25"/>
      <c r="S880" s="25"/>
    </row>
    <row r="881" spans="1:19" x14ac:dyDescent="0.25">
      <c r="A881" s="65"/>
      <c r="B881" s="50"/>
      <c r="C881" s="50"/>
      <c r="D881" s="50"/>
      <c r="E881" s="50" t="str">
        <f>IF(D881="","",VLOOKUP(D881,'Product Master'!$B:$C,2,FALSE))</f>
        <v/>
      </c>
      <c r="F881" s="50" t="str">
        <f>IF(D881="","",IFERROR(VLOOKUP(D881,'Product Master'!$B:$G,3,FALSE),""))</f>
        <v/>
      </c>
      <c r="G881" s="51"/>
      <c r="H881" s="52" t="str">
        <f>IF(D881="","",VLOOKUP(D881,'Product Master'!$B:$F,5,FALSE))</f>
        <v/>
      </c>
      <c r="I881" s="52">
        <f>IFERROR(VLOOKUP(D881,'Product Master'!B:E,4,FALSE),0)</f>
        <v>0</v>
      </c>
      <c r="J881" s="53">
        <f>IFERROR(Table3[[#This Row],[QTY SOLD]]*Table3[[#This Row],[Selling Price]],0)</f>
        <v>0</v>
      </c>
      <c r="K881" s="50"/>
      <c r="L881" s="50">
        <f>Table3[[#This Row],[Total Sales]]-Table3[[#This Row],[Discount]]</f>
        <v>0</v>
      </c>
      <c r="M881" s="58">
        <f>Table3[[#This Row],[Net Sales]]-Table3[[#This Row],[Cost Price]]*Table3[[#This Row],[QTY SOLD]]</f>
        <v>0</v>
      </c>
      <c r="N881" s="25"/>
      <c r="O881" s="25"/>
      <c r="P881" s="25"/>
      <c r="Q881" s="25"/>
      <c r="R881" s="25"/>
      <c r="S881" s="25"/>
    </row>
    <row r="882" spans="1:19" x14ac:dyDescent="0.25">
      <c r="A882" s="65"/>
      <c r="B882" s="50"/>
      <c r="C882" s="50"/>
      <c r="D882" s="50"/>
      <c r="E882" s="50" t="str">
        <f>IF(D882="","",VLOOKUP(D882,'Product Master'!$B:$C,2,FALSE))</f>
        <v/>
      </c>
      <c r="F882" s="50" t="str">
        <f>IF(D882="","",IFERROR(VLOOKUP(D882,'Product Master'!$B:$G,3,FALSE),""))</f>
        <v/>
      </c>
      <c r="G882" s="51"/>
      <c r="H882" s="52" t="str">
        <f>IF(D882="","",VLOOKUP(D882,'Product Master'!$B:$F,5,FALSE))</f>
        <v/>
      </c>
      <c r="I882" s="52">
        <f>IFERROR(VLOOKUP(D882,'Product Master'!B:E,4,FALSE),0)</f>
        <v>0</v>
      </c>
      <c r="J882" s="53">
        <f>IFERROR(Table3[[#This Row],[QTY SOLD]]*Table3[[#This Row],[Selling Price]],0)</f>
        <v>0</v>
      </c>
      <c r="K882" s="50"/>
      <c r="L882" s="50">
        <f>Table3[[#This Row],[Total Sales]]-Table3[[#This Row],[Discount]]</f>
        <v>0</v>
      </c>
      <c r="M882" s="58">
        <f>Table3[[#This Row],[Net Sales]]-Table3[[#This Row],[Cost Price]]*Table3[[#This Row],[QTY SOLD]]</f>
        <v>0</v>
      </c>
      <c r="N882" s="25"/>
      <c r="O882" s="25"/>
      <c r="P882" s="25"/>
      <c r="Q882" s="25"/>
      <c r="R882" s="25"/>
      <c r="S882" s="25"/>
    </row>
    <row r="883" spans="1:19" x14ac:dyDescent="0.25">
      <c r="A883" s="65"/>
      <c r="B883" s="50"/>
      <c r="C883" s="50"/>
      <c r="D883" s="50"/>
      <c r="E883" s="50" t="str">
        <f>IF(D883="","",VLOOKUP(D883,'Product Master'!$B:$C,2,FALSE))</f>
        <v/>
      </c>
      <c r="F883" s="50" t="str">
        <f>IF(D883="","",IFERROR(VLOOKUP(D883,'Product Master'!$B:$G,3,FALSE),""))</f>
        <v/>
      </c>
      <c r="G883" s="51"/>
      <c r="H883" s="52" t="str">
        <f>IF(D883="","",VLOOKUP(D883,'Product Master'!$B:$F,5,FALSE))</f>
        <v/>
      </c>
      <c r="I883" s="52">
        <f>IFERROR(VLOOKUP(D883,'Product Master'!B:E,4,FALSE),0)</f>
        <v>0</v>
      </c>
      <c r="J883" s="53">
        <f>IFERROR(Table3[[#This Row],[QTY SOLD]]*Table3[[#This Row],[Selling Price]],0)</f>
        <v>0</v>
      </c>
      <c r="K883" s="50"/>
      <c r="L883" s="50">
        <f>Table3[[#This Row],[Total Sales]]-Table3[[#This Row],[Discount]]</f>
        <v>0</v>
      </c>
      <c r="M883" s="58">
        <f>Table3[[#This Row],[Net Sales]]-Table3[[#This Row],[Cost Price]]*Table3[[#This Row],[QTY SOLD]]</f>
        <v>0</v>
      </c>
      <c r="N883" s="25"/>
      <c r="O883" s="25"/>
      <c r="P883" s="25"/>
      <c r="Q883" s="25"/>
      <c r="R883" s="25"/>
      <c r="S883" s="25"/>
    </row>
    <row r="884" spans="1:19" x14ac:dyDescent="0.25">
      <c r="A884" s="65"/>
      <c r="B884" s="50"/>
      <c r="C884" s="50"/>
      <c r="D884" s="50"/>
      <c r="E884" s="50" t="str">
        <f>IF(D884="","",VLOOKUP(D884,'Product Master'!$B:$C,2,FALSE))</f>
        <v/>
      </c>
      <c r="F884" s="50" t="str">
        <f>IF(D884="","",IFERROR(VLOOKUP(D884,'Product Master'!$B:$G,3,FALSE),""))</f>
        <v/>
      </c>
      <c r="G884" s="51"/>
      <c r="H884" s="52" t="str">
        <f>IF(D884="","",VLOOKUP(D884,'Product Master'!$B:$F,5,FALSE))</f>
        <v/>
      </c>
      <c r="I884" s="52">
        <f>IFERROR(VLOOKUP(D884,'Product Master'!B:E,4,FALSE),0)</f>
        <v>0</v>
      </c>
      <c r="J884" s="53">
        <f>IFERROR(Table3[[#This Row],[QTY SOLD]]*Table3[[#This Row],[Selling Price]],0)</f>
        <v>0</v>
      </c>
      <c r="K884" s="50"/>
      <c r="L884" s="50">
        <f>Table3[[#This Row],[Total Sales]]-Table3[[#This Row],[Discount]]</f>
        <v>0</v>
      </c>
      <c r="M884" s="58">
        <f>Table3[[#This Row],[Net Sales]]-Table3[[#This Row],[Cost Price]]*Table3[[#This Row],[QTY SOLD]]</f>
        <v>0</v>
      </c>
      <c r="N884" s="25"/>
      <c r="O884" s="25"/>
      <c r="P884" s="25"/>
      <c r="Q884" s="25"/>
      <c r="R884" s="25"/>
      <c r="S884" s="25"/>
    </row>
    <row r="885" spans="1:19" x14ac:dyDescent="0.25">
      <c r="A885" s="65"/>
      <c r="B885" s="50"/>
      <c r="C885" s="50"/>
      <c r="D885" s="50"/>
      <c r="E885" s="50" t="str">
        <f>IF(D885="","",VLOOKUP(D885,'Product Master'!$B:$C,2,FALSE))</f>
        <v/>
      </c>
      <c r="F885" s="50" t="str">
        <f>IF(D885="","",IFERROR(VLOOKUP(D885,'Product Master'!$B:$G,3,FALSE),""))</f>
        <v/>
      </c>
      <c r="G885" s="51"/>
      <c r="H885" s="52" t="str">
        <f>IF(D885="","",VLOOKUP(D885,'Product Master'!$B:$F,5,FALSE))</f>
        <v/>
      </c>
      <c r="I885" s="52">
        <f>IFERROR(VLOOKUP(D885,'Product Master'!B:E,4,FALSE),0)</f>
        <v>0</v>
      </c>
      <c r="J885" s="53">
        <f>IFERROR(Table3[[#This Row],[QTY SOLD]]*Table3[[#This Row],[Selling Price]],0)</f>
        <v>0</v>
      </c>
      <c r="K885" s="50"/>
      <c r="L885" s="50">
        <f>Table3[[#This Row],[Total Sales]]-Table3[[#This Row],[Discount]]</f>
        <v>0</v>
      </c>
      <c r="M885" s="58">
        <f>Table3[[#This Row],[Net Sales]]-Table3[[#This Row],[Cost Price]]*Table3[[#This Row],[QTY SOLD]]</f>
        <v>0</v>
      </c>
      <c r="N885" s="25"/>
      <c r="O885" s="25"/>
      <c r="P885" s="25"/>
      <c r="Q885" s="25"/>
      <c r="R885" s="25"/>
      <c r="S885" s="25"/>
    </row>
    <row r="886" spans="1:19" x14ac:dyDescent="0.25">
      <c r="A886" s="65"/>
      <c r="B886" s="50"/>
      <c r="C886" s="50"/>
      <c r="D886" s="50"/>
      <c r="E886" s="50" t="str">
        <f>IF(D886="","",VLOOKUP(D886,'Product Master'!$B:$C,2,FALSE))</f>
        <v/>
      </c>
      <c r="F886" s="50" t="str">
        <f>IF(D886="","",IFERROR(VLOOKUP(D886,'Product Master'!$B:$G,3,FALSE),""))</f>
        <v/>
      </c>
      <c r="G886" s="51"/>
      <c r="H886" s="52" t="str">
        <f>IF(D886="","",VLOOKUP(D886,'Product Master'!$B:$F,5,FALSE))</f>
        <v/>
      </c>
      <c r="I886" s="52">
        <f>IFERROR(VLOOKUP(D886,'Product Master'!B:E,4,FALSE),0)</f>
        <v>0</v>
      </c>
      <c r="J886" s="53">
        <f>IFERROR(Table3[[#This Row],[QTY SOLD]]*Table3[[#This Row],[Selling Price]],0)</f>
        <v>0</v>
      </c>
      <c r="K886" s="50"/>
      <c r="L886" s="50">
        <f>Table3[[#This Row],[Total Sales]]-Table3[[#This Row],[Discount]]</f>
        <v>0</v>
      </c>
      <c r="M886" s="58">
        <f>Table3[[#This Row],[Net Sales]]-Table3[[#This Row],[Cost Price]]*Table3[[#This Row],[QTY SOLD]]</f>
        <v>0</v>
      </c>
      <c r="N886" s="25"/>
      <c r="O886" s="25"/>
      <c r="P886" s="25"/>
      <c r="Q886" s="25"/>
      <c r="R886" s="25"/>
      <c r="S886" s="25"/>
    </row>
    <row r="887" spans="1:19" x14ac:dyDescent="0.25">
      <c r="A887" s="65"/>
      <c r="B887" s="50"/>
      <c r="C887" s="50"/>
      <c r="D887" s="50"/>
      <c r="E887" s="50" t="str">
        <f>IF(D887="","",VLOOKUP(D887,'Product Master'!$B:$C,2,FALSE))</f>
        <v/>
      </c>
      <c r="F887" s="50" t="str">
        <f>IF(D887="","",IFERROR(VLOOKUP(D887,'Product Master'!$B:$G,3,FALSE),""))</f>
        <v/>
      </c>
      <c r="G887" s="51"/>
      <c r="H887" s="52" t="str">
        <f>IF(D887="","",VLOOKUP(D887,'Product Master'!$B:$F,5,FALSE))</f>
        <v/>
      </c>
      <c r="I887" s="52">
        <f>IFERROR(VLOOKUP(D887,'Product Master'!B:E,4,FALSE),0)</f>
        <v>0</v>
      </c>
      <c r="J887" s="53">
        <f>IFERROR(Table3[[#This Row],[QTY SOLD]]*Table3[[#This Row],[Selling Price]],0)</f>
        <v>0</v>
      </c>
      <c r="K887" s="50"/>
      <c r="L887" s="50">
        <f>Table3[[#This Row],[Total Sales]]-Table3[[#This Row],[Discount]]</f>
        <v>0</v>
      </c>
      <c r="M887" s="58">
        <f>Table3[[#This Row],[Net Sales]]-Table3[[#This Row],[Cost Price]]*Table3[[#This Row],[QTY SOLD]]</f>
        <v>0</v>
      </c>
      <c r="N887" s="25"/>
      <c r="O887" s="25"/>
      <c r="P887" s="25"/>
      <c r="Q887" s="25"/>
      <c r="R887" s="25"/>
      <c r="S887" s="25"/>
    </row>
    <row r="888" spans="1:19" x14ac:dyDescent="0.25">
      <c r="A888" s="65"/>
      <c r="B888" s="50"/>
      <c r="C888" s="50"/>
      <c r="D888" s="50"/>
      <c r="E888" s="50" t="str">
        <f>IF(D888="","",VLOOKUP(D888,'Product Master'!$B:$C,2,FALSE))</f>
        <v/>
      </c>
      <c r="F888" s="50" t="str">
        <f>IF(D888="","",IFERROR(VLOOKUP(D888,'Product Master'!$B:$G,3,FALSE),""))</f>
        <v/>
      </c>
      <c r="G888" s="51"/>
      <c r="H888" s="52" t="str">
        <f>IF(D888="","",VLOOKUP(D888,'Product Master'!$B:$F,5,FALSE))</f>
        <v/>
      </c>
      <c r="I888" s="52">
        <f>IFERROR(VLOOKUP(D888,'Product Master'!B:E,4,FALSE),0)</f>
        <v>0</v>
      </c>
      <c r="J888" s="53">
        <f>IFERROR(Table3[[#This Row],[QTY SOLD]]*Table3[[#This Row],[Selling Price]],0)</f>
        <v>0</v>
      </c>
      <c r="K888" s="50"/>
      <c r="L888" s="50">
        <f>Table3[[#This Row],[Total Sales]]-Table3[[#This Row],[Discount]]</f>
        <v>0</v>
      </c>
      <c r="M888" s="58">
        <f>Table3[[#This Row],[Net Sales]]-Table3[[#This Row],[Cost Price]]*Table3[[#This Row],[QTY SOLD]]</f>
        <v>0</v>
      </c>
      <c r="N888" s="25"/>
      <c r="O888" s="25"/>
      <c r="P888" s="25"/>
      <c r="Q888" s="25"/>
      <c r="R888" s="25"/>
      <c r="S888" s="25"/>
    </row>
    <row r="889" spans="1:19" x14ac:dyDescent="0.25">
      <c r="A889" s="65"/>
      <c r="B889" s="50"/>
      <c r="C889" s="50"/>
      <c r="D889" s="50"/>
      <c r="E889" s="50" t="str">
        <f>IF(D889="","",VLOOKUP(D889,'Product Master'!$B:$C,2,FALSE))</f>
        <v/>
      </c>
      <c r="F889" s="50" t="str">
        <f>IF(D889="","",IFERROR(VLOOKUP(D889,'Product Master'!$B:$G,3,FALSE),""))</f>
        <v/>
      </c>
      <c r="G889" s="51"/>
      <c r="H889" s="52" t="str">
        <f>IF(D889="","",VLOOKUP(D889,'Product Master'!$B:$F,5,FALSE))</f>
        <v/>
      </c>
      <c r="I889" s="52">
        <f>IFERROR(VLOOKUP(D889,'Product Master'!B:E,4,FALSE),0)</f>
        <v>0</v>
      </c>
      <c r="J889" s="53">
        <f>IFERROR(Table3[[#This Row],[QTY SOLD]]*Table3[[#This Row],[Selling Price]],0)</f>
        <v>0</v>
      </c>
      <c r="K889" s="50"/>
      <c r="L889" s="50">
        <f>Table3[[#This Row],[Total Sales]]-Table3[[#This Row],[Discount]]</f>
        <v>0</v>
      </c>
      <c r="M889" s="58">
        <f>Table3[[#This Row],[Net Sales]]-Table3[[#This Row],[Cost Price]]*Table3[[#This Row],[QTY SOLD]]</f>
        <v>0</v>
      </c>
      <c r="N889" s="25"/>
      <c r="O889" s="25"/>
      <c r="P889" s="25"/>
      <c r="Q889" s="25"/>
      <c r="R889" s="25"/>
      <c r="S889" s="25"/>
    </row>
    <row r="890" spans="1:19" x14ac:dyDescent="0.25">
      <c r="A890" s="65"/>
      <c r="B890" s="50"/>
      <c r="C890" s="50"/>
      <c r="D890" s="50"/>
      <c r="E890" s="50" t="str">
        <f>IF(D890="","",VLOOKUP(D890,'Product Master'!$B:$C,2,FALSE))</f>
        <v/>
      </c>
      <c r="F890" s="50" t="str">
        <f>IF(D890="","",IFERROR(VLOOKUP(D890,'Product Master'!$B:$G,3,FALSE),""))</f>
        <v/>
      </c>
      <c r="G890" s="51"/>
      <c r="H890" s="52" t="str">
        <f>IF(D890="","",VLOOKUP(D890,'Product Master'!$B:$F,5,FALSE))</f>
        <v/>
      </c>
      <c r="I890" s="52">
        <f>IFERROR(VLOOKUP(D890,'Product Master'!B:E,4,FALSE),0)</f>
        <v>0</v>
      </c>
      <c r="J890" s="53">
        <f>IFERROR(Table3[[#This Row],[QTY SOLD]]*Table3[[#This Row],[Selling Price]],0)</f>
        <v>0</v>
      </c>
      <c r="K890" s="50"/>
      <c r="L890" s="50">
        <f>Table3[[#This Row],[Total Sales]]-Table3[[#This Row],[Discount]]</f>
        <v>0</v>
      </c>
      <c r="M890" s="58">
        <f>Table3[[#This Row],[Net Sales]]-Table3[[#This Row],[Cost Price]]*Table3[[#This Row],[QTY SOLD]]</f>
        <v>0</v>
      </c>
      <c r="N890" s="25"/>
      <c r="O890" s="25"/>
      <c r="P890" s="25"/>
      <c r="Q890" s="25"/>
      <c r="R890" s="25"/>
      <c r="S890" s="25"/>
    </row>
    <row r="891" spans="1:19" x14ac:dyDescent="0.25">
      <c r="A891" s="65"/>
      <c r="B891" s="50"/>
      <c r="C891" s="50"/>
      <c r="D891" s="50"/>
      <c r="E891" s="50" t="str">
        <f>IF(D891="","",VLOOKUP(D891,'Product Master'!$B:$C,2,FALSE))</f>
        <v/>
      </c>
      <c r="F891" s="50" t="str">
        <f>IF(D891="","",IFERROR(VLOOKUP(D891,'Product Master'!$B:$G,3,FALSE),""))</f>
        <v/>
      </c>
      <c r="G891" s="51"/>
      <c r="H891" s="52" t="str">
        <f>IF(D891="","",VLOOKUP(D891,'Product Master'!$B:$F,5,FALSE))</f>
        <v/>
      </c>
      <c r="I891" s="52">
        <f>IFERROR(VLOOKUP(D891,'Product Master'!B:E,4,FALSE),0)</f>
        <v>0</v>
      </c>
      <c r="J891" s="53">
        <f>IFERROR(Table3[[#This Row],[QTY SOLD]]*Table3[[#This Row],[Selling Price]],0)</f>
        <v>0</v>
      </c>
      <c r="K891" s="50"/>
      <c r="L891" s="50">
        <f>Table3[[#This Row],[Total Sales]]-Table3[[#This Row],[Discount]]</f>
        <v>0</v>
      </c>
      <c r="M891" s="58">
        <f>Table3[[#This Row],[Net Sales]]-Table3[[#This Row],[Cost Price]]*Table3[[#This Row],[QTY SOLD]]</f>
        <v>0</v>
      </c>
      <c r="N891" s="25"/>
      <c r="O891" s="25"/>
      <c r="P891" s="25"/>
      <c r="Q891" s="25"/>
      <c r="R891" s="25"/>
      <c r="S891" s="25"/>
    </row>
    <row r="892" spans="1:19" x14ac:dyDescent="0.25">
      <c r="A892" s="65"/>
      <c r="B892" s="50"/>
      <c r="C892" s="50"/>
      <c r="D892" s="50"/>
      <c r="E892" s="50" t="str">
        <f>IF(D892="","",VLOOKUP(D892,'Product Master'!$B:$C,2,FALSE))</f>
        <v/>
      </c>
      <c r="F892" s="50" t="str">
        <f>IF(D892="","",IFERROR(VLOOKUP(D892,'Product Master'!$B:$G,3,FALSE),""))</f>
        <v/>
      </c>
      <c r="G892" s="51"/>
      <c r="H892" s="52" t="str">
        <f>IF(D892="","",VLOOKUP(D892,'Product Master'!$B:$F,5,FALSE))</f>
        <v/>
      </c>
      <c r="I892" s="52">
        <f>IFERROR(VLOOKUP(D892,'Product Master'!B:E,4,FALSE),0)</f>
        <v>0</v>
      </c>
      <c r="J892" s="53">
        <f>IFERROR(Table3[[#This Row],[QTY SOLD]]*Table3[[#This Row],[Selling Price]],0)</f>
        <v>0</v>
      </c>
      <c r="K892" s="50"/>
      <c r="L892" s="50">
        <f>Table3[[#This Row],[Total Sales]]-Table3[[#This Row],[Discount]]</f>
        <v>0</v>
      </c>
      <c r="M892" s="58">
        <f>Table3[[#This Row],[Net Sales]]-Table3[[#This Row],[Cost Price]]*Table3[[#This Row],[QTY SOLD]]</f>
        <v>0</v>
      </c>
      <c r="N892" s="25"/>
      <c r="O892" s="25"/>
      <c r="P892" s="25"/>
      <c r="Q892" s="25"/>
      <c r="R892" s="25"/>
      <c r="S892" s="25"/>
    </row>
    <row r="893" spans="1:19" x14ac:dyDescent="0.25">
      <c r="A893" s="65"/>
      <c r="B893" s="50"/>
      <c r="C893" s="50"/>
      <c r="D893" s="50"/>
      <c r="E893" s="50" t="str">
        <f>IF(D893="","",VLOOKUP(D893,'Product Master'!$B:$C,2,FALSE))</f>
        <v/>
      </c>
      <c r="F893" s="50" t="str">
        <f>IF(D893="","",IFERROR(VLOOKUP(D893,'Product Master'!$B:$G,3,FALSE),""))</f>
        <v/>
      </c>
      <c r="G893" s="51"/>
      <c r="H893" s="52" t="str">
        <f>IF(D893="","",VLOOKUP(D893,'Product Master'!$B:$F,5,FALSE))</f>
        <v/>
      </c>
      <c r="I893" s="52">
        <f>IFERROR(VLOOKUP(D893,'Product Master'!B:E,4,FALSE),0)</f>
        <v>0</v>
      </c>
      <c r="J893" s="53">
        <f>IFERROR(Table3[[#This Row],[QTY SOLD]]*Table3[[#This Row],[Selling Price]],0)</f>
        <v>0</v>
      </c>
      <c r="K893" s="50"/>
      <c r="L893" s="50">
        <f>Table3[[#This Row],[Total Sales]]-Table3[[#This Row],[Discount]]</f>
        <v>0</v>
      </c>
      <c r="M893" s="58">
        <f>Table3[[#This Row],[Net Sales]]-Table3[[#This Row],[Cost Price]]*Table3[[#This Row],[QTY SOLD]]</f>
        <v>0</v>
      </c>
      <c r="N893" s="25"/>
      <c r="O893" s="25"/>
      <c r="P893" s="25"/>
      <c r="Q893" s="25"/>
      <c r="R893" s="25"/>
      <c r="S893" s="25"/>
    </row>
    <row r="894" spans="1:19" x14ac:dyDescent="0.25">
      <c r="A894" s="65"/>
      <c r="B894" s="50"/>
      <c r="C894" s="50"/>
      <c r="D894" s="50"/>
      <c r="E894" s="50" t="str">
        <f>IF(D894="","",VLOOKUP(D894,'Product Master'!$B:$C,2,FALSE))</f>
        <v/>
      </c>
      <c r="F894" s="50" t="str">
        <f>IF(D894="","",IFERROR(VLOOKUP(D894,'Product Master'!$B:$G,3,FALSE),""))</f>
        <v/>
      </c>
      <c r="G894" s="51"/>
      <c r="H894" s="52" t="str">
        <f>IF(D894="","",VLOOKUP(D894,'Product Master'!$B:$F,5,FALSE))</f>
        <v/>
      </c>
      <c r="I894" s="52">
        <f>IFERROR(VLOOKUP(D894,'Product Master'!B:E,4,FALSE),0)</f>
        <v>0</v>
      </c>
      <c r="J894" s="53">
        <f>IFERROR(Table3[[#This Row],[QTY SOLD]]*Table3[[#This Row],[Selling Price]],0)</f>
        <v>0</v>
      </c>
      <c r="K894" s="50"/>
      <c r="L894" s="50">
        <f>Table3[[#This Row],[Total Sales]]-Table3[[#This Row],[Discount]]</f>
        <v>0</v>
      </c>
      <c r="M894" s="58">
        <f>Table3[[#This Row],[Net Sales]]-Table3[[#This Row],[Cost Price]]*Table3[[#This Row],[QTY SOLD]]</f>
        <v>0</v>
      </c>
      <c r="N894" s="25"/>
      <c r="O894" s="25"/>
      <c r="P894" s="25"/>
      <c r="Q894" s="25"/>
      <c r="R894" s="25"/>
      <c r="S894" s="25"/>
    </row>
    <row r="895" spans="1:19" x14ac:dyDescent="0.25">
      <c r="A895" s="65"/>
      <c r="B895" s="50"/>
      <c r="C895" s="50"/>
      <c r="D895" s="50"/>
      <c r="E895" s="50" t="str">
        <f>IF(D895="","",VLOOKUP(D895,'Product Master'!$B:$C,2,FALSE))</f>
        <v/>
      </c>
      <c r="F895" s="50" t="str">
        <f>IF(D895="","",IFERROR(VLOOKUP(D895,'Product Master'!$B:$G,3,FALSE),""))</f>
        <v/>
      </c>
      <c r="G895" s="51"/>
      <c r="H895" s="52" t="str">
        <f>IF(D895="","",VLOOKUP(D895,'Product Master'!$B:$F,5,FALSE))</f>
        <v/>
      </c>
      <c r="I895" s="52">
        <f>IFERROR(VLOOKUP(D895,'Product Master'!B:E,4,FALSE),0)</f>
        <v>0</v>
      </c>
      <c r="J895" s="53">
        <f>IFERROR(Table3[[#This Row],[QTY SOLD]]*Table3[[#This Row],[Selling Price]],0)</f>
        <v>0</v>
      </c>
      <c r="K895" s="50"/>
      <c r="L895" s="50">
        <f>Table3[[#This Row],[Total Sales]]-Table3[[#This Row],[Discount]]</f>
        <v>0</v>
      </c>
      <c r="M895" s="58">
        <f>Table3[[#This Row],[Net Sales]]-Table3[[#This Row],[Cost Price]]*Table3[[#This Row],[QTY SOLD]]</f>
        <v>0</v>
      </c>
      <c r="N895" s="25"/>
      <c r="O895" s="25"/>
      <c r="P895" s="25"/>
      <c r="Q895" s="25"/>
      <c r="R895" s="25"/>
      <c r="S895" s="25"/>
    </row>
    <row r="896" spans="1:19" x14ac:dyDescent="0.25">
      <c r="A896" s="65"/>
      <c r="B896" s="50"/>
      <c r="C896" s="50"/>
      <c r="D896" s="50"/>
      <c r="E896" s="50" t="str">
        <f>IF(D896="","",VLOOKUP(D896,'Product Master'!$B:$C,2,FALSE))</f>
        <v/>
      </c>
      <c r="F896" s="50" t="str">
        <f>IF(D896="","",IFERROR(VLOOKUP(D896,'Product Master'!$B:$G,3,FALSE),""))</f>
        <v/>
      </c>
      <c r="G896" s="51"/>
      <c r="H896" s="52" t="str">
        <f>IF(D896="","",VLOOKUP(D896,'Product Master'!$B:$F,5,FALSE))</f>
        <v/>
      </c>
      <c r="I896" s="52">
        <f>IFERROR(VLOOKUP(D896,'Product Master'!B:E,4,FALSE),0)</f>
        <v>0</v>
      </c>
      <c r="J896" s="53">
        <f>IFERROR(Table3[[#This Row],[QTY SOLD]]*Table3[[#This Row],[Selling Price]],0)</f>
        <v>0</v>
      </c>
      <c r="K896" s="50"/>
      <c r="L896" s="50">
        <f>Table3[[#This Row],[Total Sales]]-Table3[[#This Row],[Discount]]</f>
        <v>0</v>
      </c>
      <c r="M896" s="58">
        <f>Table3[[#This Row],[Net Sales]]-Table3[[#This Row],[Cost Price]]*Table3[[#This Row],[QTY SOLD]]</f>
        <v>0</v>
      </c>
      <c r="N896" s="25"/>
      <c r="O896" s="25"/>
      <c r="P896" s="25"/>
      <c r="Q896" s="25"/>
      <c r="R896" s="25"/>
      <c r="S896" s="25"/>
    </row>
    <row r="897" spans="1:19" x14ac:dyDescent="0.25">
      <c r="A897" s="65"/>
      <c r="B897" s="50"/>
      <c r="C897" s="50"/>
      <c r="D897" s="50"/>
      <c r="E897" s="50" t="str">
        <f>IF(D897="","",VLOOKUP(D897,'Product Master'!$B:$C,2,FALSE))</f>
        <v/>
      </c>
      <c r="F897" s="50" t="str">
        <f>IF(D897="","",IFERROR(VLOOKUP(D897,'Product Master'!$B:$G,3,FALSE),""))</f>
        <v/>
      </c>
      <c r="G897" s="51"/>
      <c r="H897" s="52" t="str">
        <f>IF(D897="","",VLOOKUP(D897,'Product Master'!$B:$F,5,FALSE))</f>
        <v/>
      </c>
      <c r="I897" s="52">
        <f>IFERROR(VLOOKUP(D897,'Product Master'!B:E,4,FALSE),0)</f>
        <v>0</v>
      </c>
      <c r="J897" s="53">
        <f>IFERROR(Table3[[#This Row],[QTY SOLD]]*Table3[[#This Row],[Selling Price]],0)</f>
        <v>0</v>
      </c>
      <c r="K897" s="50"/>
      <c r="L897" s="50">
        <f>Table3[[#This Row],[Total Sales]]-Table3[[#This Row],[Discount]]</f>
        <v>0</v>
      </c>
      <c r="M897" s="58">
        <f>Table3[[#This Row],[Net Sales]]-Table3[[#This Row],[Cost Price]]*Table3[[#This Row],[QTY SOLD]]</f>
        <v>0</v>
      </c>
      <c r="N897" s="25"/>
      <c r="O897" s="25"/>
      <c r="P897" s="25"/>
      <c r="Q897" s="25"/>
      <c r="R897" s="25"/>
      <c r="S897" s="25"/>
    </row>
    <row r="898" spans="1:19" x14ac:dyDescent="0.25">
      <c r="A898" s="65"/>
      <c r="B898" s="50"/>
      <c r="C898" s="50"/>
      <c r="D898" s="50"/>
      <c r="E898" s="50" t="str">
        <f>IF(D898="","",VLOOKUP(D898,'Product Master'!$B:$C,2,FALSE))</f>
        <v/>
      </c>
      <c r="F898" s="50" t="str">
        <f>IF(D898="","",IFERROR(VLOOKUP(D898,'Product Master'!$B:$G,3,FALSE),""))</f>
        <v/>
      </c>
      <c r="G898" s="51"/>
      <c r="H898" s="52" t="str">
        <f>IF(D898="","",VLOOKUP(D898,'Product Master'!$B:$F,5,FALSE))</f>
        <v/>
      </c>
      <c r="I898" s="52">
        <f>IFERROR(VLOOKUP(D898,'Product Master'!B:E,4,FALSE),0)</f>
        <v>0</v>
      </c>
      <c r="J898" s="53">
        <f>IFERROR(Table3[[#This Row],[QTY SOLD]]*Table3[[#This Row],[Selling Price]],0)</f>
        <v>0</v>
      </c>
      <c r="K898" s="50"/>
      <c r="L898" s="50">
        <f>Table3[[#This Row],[Total Sales]]-Table3[[#This Row],[Discount]]</f>
        <v>0</v>
      </c>
      <c r="M898" s="58">
        <f>Table3[[#This Row],[Net Sales]]-Table3[[#This Row],[Cost Price]]*Table3[[#This Row],[QTY SOLD]]</f>
        <v>0</v>
      </c>
      <c r="N898" s="25"/>
      <c r="O898" s="25"/>
      <c r="P898" s="25"/>
      <c r="Q898" s="25"/>
      <c r="R898" s="25"/>
      <c r="S898" s="25"/>
    </row>
    <row r="899" spans="1:19" x14ac:dyDescent="0.25">
      <c r="A899" s="65"/>
      <c r="B899" s="50"/>
      <c r="C899" s="50"/>
      <c r="D899" s="50"/>
      <c r="E899" s="50" t="str">
        <f>IF(D899="","",VLOOKUP(D899,'Product Master'!$B:$C,2,FALSE))</f>
        <v/>
      </c>
      <c r="F899" s="50" t="str">
        <f>IF(D899="","",IFERROR(VLOOKUP(D899,'Product Master'!$B:$G,3,FALSE),""))</f>
        <v/>
      </c>
      <c r="G899" s="51"/>
      <c r="H899" s="52" t="str">
        <f>IF(D899="","",VLOOKUP(D899,'Product Master'!$B:$F,5,FALSE))</f>
        <v/>
      </c>
      <c r="I899" s="52">
        <f>IFERROR(VLOOKUP(D899,'Product Master'!B:E,4,FALSE),0)</f>
        <v>0</v>
      </c>
      <c r="J899" s="53">
        <f>IFERROR(Table3[[#This Row],[QTY SOLD]]*Table3[[#This Row],[Selling Price]],0)</f>
        <v>0</v>
      </c>
      <c r="K899" s="50"/>
      <c r="L899" s="50">
        <f>Table3[[#This Row],[Total Sales]]-Table3[[#This Row],[Discount]]</f>
        <v>0</v>
      </c>
      <c r="M899" s="58">
        <f>Table3[[#This Row],[Net Sales]]-Table3[[#This Row],[Cost Price]]*Table3[[#This Row],[QTY SOLD]]</f>
        <v>0</v>
      </c>
      <c r="N899" s="25"/>
      <c r="O899" s="25"/>
      <c r="P899" s="25"/>
      <c r="Q899" s="25"/>
      <c r="R899" s="25"/>
      <c r="S899" s="25"/>
    </row>
    <row r="900" spans="1:19" x14ac:dyDescent="0.25">
      <c r="A900" s="65"/>
      <c r="B900" s="50"/>
      <c r="C900" s="50"/>
      <c r="D900" s="50"/>
      <c r="E900" s="50" t="str">
        <f>IF(D900="","",VLOOKUP(D900,'Product Master'!$B:$C,2,FALSE))</f>
        <v/>
      </c>
      <c r="F900" s="50" t="str">
        <f>IF(D900="","",IFERROR(VLOOKUP(D900,'Product Master'!$B:$G,3,FALSE),""))</f>
        <v/>
      </c>
      <c r="G900" s="51"/>
      <c r="H900" s="52" t="str">
        <f>IF(D900="","",VLOOKUP(D900,'Product Master'!$B:$F,5,FALSE))</f>
        <v/>
      </c>
      <c r="I900" s="52">
        <f>IFERROR(VLOOKUP(D900,'Product Master'!B:E,4,FALSE),0)</f>
        <v>0</v>
      </c>
      <c r="J900" s="53">
        <f>IFERROR(Table3[[#This Row],[QTY SOLD]]*Table3[[#This Row],[Selling Price]],0)</f>
        <v>0</v>
      </c>
      <c r="K900" s="50"/>
      <c r="L900" s="50">
        <f>Table3[[#This Row],[Total Sales]]-Table3[[#This Row],[Discount]]</f>
        <v>0</v>
      </c>
      <c r="M900" s="58">
        <f>Table3[[#This Row],[Net Sales]]-Table3[[#This Row],[Cost Price]]*Table3[[#This Row],[QTY SOLD]]</f>
        <v>0</v>
      </c>
      <c r="N900" s="25"/>
      <c r="O900" s="25"/>
      <c r="P900" s="25"/>
      <c r="Q900" s="25"/>
      <c r="R900" s="25"/>
      <c r="S900" s="25"/>
    </row>
    <row r="901" spans="1:19" x14ac:dyDescent="0.25">
      <c r="A901" s="65"/>
      <c r="B901" s="50"/>
      <c r="C901" s="50"/>
      <c r="D901" s="50"/>
      <c r="E901" s="50" t="str">
        <f>IF(D901="","",VLOOKUP(D901,'Product Master'!$B:$C,2,FALSE))</f>
        <v/>
      </c>
      <c r="F901" s="50" t="str">
        <f>IF(D901="","",IFERROR(VLOOKUP(D901,'Product Master'!$B:$G,3,FALSE),""))</f>
        <v/>
      </c>
      <c r="G901" s="51"/>
      <c r="H901" s="52" t="str">
        <f>IF(D901="","",VLOOKUP(D901,'Product Master'!$B:$F,5,FALSE))</f>
        <v/>
      </c>
      <c r="I901" s="52">
        <f>IFERROR(VLOOKUP(D901,'Product Master'!B:E,4,FALSE),0)</f>
        <v>0</v>
      </c>
      <c r="J901" s="53">
        <f>IFERROR(Table3[[#This Row],[QTY SOLD]]*Table3[[#This Row],[Selling Price]],0)</f>
        <v>0</v>
      </c>
      <c r="K901" s="50"/>
      <c r="L901" s="50">
        <f>Table3[[#This Row],[Total Sales]]-Table3[[#This Row],[Discount]]</f>
        <v>0</v>
      </c>
      <c r="M901" s="58">
        <f>Table3[[#This Row],[Net Sales]]-Table3[[#This Row],[Cost Price]]*Table3[[#This Row],[QTY SOLD]]</f>
        <v>0</v>
      </c>
      <c r="N901" s="25"/>
      <c r="O901" s="25"/>
      <c r="P901" s="25"/>
      <c r="Q901" s="25"/>
      <c r="R901" s="25"/>
      <c r="S901" s="25"/>
    </row>
    <row r="902" spans="1:19" x14ac:dyDescent="0.25">
      <c r="A902" s="65"/>
      <c r="B902" s="50"/>
      <c r="C902" s="50"/>
      <c r="D902" s="50"/>
      <c r="E902" s="50" t="str">
        <f>IF(D902="","",VLOOKUP(D902,'Product Master'!$B:$C,2,FALSE))</f>
        <v/>
      </c>
      <c r="F902" s="50" t="str">
        <f>IF(D902="","",IFERROR(VLOOKUP(D902,'Product Master'!$B:$G,3,FALSE),""))</f>
        <v/>
      </c>
      <c r="G902" s="51"/>
      <c r="H902" s="52" t="str">
        <f>IF(D902="","",VLOOKUP(D902,'Product Master'!$B:$F,5,FALSE))</f>
        <v/>
      </c>
      <c r="I902" s="52">
        <f>IFERROR(VLOOKUP(D902,'Product Master'!B:E,4,FALSE),0)</f>
        <v>0</v>
      </c>
      <c r="J902" s="53">
        <f>IFERROR(Table3[[#This Row],[QTY SOLD]]*Table3[[#This Row],[Selling Price]],0)</f>
        <v>0</v>
      </c>
      <c r="K902" s="50"/>
      <c r="L902" s="50">
        <f>Table3[[#This Row],[Total Sales]]-Table3[[#This Row],[Discount]]</f>
        <v>0</v>
      </c>
      <c r="M902" s="58">
        <f>Table3[[#This Row],[Net Sales]]-Table3[[#This Row],[Cost Price]]*Table3[[#This Row],[QTY SOLD]]</f>
        <v>0</v>
      </c>
      <c r="N902" s="25"/>
      <c r="O902" s="25"/>
      <c r="P902" s="25"/>
      <c r="Q902" s="25"/>
      <c r="R902" s="25"/>
      <c r="S902" s="25"/>
    </row>
    <row r="903" spans="1:19" x14ac:dyDescent="0.25">
      <c r="A903" s="65"/>
      <c r="B903" s="50"/>
      <c r="C903" s="50"/>
      <c r="D903" s="50"/>
      <c r="E903" s="50" t="str">
        <f>IF(D903="","",VLOOKUP(D903,'Product Master'!$B:$C,2,FALSE))</f>
        <v/>
      </c>
      <c r="F903" s="50" t="str">
        <f>IF(D903="","",IFERROR(VLOOKUP(D903,'Product Master'!$B:$G,3,FALSE),""))</f>
        <v/>
      </c>
      <c r="G903" s="51"/>
      <c r="H903" s="52" t="str">
        <f>IF(D903="","",VLOOKUP(D903,'Product Master'!$B:$F,5,FALSE))</f>
        <v/>
      </c>
      <c r="I903" s="52">
        <f>IFERROR(VLOOKUP(D903,'Product Master'!B:E,4,FALSE),0)</f>
        <v>0</v>
      </c>
      <c r="J903" s="53">
        <f>IFERROR(Table3[[#This Row],[QTY SOLD]]*Table3[[#This Row],[Selling Price]],0)</f>
        <v>0</v>
      </c>
      <c r="K903" s="50"/>
      <c r="L903" s="50">
        <f>Table3[[#This Row],[Total Sales]]-Table3[[#This Row],[Discount]]</f>
        <v>0</v>
      </c>
      <c r="M903" s="58">
        <f>Table3[[#This Row],[Net Sales]]-Table3[[#This Row],[Cost Price]]*Table3[[#This Row],[QTY SOLD]]</f>
        <v>0</v>
      </c>
      <c r="N903" s="25"/>
      <c r="O903" s="25"/>
      <c r="P903" s="25"/>
      <c r="Q903" s="25"/>
      <c r="R903" s="25"/>
      <c r="S903" s="25"/>
    </row>
    <row r="904" spans="1:19" x14ac:dyDescent="0.25">
      <c r="A904" s="65"/>
      <c r="B904" s="50"/>
      <c r="C904" s="50"/>
      <c r="D904" s="50"/>
      <c r="E904" s="50" t="str">
        <f>IF(D904="","",VLOOKUP(D904,'Product Master'!$B:$C,2,FALSE))</f>
        <v/>
      </c>
      <c r="F904" s="50" t="str">
        <f>IF(D904="","",IFERROR(VLOOKUP(D904,'Product Master'!$B:$G,3,FALSE),""))</f>
        <v/>
      </c>
      <c r="G904" s="51"/>
      <c r="H904" s="52" t="str">
        <f>IF(D904="","",VLOOKUP(D904,'Product Master'!$B:$F,5,FALSE))</f>
        <v/>
      </c>
      <c r="I904" s="52">
        <f>IFERROR(VLOOKUP(D904,'Product Master'!B:E,4,FALSE),0)</f>
        <v>0</v>
      </c>
      <c r="J904" s="53">
        <f>IFERROR(Table3[[#This Row],[QTY SOLD]]*Table3[[#This Row],[Selling Price]],0)</f>
        <v>0</v>
      </c>
      <c r="K904" s="50"/>
      <c r="L904" s="50">
        <f>Table3[[#This Row],[Total Sales]]-Table3[[#This Row],[Discount]]</f>
        <v>0</v>
      </c>
      <c r="M904" s="58">
        <f>Table3[[#This Row],[Net Sales]]-Table3[[#This Row],[Cost Price]]*Table3[[#This Row],[QTY SOLD]]</f>
        <v>0</v>
      </c>
      <c r="N904" s="25"/>
      <c r="O904" s="25"/>
      <c r="P904" s="25"/>
      <c r="Q904" s="25"/>
      <c r="R904" s="25"/>
      <c r="S904" s="25"/>
    </row>
    <row r="905" spans="1:19" x14ac:dyDescent="0.25">
      <c r="A905" s="65"/>
      <c r="B905" s="50"/>
      <c r="C905" s="50"/>
      <c r="D905" s="50"/>
      <c r="E905" s="50" t="str">
        <f>IF(D905="","",VLOOKUP(D905,'Product Master'!$B:$C,2,FALSE))</f>
        <v/>
      </c>
      <c r="F905" s="50" t="str">
        <f>IF(D905="","",IFERROR(VLOOKUP(D905,'Product Master'!$B:$G,3,FALSE),""))</f>
        <v/>
      </c>
      <c r="G905" s="51"/>
      <c r="H905" s="52" t="str">
        <f>IF(D905="","",VLOOKUP(D905,'Product Master'!$B:$F,5,FALSE))</f>
        <v/>
      </c>
      <c r="I905" s="52">
        <f>IFERROR(VLOOKUP(D905,'Product Master'!B:E,4,FALSE),0)</f>
        <v>0</v>
      </c>
      <c r="J905" s="53">
        <f>IFERROR(Table3[[#This Row],[QTY SOLD]]*Table3[[#This Row],[Selling Price]],0)</f>
        <v>0</v>
      </c>
      <c r="K905" s="50"/>
      <c r="L905" s="50">
        <f>Table3[[#This Row],[Total Sales]]-Table3[[#This Row],[Discount]]</f>
        <v>0</v>
      </c>
      <c r="M905" s="58">
        <f>Table3[[#This Row],[Net Sales]]-Table3[[#This Row],[Cost Price]]*Table3[[#This Row],[QTY SOLD]]</f>
        <v>0</v>
      </c>
      <c r="N905" s="25"/>
      <c r="O905" s="25"/>
      <c r="P905" s="25"/>
      <c r="Q905" s="25"/>
      <c r="R905" s="25"/>
      <c r="S905" s="25"/>
    </row>
    <row r="906" spans="1:19" x14ac:dyDescent="0.25">
      <c r="A906" s="65"/>
      <c r="B906" s="50"/>
      <c r="C906" s="50"/>
      <c r="D906" s="50"/>
      <c r="E906" s="50" t="str">
        <f>IF(D906="","",VLOOKUP(D906,'Product Master'!$B:$C,2,FALSE))</f>
        <v/>
      </c>
      <c r="F906" s="50" t="str">
        <f>IF(D906="","",IFERROR(VLOOKUP(D906,'Product Master'!$B:$G,3,FALSE),""))</f>
        <v/>
      </c>
      <c r="G906" s="51"/>
      <c r="H906" s="52" t="str">
        <f>IF(D906="","",VLOOKUP(D906,'Product Master'!$B:$F,5,FALSE))</f>
        <v/>
      </c>
      <c r="I906" s="52">
        <f>IFERROR(VLOOKUP(D906,'Product Master'!B:E,4,FALSE),0)</f>
        <v>0</v>
      </c>
      <c r="J906" s="53">
        <f>IFERROR(Table3[[#This Row],[QTY SOLD]]*Table3[[#This Row],[Selling Price]],0)</f>
        <v>0</v>
      </c>
      <c r="K906" s="50"/>
      <c r="L906" s="50">
        <f>Table3[[#This Row],[Total Sales]]-Table3[[#This Row],[Discount]]</f>
        <v>0</v>
      </c>
      <c r="M906" s="58">
        <f>Table3[[#This Row],[Net Sales]]-Table3[[#This Row],[Cost Price]]*Table3[[#This Row],[QTY SOLD]]</f>
        <v>0</v>
      </c>
      <c r="N906" s="25"/>
      <c r="O906" s="25"/>
      <c r="P906" s="25"/>
      <c r="Q906" s="25"/>
      <c r="R906" s="25"/>
      <c r="S906" s="25"/>
    </row>
    <row r="907" spans="1:19" x14ac:dyDescent="0.25">
      <c r="A907" s="65"/>
      <c r="B907" s="50"/>
      <c r="C907" s="50"/>
      <c r="D907" s="50"/>
      <c r="E907" s="50" t="str">
        <f>IF(D907="","",VLOOKUP(D907,'Product Master'!$B:$C,2,FALSE))</f>
        <v/>
      </c>
      <c r="F907" s="50" t="str">
        <f>IF(D907="","",IFERROR(VLOOKUP(D907,'Product Master'!$B:$G,3,FALSE),""))</f>
        <v/>
      </c>
      <c r="G907" s="51"/>
      <c r="H907" s="52" t="str">
        <f>IF(D907="","",VLOOKUP(D907,'Product Master'!$B:$F,5,FALSE))</f>
        <v/>
      </c>
      <c r="I907" s="52">
        <f>IFERROR(VLOOKUP(D907,'Product Master'!B:E,4,FALSE),0)</f>
        <v>0</v>
      </c>
      <c r="J907" s="53">
        <f>IFERROR(Table3[[#This Row],[QTY SOLD]]*Table3[[#This Row],[Selling Price]],0)</f>
        <v>0</v>
      </c>
      <c r="K907" s="50"/>
      <c r="L907" s="50">
        <f>Table3[[#This Row],[Total Sales]]-Table3[[#This Row],[Discount]]</f>
        <v>0</v>
      </c>
      <c r="M907" s="58">
        <f>Table3[[#This Row],[Net Sales]]-Table3[[#This Row],[Cost Price]]*Table3[[#This Row],[QTY SOLD]]</f>
        <v>0</v>
      </c>
      <c r="N907" s="25"/>
      <c r="O907" s="25"/>
      <c r="P907" s="25"/>
      <c r="Q907" s="25"/>
      <c r="R907" s="25"/>
      <c r="S907" s="25"/>
    </row>
    <row r="908" spans="1:19" x14ac:dyDescent="0.25">
      <c r="A908" s="65"/>
      <c r="B908" s="50"/>
      <c r="C908" s="50"/>
      <c r="D908" s="50"/>
      <c r="E908" s="50" t="str">
        <f>IF(D908="","",VLOOKUP(D908,'Product Master'!$B:$C,2,FALSE))</f>
        <v/>
      </c>
      <c r="F908" s="50" t="str">
        <f>IF(D908="","",IFERROR(VLOOKUP(D908,'Product Master'!$B:$G,3,FALSE),""))</f>
        <v/>
      </c>
      <c r="G908" s="51"/>
      <c r="H908" s="52" t="str">
        <f>IF(D908="","",VLOOKUP(D908,'Product Master'!$B:$F,5,FALSE))</f>
        <v/>
      </c>
      <c r="I908" s="52">
        <f>IFERROR(VLOOKUP(D908,'Product Master'!B:E,4,FALSE),0)</f>
        <v>0</v>
      </c>
      <c r="J908" s="53">
        <f>IFERROR(Table3[[#This Row],[QTY SOLD]]*Table3[[#This Row],[Selling Price]],0)</f>
        <v>0</v>
      </c>
      <c r="K908" s="50"/>
      <c r="L908" s="50">
        <f>Table3[[#This Row],[Total Sales]]-Table3[[#This Row],[Discount]]</f>
        <v>0</v>
      </c>
      <c r="M908" s="58">
        <f>Table3[[#This Row],[Net Sales]]-Table3[[#This Row],[Cost Price]]*Table3[[#This Row],[QTY SOLD]]</f>
        <v>0</v>
      </c>
      <c r="N908" s="25"/>
      <c r="O908" s="25"/>
      <c r="P908" s="25"/>
      <c r="Q908" s="25"/>
      <c r="R908" s="25"/>
      <c r="S908" s="25"/>
    </row>
    <row r="909" spans="1:19" x14ac:dyDescent="0.25">
      <c r="A909" s="65"/>
      <c r="B909" s="50"/>
      <c r="C909" s="50"/>
      <c r="D909" s="50"/>
      <c r="E909" s="50" t="str">
        <f>IF(D909="","",VLOOKUP(D909,'Product Master'!$B:$C,2,FALSE))</f>
        <v/>
      </c>
      <c r="F909" s="50" t="str">
        <f>IF(D909="","",IFERROR(VLOOKUP(D909,'Product Master'!$B:$G,3,FALSE),""))</f>
        <v/>
      </c>
      <c r="G909" s="51"/>
      <c r="H909" s="52" t="str">
        <f>IF(D909="","",VLOOKUP(D909,'Product Master'!$B:$F,5,FALSE))</f>
        <v/>
      </c>
      <c r="I909" s="52">
        <f>IFERROR(VLOOKUP(D909,'Product Master'!B:E,4,FALSE),0)</f>
        <v>0</v>
      </c>
      <c r="J909" s="53">
        <f>IFERROR(Table3[[#This Row],[QTY SOLD]]*Table3[[#This Row],[Selling Price]],0)</f>
        <v>0</v>
      </c>
      <c r="K909" s="50"/>
      <c r="L909" s="50">
        <f>Table3[[#This Row],[Total Sales]]-Table3[[#This Row],[Discount]]</f>
        <v>0</v>
      </c>
      <c r="M909" s="58">
        <f>Table3[[#This Row],[Net Sales]]-Table3[[#This Row],[Cost Price]]*Table3[[#This Row],[QTY SOLD]]</f>
        <v>0</v>
      </c>
      <c r="N909" s="25"/>
      <c r="O909" s="25"/>
      <c r="P909" s="25"/>
      <c r="Q909" s="25"/>
      <c r="R909" s="25"/>
      <c r="S909" s="25"/>
    </row>
    <row r="910" spans="1:19" x14ac:dyDescent="0.25">
      <c r="A910" s="65"/>
      <c r="B910" s="50"/>
      <c r="C910" s="50"/>
      <c r="D910" s="50"/>
      <c r="E910" s="50" t="str">
        <f>IF(D910="","",VLOOKUP(D910,'Product Master'!$B:$C,2,FALSE))</f>
        <v/>
      </c>
      <c r="F910" s="50" t="str">
        <f>IF(D910="","",IFERROR(VLOOKUP(D910,'Product Master'!$B:$G,3,FALSE),""))</f>
        <v/>
      </c>
      <c r="G910" s="51"/>
      <c r="H910" s="52" t="str">
        <f>IF(D910="","",VLOOKUP(D910,'Product Master'!$B:$F,5,FALSE))</f>
        <v/>
      </c>
      <c r="I910" s="52">
        <f>IFERROR(VLOOKUP(D910,'Product Master'!B:E,4,FALSE),0)</f>
        <v>0</v>
      </c>
      <c r="J910" s="53">
        <f>IFERROR(Table3[[#This Row],[QTY SOLD]]*Table3[[#This Row],[Selling Price]],0)</f>
        <v>0</v>
      </c>
      <c r="K910" s="50"/>
      <c r="L910" s="50">
        <f>Table3[[#This Row],[Total Sales]]-Table3[[#This Row],[Discount]]</f>
        <v>0</v>
      </c>
      <c r="M910" s="58">
        <f>Table3[[#This Row],[Net Sales]]-Table3[[#This Row],[Cost Price]]*Table3[[#This Row],[QTY SOLD]]</f>
        <v>0</v>
      </c>
      <c r="N910" s="25"/>
      <c r="O910" s="25"/>
      <c r="P910" s="25"/>
      <c r="Q910" s="25"/>
      <c r="R910" s="25"/>
      <c r="S910" s="25"/>
    </row>
    <row r="911" spans="1:19" x14ac:dyDescent="0.25">
      <c r="A911" s="65"/>
      <c r="B911" s="50"/>
      <c r="C911" s="50"/>
      <c r="D911" s="50"/>
      <c r="E911" s="50" t="str">
        <f>IF(D911="","",VLOOKUP(D911,'Product Master'!$B:$C,2,FALSE))</f>
        <v/>
      </c>
      <c r="F911" s="50" t="str">
        <f>IF(D911="","",IFERROR(VLOOKUP(D911,'Product Master'!$B:$G,3,FALSE),""))</f>
        <v/>
      </c>
      <c r="G911" s="51"/>
      <c r="H911" s="52" t="str">
        <f>IF(D911="","",VLOOKUP(D911,'Product Master'!$B:$F,5,FALSE))</f>
        <v/>
      </c>
      <c r="I911" s="52">
        <f>IFERROR(VLOOKUP(D911,'Product Master'!B:E,4,FALSE),0)</f>
        <v>0</v>
      </c>
      <c r="J911" s="53">
        <f>IFERROR(Table3[[#This Row],[QTY SOLD]]*Table3[[#This Row],[Selling Price]],0)</f>
        <v>0</v>
      </c>
      <c r="K911" s="50"/>
      <c r="L911" s="50">
        <f>Table3[[#This Row],[Total Sales]]-Table3[[#This Row],[Discount]]</f>
        <v>0</v>
      </c>
      <c r="M911" s="58">
        <f>Table3[[#This Row],[Net Sales]]-Table3[[#This Row],[Cost Price]]*Table3[[#This Row],[QTY SOLD]]</f>
        <v>0</v>
      </c>
      <c r="N911" s="25"/>
      <c r="O911" s="25"/>
      <c r="P911" s="25"/>
      <c r="Q911" s="25"/>
      <c r="R911" s="25"/>
      <c r="S911" s="25"/>
    </row>
    <row r="912" spans="1:19" x14ac:dyDescent="0.25">
      <c r="A912" s="65"/>
      <c r="B912" s="50"/>
      <c r="C912" s="50"/>
      <c r="D912" s="50"/>
      <c r="E912" s="50" t="str">
        <f>IF(D912="","",VLOOKUP(D912,'Product Master'!$B:$C,2,FALSE))</f>
        <v/>
      </c>
      <c r="F912" s="50" t="str">
        <f>IF(D912="","",IFERROR(VLOOKUP(D912,'Product Master'!$B:$G,3,FALSE),""))</f>
        <v/>
      </c>
      <c r="G912" s="51"/>
      <c r="H912" s="52" t="str">
        <f>IF(D912="","",VLOOKUP(D912,'Product Master'!$B:$F,5,FALSE))</f>
        <v/>
      </c>
      <c r="I912" s="52">
        <f>IFERROR(VLOOKUP(D912,'Product Master'!B:E,4,FALSE),0)</f>
        <v>0</v>
      </c>
      <c r="J912" s="53">
        <f>IFERROR(Table3[[#This Row],[QTY SOLD]]*Table3[[#This Row],[Selling Price]],0)</f>
        <v>0</v>
      </c>
      <c r="K912" s="50"/>
      <c r="L912" s="50">
        <f>Table3[[#This Row],[Total Sales]]-Table3[[#This Row],[Discount]]</f>
        <v>0</v>
      </c>
      <c r="M912" s="58">
        <f>Table3[[#This Row],[Net Sales]]-Table3[[#This Row],[Cost Price]]*Table3[[#This Row],[QTY SOLD]]</f>
        <v>0</v>
      </c>
      <c r="N912" s="25"/>
      <c r="O912" s="25"/>
      <c r="P912" s="25"/>
      <c r="Q912" s="25"/>
      <c r="R912" s="25"/>
      <c r="S912" s="25"/>
    </row>
    <row r="913" spans="1:19" x14ac:dyDescent="0.25">
      <c r="A913" s="65"/>
      <c r="B913" s="50"/>
      <c r="C913" s="50"/>
      <c r="D913" s="50"/>
      <c r="E913" s="50" t="str">
        <f>IF(D913="","",VLOOKUP(D913,'Product Master'!$B:$C,2,FALSE))</f>
        <v/>
      </c>
      <c r="F913" s="50" t="str">
        <f>IF(D913="","",IFERROR(VLOOKUP(D913,'Product Master'!$B:$G,3,FALSE),""))</f>
        <v/>
      </c>
      <c r="G913" s="51"/>
      <c r="H913" s="52" t="str">
        <f>IF(D913="","",VLOOKUP(D913,'Product Master'!$B:$F,5,FALSE))</f>
        <v/>
      </c>
      <c r="I913" s="52">
        <f>IFERROR(VLOOKUP(D913,'Product Master'!B:E,4,FALSE),0)</f>
        <v>0</v>
      </c>
      <c r="J913" s="53">
        <f>IFERROR(Table3[[#This Row],[QTY SOLD]]*Table3[[#This Row],[Selling Price]],0)</f>
        <v>0</v>
      </c>
      <c r="K913" s="50"/>
      <c r="L913" s="50">
        <f>Table3[[#This Row],[Total Sales]]-Table3[[#This Row],[Discount]]</f>
        <v>0</v>
      </c>
      <c r="M913" s="58">
        <f>Table3[[#This Row],[Net Sales]]-Table3[[#This Row],[Cost Price]]*Table3[[#This Row],[QTY SOLD]]</f>
        <v>0</v>
      </c>
      <c r="N913" s="25"/>
      <c r="O913" s="25"/>
      <c r="P913" s="25"/>
      <c r="Q913" s="25"/>
      <c r="R913" s="25"/>
      <c r="S913" s="25"/>
    </row>
    <row r="914" spans="1:19" x14ac:dyDescent="0.25">
      <c r="A914" s="65"/>
      <c r="B914" s="50"/>
      <c r="C914" s="50"/>
      <c r="D914" s="50"/>
      <c r="E914" s="50" t="str">
        <f>IF(D914="","",VLOOKUP(D914,'Product Master'!$B:$C,2,FALSE))</f>
        <v/>
      </c>
      <c r="F914" s="50" t="str">
        <f>IF(D914="","",IFERROR(VLOOKUP(D914,'Product Master'!$B:$G,3,FALSE),""))</f>
        <v/>
      </c>
      <c r="G914" s="51"/>
      <c r="H914" s="52" t="str">
        <f>IF(D914="","",VLOOKUP(D914,'Product Master'!$B:$F,5,FALSE))</f>
        <v/>
      </c>
      <c r="I914" s="52">
        <f>IFERROR(VLOOKUP(D914,'Product Master'!B:E,4,FALSE),0)</f>
        <v>0</v>
      </c>
      <c r="J914" s="53">
        <f>IFERROR(Table3[[#This Row],[QTY SOLD]]*Table3[[#This Row],[Selling Price]],0)</f>
        <v>0</v>
      </c>
      <c r="K914" s="50"/>
      <c r="L914" s="50">
        <f>Table3[[#This Row],[Total Sales]]-Table3[[#This Row],[Discount]]</f>
        <v>0</v>
      </c>
      <c r="M914" s="58">
        <f>Table3[[#This Row],[Net Sales]]-Table3[[#This Row],[Cost Price]]*Table3[[#This Row],[QTY SOLD]]</f>
        <v>0</v>
      </c>
      <c r="N914" s="25"/>
      <c r="O914" s="25"/>
      <c r="P914" s="25"/>
      <c r="Q914" s="25"/>
      <c r="R914" s="25"/>
      <c r="S914" s="25"/>
    </row>
    <row r="915" spans="1:19" x14ac:dyDescent="0.25">
      <c r="A915" s="65"/>
      <c r="B915" s="50"/>
      <c r="C915" s="50"/>
      <c r="D915" s="50"/>
      <c r="E915" s="50" t="str">
        <f>IF(D915="","",VLOOKUP(D915,'Product Master'!$B:$C,2,FALSE))</f>
        <v/>
      </c>
      <c r="F915" s="50" t="str">
        <f>IF(D915="","",IFERROR(VLOOKUP(D915,'Product Master'!$B:$G,3,FALSE),""))</f>
        <v/>
      </c>
      <c r="G915" s="51"/>
      <c r="H915" s="52" t="str">
        <f>IF(D915="","",VLOOKUP(D915,'Product Master'!$B:$F,5,FALSE))</f>
        <v/>
      </c>
      <c r="I915" s="52">
        <f>IFERROR(VLOOKUP(D915,'Product Master'!B:E,4,FALSE),0)</f>
        <v>0</v>
      </c>
      <c r="J915" s="53">
        <f>IFERROR(Table3[[#This Row],[QTY SOLD]]*Table3[[#This Row],[Selling Price]],0)</f>
        <v>0</v>
      </c>
      <c r="K915" s="50"/>
      <c r="L915" s="50">
        <f>Table3[[#This Row],[Total Sales]]-Table3[[#This Row],[Discount]]</f>
        <v>0</v>
      </c>
      <c r="M915" s="58">
        <f>Table3[[#This Row],[Net Sales]]-Table3[[#This Row],[Cost Price]]*Table3[[#This Row],[QTY SOLD]]</f>
        <v>0</v>
      </c>
      <c r="N915" s="25"/>
      <c r="O915" s="25"/>
      <c r="P915" s="25"/>
      <c r="Q915" s="25"/>
      <c r="R915" s="25"/>
      <c r="S915" s="25"/>
    </row>
    <row r="916" spans="1:19" x14ac:dyDescent="0.25">
      <c r="A916" s="65"/>
      <c r="B916" s="50"/>
      <c r="C916" s="50"/>
      <c r="D916" s="50"/>
      <c r="E916" s="50" t="str">
        <f>IF(D916="","",VLOOKUP(D916,'Product Master'!$B:$C,2,FALSE))</f>
        <v/>
      </c>
      <c r="F916" s="50" t="str">
        <f>IF(D916="","",IFERROR(VLOOKUP(D916,'Product Master'!$B:$G,3,FALSE),""))</f>
        <v/>
      </c>
      <c r="G916" s="51"/>
      <c r="H916" s="52" t="str">
        <f>IF(D916="","",VLOOKUP(D916,'Product Master'!$B:$F,5,FALSE))</f>
        <v/>
      </c>
      <c r="I916" s="52">
        <f>IFERROR(VLOOKUP(D916,'Product Master'!B:E,4,FALSE),0)</f>
        <v>0</v>
      </c>
      <c r="J916" s="53">
        <f>IFERROR(Table3[[#This Row],[QTY SOLD]]*Table3[[#This Row],[Selling Price]],0)</f>
        <v>0</v>
      </c>
      <c r="K916" s="50"/>
      <c r="L916" s="50">
        <f>Table3[[#This Row],[Total Sales]]-Table3[[#This Row],[Discount]]</f>
        <v>0</v>
      </c>
      <c r="M916" s="58">
        <f>Table3[[#This Row],[Net Sales]]-Table3[[#This Row],[Cost Price]]*Table3[[#This Row],[QTY SOLD]]</f>
        <v>0</v>
      </c>
      <c r="N916" s="25"/>
      <c r="O916" s="25"/>
      <c r="P916" s="25"/>
      <c r="Q916" s="25"/>
      <c r="R916" s="25"/>
      <c r="S916" s="25"/>
    </row>
    <row r="917" spans="1:19" x14ac:dyDescent="0.25">
      <c r="A917" s="65"/>
      <c r="B917" s="50"/>
      <c r="C917" s="50"/>
      <c r="D917" s="50"/>
      <c r="E917" s="50" t="str">
        <f>IF(D917="","",VLOOKUP(D917,'Product Master'!$B:$C,2,FALSE))</f>
        <v/>
      </c>
      <c r="F917" s="50" t="str">
        <f>IF(D917="","",IFERROR(VLOOKUP(D917,'Product Master'!$B:$G,3,FALSE),""))</f>
        <v/>
      </c>
      <c r="G917" s="51"/>
      <c r="H917" s="52" t="str">
        <f>IF(D917="","",VLOOKUP(D917,'Product Master'!$B:$F,5,FALSE))</f>
        <v/>
      </c>
      <c r="I917" s="52">
        <f>IFERROR(VLOOKUP(D917,'Product Master'!B:E,4,FALSE),0)</f>
        <v>0</v>
      </c>
      <c r="J917" s="53">
        <f>IFERROR(Table3[[#This Row],[QTY SOLD]]*Table3[[#This Row],[Selling Price]],0)</f>
        <v>0</v>
      </c>
      <c r="K917" s="50"/>
      <c r="L917" s="50">
        <f>Table3[[#This Row],[Total Sales]]-Table3[[#This Row],[Discount]]</f>
        <v>0</v>
      </c>
      <c r="M917" s="58">
        <f>Table3[[#This Row],[Net Sales]]-Table3[[#This Row],[Cost Price]]*Table3[[#This Row],[QTY SOLD]]</f>
        <v>0</v>
      </c>
      <c r="N917" s="25"/>
      <c r="O917" s="25"/>
      <c r="P917" s="25"/>
      <c r="Q917" s="25"/>
      <c r="R917" s="25"/>
      <c r="S917" s="25"/>
    </row>
    <row r="918" spans="1:19" x14ac:dyDescent="0.25">
      <c r="A918" s="65"/>
      <c r="B918" s="50"/>
      <c r="C918" s="50"/>
      <c r="D918" s="50"/>
      <c r="E918" s="50" t="str">
        <f>IF(D918="","",VLOOKUP(D918,'Product Master'!$B:$C,2,FALSE))</f>
        <v/>
      </c>
      <c r="F918" s="50" t="str">
        <f>IF(D918="","",IFERROR(VLOOKUP(D918,'Product Master'!$B:$G,3,FALSE),""))</f>
        <v/>
      </c>
      <c r="G918" s="51"/>
      <c r="H918" s="52" t="str">
        <f>IF(D918="","",VLOOKUP(D918,'Product Master'!$B:$F,5,FALSE))</f>
        <v/>
      </c>
      <c r="I918" s="52">
        <f>IFERROR(VLOOKUP(D918,'Product Master'!B:E,4,FALSE),0)</f>
        <v>0</v>
      </c>
      <c r="J918" s="53">
        <f>IFERROR(Table3[[#This Row],[QTY SOLD]]*Table3[[#This Row],[Selling Price]],0)</f>
        <v>0</v>
      </c>
      <c r="K918" s="50"/>
      <c r="L918" s="50">
        <f>Table3[[#This Row],[Total Sales]]-Table3[[#This Row],[Discount]]</f>
        <v>0</v>
      </c>
      <c r="M918" s="58">
        <f>Table3[[#This Row],[Net Sales]]-Table3[[#This Row],[Cost Price]]*Table3[[#This Row],[QTY SOLD]]</f>
        <v>0</v>
      </c>
      <c r="N918" s="25"/>
      <c r="O918" s="25"/>
      <c r="P918" s="25"/>
      <c r="Q918" s="25"/>
      <c r="R918" s="25"/>
      <c r="S918" s="25"/>
    </row>
    <row r="919" spans="1:19" x14ac:dyDescent="0.25">
      <c r="A919" s="65"/>
      <c r="B919" s="50"/>
      <c r="C919" s="50"/>
      <c r="D919" s="50"/>
      <c r="E919" s="50" t="str">
        <f>IF(D919="","",VLOOKUP(D919,'Product Master'!$B:$C,2,FALSE))</f>
        <v/>
      </c>
      <c r="F919" s="50" t="str">
        <f>IF(D919="","",IFERROR(VLOOKUP(D919,'Product Master'!$B:$G,3,FALSE),""))</f>
        <v/>
      </c>
      <c r="G919" s="51"/>
      <c r="H919" s="52" t="str">
        <f>IF(D919="","",VLOOKUP(D919,'Product Master'!$B:$F,5,FALSE))</f>
        <v/>
      </c>
      <c r="I919" s="52">
        <f>IFERROR(VLOOKUP(D919,'Product Master'!B:E,4,FALSE),0)</f>
        <v>0</v>
      </c>
      <c r="J919" s="53">
        <f>IFERROR(Table3[[#This Row],[QTY SOLD]]*Table3[[#This Row],[Selling Price]],0)</f>
        <v>0</v>
      </c>
      <c r="K919" s="50"/>
      <c r="L919" s="50">
        <f>Table3[[#This Row],[Total Sales]]-Table3[[#This Row],[Discount]]</f>
        <v>0</v>
      </c>
      <c r="M919" s="58">
        <f>Table3[[#This Row],[Net Sales]]-Table3[[#This Row],[Cost Price]]*Table3[[#This Row],[QTY SOLD]]</f>
        <v>0</v>
      </c>
      <c r="N919" s="25"/>
      <c r="O919" s="25"/>
      <c r="P919" s="25"/>
      <c r="Q919" s="25"/>
      <c r="R919" s="25"/>
      <c r="S919" s="25"/>
    </row>
    <row r="920" spans="1:19" x14ac:dyDescent="0.25">
      <c r="A920" s="65"/>
      <c r="B920" s="50"/>
      <c r="C920" s="50"/>
      <c r="D920" s="50"/>
      <c r="E920" s="50" t="str">
        <f>IF(D920="","",VLOOKUP(D920,'Product Master'!$B:$C,2,FALSE))</f>
        <v/>
      </c>
      <c r="F920" s="50" t="str">
        <f>IF(D920="","",IFERROR(VLOOKUP(D920,'Product Master'!$B:$G,3,FALSE),""))</f>
        <v/>
      </c>
      <c r="G920" s="51"/>
      <c r="H920" s="52" t="str">
        <f>IF(D920="","",VLOOKUP(D920,'Product Master'!$B:$F,5,FALSE))</f>
        <v/>
      </c>
      <c r="I920" s="52">
        <f>IFERROR(VLOOKUP(D920,'Product Master'!B:E,4,FALSE),0)</f>
        <v>0</v>
      </c>
      <c r="J920" s="53">
        <f>IFERROR(Table3[[#This Row],[QTY SOLD]]*Table3[[#This Row],[Selling Price]],0)</f>
        <v>0</v>
      </c>
      <c r="K920" s="50"/>
      <c r="L920" s="50">
        <f>Table3[[#This Row],[Total Sales]]-Table3[[#This Row],[Discount]]</f>
        <v>0</v>
      </c>
      <c r="M920" s="58">
        <f>Table3[[#This Row],[Net Sales]]-Table3[[#This Row],[Cost Price]]*Table3[[#This Row],[QTY SOLD]]</f>
        <v>0</v>
      </c>
      <c r="N920" s="25"/>
      <c r="O920" s="25"/>
      <c r="P920" s="25"/>
      <c r="Q920" s="25"/>
      <c r="R920" s="25"/>
      <c r="S920" s="25"/>
    </row>
    <row r="921" spans="1:19" x14ac:dyDescent="0.25">
      <c r="A921" s="65"/>
      <c r="B921" s="50"/>
      <c r="C921" s="50"/>
      <c r="D921" s="50"/>
      <c r="E921" s="50" t="str">
        <f>IF(D921="","",VLOOKUP(D921,'Product Master'!$B:$C,2,FALSE))</f>
        <v/>
      </c>
      <c r="F921" s="50" t="str">
        <f>IF(D921="","",IFERROR(VLOOKUP(D921,'Product Master'!$B:$G,3,FALSE),""))</f>
        <v/>
      </c>
      <c r="G921" s="51"/>
      <c r="H921" s="52" t="str">
        <f>IF(D921="","",VLOOKUP(D921,'Product Master'!$B:$F,5,FALSE))</f>
        <v/>
      </c>
      <c r="I921" s="52">
        <f>IFERROR(VLOOKUP(D921,'Product Master'!B:E,4,FALSE),0)</f>
        <v>0</v>
      </c>
      <c r="J921" s="53">
        <f>IFERROR(Table3[[#This Row],[QTY SOLD]]*Table3[[#This Row],[Selling Price]],0)</f>
        <v>0</v>
      </c>
      <c r="K921" s="50"/>
      <c r="L921" s="50">
        <f>Table3[[#This Row],[Total Sales]]-Table3[[#This Row],[Discount]]</f>
        <v>0</v>
      </c>
      <c r="M921" s="58">
        <f>Table3[[#This Row],[Net Sales]]-Table3[[#This Row],[Cost Price]]*Table3[[#This Row],[QTY SOLD]]</f>
        <v>0</v>
      </c>
      <c r="N921" s="25"/>
      <c r="O921" s="25"/>
      <c r="P921" s="25"/>
      <c r="Q921" s="25"/>
      <c r="R921" s="25"/>
      <c r="S921" s="25"/>
    </row>
    <row r="922" spans="1:19" x14ac:dyDescent="0.25">
      <c r="A922" s="65"/>
      <c r="B922" s="50"/>
      <c r="C922" s="50"/>
      <c r="D922" s="50"/>
      <c r="E922" s="50" t="str">
        <f>IF(D922="","",VLOOKUP(D922,'Product Master'!$B:$C,2,FALSE))</f>
        <v/>
      </c>
      <c r="F922" s="50" t="str">
        <f>IF(D922="","",IFERROR(VLOOKUP(D922,'Product Master'!$B:$G,3,FALSE),""))</f>
        <v/>
      </c>
      <c r="G922" s="51"/>
      <c r="H922" s="52" t="str">
        <f>IF(D922="","",VLOOKUP(D922,'Product Master'!$B:$F,5,FALSE))</f>
        <v/>
      </c>
      <c r="I922" s="52">
        <f>IFERROR(VLOOKUP(D922,'Product Master'!B:E,4,FALSE),0)</f>
        <v>0</v>
      </c>
      <c r="J922" s="53">
        <f>IFERROR(Table3[[#This Row],[QTY SOLD]]*Table3[[#This Row],[Selling Price]],0)</f>
        <v>0</v>
      </c>
      <c r="K922" s="50"/>
      <c r="L922" s="50">
        <f>Table3[[#This Row],[Total Sales]]-Table3[[#This Row],[Discount]]</f>
        <v>0</v>
      </c>
      <c r="M922" s="58">
        <f>Table3[[#This Row],[Net Sales]]-Table3[[#This Row],[Cost Price]]*Table3[[#This Row],[QTY SOLD]]</f>
        <v>0</v>
      </c>
      <c r="N922" s="25"/>
      <c r="O922" s="25"/>
      <c r="P922" s="25"/>
      <c r="Q922" s="25"/>
      <c r="R922" s="25"/>
      <c r="S922" s="25"/>
    </row>
    <row r="923" spans="1:19" x14ac:dyDescent="0.25">
      <c r="A923" s="65"/>
      <c r="B923" s="50"/>
      <c r="C923" s="50"/>
      <c r="D923" s="50"/>
      <c r="E923" s="50" t="str">
        <f>IF(D923="","",VLOOKUP(D923,'Product Master'!$B:$C,2,FALSE))</f>
        <v/>
      </c>
      <c r="F923" s="50" t="str">
        <f>IF(D923="","",IFERROR(VLOOKUP(D923,'Product Master'!$B:$G,3,FALSE),""))</f>
        <v/>
      </c>
      <c r="G923" s="51"/>
      <c r="H923" s="52" t="str">
        <f>IF(D923="","",VLOOKUP(D923,'Product Master'!$B:$F,5,FALSE))</f>
        <v/>
      </c>
      <c r="I923" s="52">
        <f>IFERROR(VLOOKUP(D923,'Product Master'!B:E,4,FALSE),0)</f>
        <v>0</v>
      </c>
      <c r="J923" s="53">
        <f>IFERROR(Table3[[#This Row],[QTY SOLD]]*Table3[[#This Row],[Selling Price]],0)</f>
        <v>0</v>
      </c>
      <c r="K923" s="50"/>
      <c r="L923" s="50">
        <f>Table3[[#This Row],[Total Sales]]-Table3[[#This Row],[Discount]]</f>
        <v>0</v>
      </c>
      <c r="M923" s="58">
        <f>Table3[[#This Row],[Net Sales]]-Table3[[#This Row],[Cost Price]]*Table3[[#This Row],[QTY SOLD]]</f>
        <v>0</v>
      </c>
      <c r="N923" s="25"/>
      <c r="O923" s="25"/>
      <c r="P923" s="25"/>
      <c r="Q923" s="25"/>
      <c r="R923" s="25"/>
      <c r="S923" s="25"/>
    </row>
    <row r="924" spans="1:19" x14ac:dyDescent="0.25">
      <c r="A924" s="65"/>
      <c r="B924" s="50"/>
      <c r="C924" s="50"/>
      <c r="D924" s="50"/>
      <c r="E924" s="50" t="str">
        <f>IF(D924="","",VLOOKUP(D924,'Product Master'!$B:$C,2,FALSE))</f>
        <v/>
      </c>
      <c r="F924" s="50" t="str">
        <f>IF(D924="","",IFERROR(VLOOKUP(D924,'Product Master'!$B:$G,3,FALSE),""))</f>
        <v/>
      </c>
      <c r="G924" s="51"/>
      <c r="H924" s="52" t="str">
        <f>IF(D924="","",VLOOKUP(D924,'Product Master'!$B:$F,5,FALSE))</f>
        <v/>
      </c>
      <c r="I924" s="52">
        <f>IFERROR(VLOOKUP(D924,'Product Master'!B:E,4,FALSE),0)</f>
        <v>0</v>
      </c>
      <c r="J924" s="53">
        <f>IFERROR(Table3[[#This Row],[QTY SOLD]]*Table3[[#This Row],[Selling Price]],0)</f>
        <v>0</v>
      </c>
      <c r="K924" s="50"/>
      <c r="L924" s="50">
        <f>Table3[[#This Row],[Total Sales]]-Table3[[#This Row],[Discount]]</f>
        <v>0</v>
      </c>
      <c r="M924" s="58">
        <f>Table3[[#This Row],[Net Sales]]-Table3[[#This Row],[Cost Price]]*Table3[[#This Row],[QTY SOLD]]</f>
        <v>0</v>
      </c>
      <c r="N924" s="25"/>
      <c r="O924" s="25"/>
      <c r="P924" s="25"/>
      <c r="Q924" s="25"/>
      <c r="R924" s="25"/>
      <c r="S924" s="25"/>
    </row>
    <row r="925" spans="1:19" x14ac:dyDescent="0.25">
      <c r="A925" s="65"/>
      <c r="B925" s="50"/>
      <c r="C925" s="50"/>
      <c r="D925" s="50"/>
      <c r="E925" s="50" t="str">
        <f>IF(D925="","",VLOOKUP(D925,'Product Master'!$B:$C,2,FALSE))</f>
        <v/>
      </c>
      <c r="F925" s="50" t="str">
        <f>IF(D925="","",IFERROR(VLOOKUP(D925,'Product Master'!$B:$G,3,FALSE),""))</f>
        <v/>
      </c>
      <c r="G925" s="51"/>
      <c r="H925" s="52" t="str">
        <f>IF(D925="","",VLOOKUP(D925,'Product Master'!$B:$F,5,FALSE))</f>
        <v/>
      </c>
      <c r="I925" s="52">
        <f>IFERROR(VLOOKUP(D925,'Product Master'!B:E,4,FALSE),0)</f>
        <v>0</v>
      </c>
      <c r="J925" s="53">
        <f>IFERROR(Table3[[#This Row],[QTY SOLD]]*Table3[[#This Row],[Selling Price]],0)</f>
        <v>0</v>
      </c>
      <c r="K925" s="50"/>
      <c r="L925" s="50">
        <f>Table3[[#This Row],[Total Sales]]-Table3[[#This Row],[Discount]]</f>
        <v>0</v>
      </c>
      <c r="M925" s="58">
        <f>Table3[[#This Row],[Net Sales]]-Table3[[#This Row],[Cost Price]]*Table3[[#This Row],[QTY SOLD]]</f>
        <v>0</v>
      </c>
      <c r="N925" s="25"/>
      <c r="O925" s="25"/>
      <c r="P925" s="25"/>
      <c r="Q925" s="25"/>
      <c r="R925" s="25"/>
      <c r="S925" s="25"/>
    </row>
    <row r="926" spans="1:19" x14ac:dyDescent="0.25">
      <c r="A926" s="65"/>
      <c r="B926" s="50"/>
      <c r="C926" s="50"/>
      <c r="D926" s="50"/>
      <c r="E926" s="50" t="str">
        <f>IF(D926="","",VLOOKUP(D926,'Product Master'!$B:$C,2,FALSE))</f>
        <v/>
      </c>
      <c r="F926" s="50" t="str">
        <f>IF(D926="","",IFERROR(VLOOKUP(D926,'Product Master'!$B:$G,3,FALSE),""))</f>
        <v/>
      </c>
      <c r="G926" s="51"/>
      <c r="H926" s="52" t="str">
        <f>IF(D926="","",VLOOKUP(D926,'Product Master'!$B:$F,5,FALSE))</f>
        <v/>
      </c>
      <c r="I926" s="52">
        <f>IFERROR(VLOOKUP(D926,'Product Master'!B:E,4,FALSE),0)</f>
        <v>0</v>
      </c>
      <c r="J926" s="53">
        <f>IFERROR(Table3[[#This Row],[QTY SOLD]]*Table3[[#This Row],[Selling Price]],0)</f>
        <v>0</v>
      </c>
      <c r="K926" s="50"/>
      <c r="L926" s="50">
        <f>Table3[[#This Row],[Total Sales]]-Table3[[#This Row],[Discount]]</f>
        <v>0</v>
      </c>
      <c r="M926" s="58">
        <f>Table3[[#This Row],[Net Sales]]-Table3[[#This Row],[Cost Price]]*Table3[[#This Row],[QTY SOLD]]</f>
        <v>0</v>
      </c>
      <c r="N926" s="25"/>
      <c r="O926" s="25"/>
      <c r="P926" s="25"/>
      <c r="Q926" s="25"/>
      <c r="R926" s="25"/>
      <c r="S926" s="25"/>
    </row>
    <row r="927" spans="1:19" x14ac:dyDescent="0.25">
      <c r="A927" s="65"/>
      <c r="B927" s="50"/>
      <c r="C927" s="50"/>
      <c r="D927" s="50"/>
      <c r="E927" s="50" t="str">
        <f>IF(D927="","",VLOOKUP(D927,'Product Master'!$B:$C,2,FALSE))</f>
        <v/>
      </c>
      <c r="F927" s="50" t="str">
        <f>IF(D927="","",IFERROR(VLOOKUP(D927,'Product Master'!$B:$G,3,FALSE),""))</f>
        <v/>
      </c>
      <c r="G927" s="51"/>
      <c r="H927" s="52" t="str">
        <f>IF(D927="","",VLOOKUP(D927,'Product Master'!$B:$F,5,FALSE))</f>
        <v/>
      </c>
      <c r="I927" s="52">
        <f>IFERROR(VLOOKUP(D927,'Product Master'!B:E,4,FALSE),0)</f>
        <v>0</v>
      </c>
      <c r="J927" s="53">
        <f>IFERROR(Table3[[#This Row],[QTY SOLD]]*Table3[[#This Row],[Selling Price]],0)</f>
        <v>0</v>
      </c>
      <c r="K927" s="50"/>
      <c r="L927" s="50">
        <f>Table3[[#This Row],[Total Sales]]-Table3[[#This Row],[Discount]]</f>
        <v>0</v>
      </c>
      <c r="M927" s="58">
        <f>Table3[[#This Row],[Net Sales]]-Table3[[#This Row],[Cost Price]]*Table3[[#This Row],[QTY SOLD]]</f>
        <v>0</v>
      </c>
      <c r="N927" s="25"/>
      <c r="O927" s="25"/>
      <c r="P927" s="25"/>
      <c r="Q927" s="25"/>
      <c r="R927" s="25"/>
      <c r="S927" s="25"/>
    </row>
    <row r="928" spans="1:19" x14ac:dyDescent="0.25">
      <c r="A928" s="65"/>
      <c r="B928" s="50"/>
      <c r="C928" s="50"/>
      <c r="D928" s="50"/>
      <c r="E928" s="50" t="str">
        <f>IF(D928="","",VLOOKUP(D928,'Product Master'!$B:$C,2,FALSE))</f>
        <v/>
      </c>
      <c r="F928" s="50" t="str">
        <f>IF(D928="","",IFERROR(VLOOKUP(D928,'Product Master'!$B:$G,3,FALSE),""))</f>
        <v/>
      </c>
      <c r="G928" s="51"/>
      <c r="H928" s="52" t="str">
        <f>IF(D928="","",VLOOKUP(D928,'Product Master'!$B:$F,5,FALSE))</f>
        <v/>
      </c>
      <c r="I928" s="52">
        <f>IFERROR(VLOOKUP(D928,'Product Master'!B:E,4,FALSE),0)</f>
        <v>0</v>
      </c>
      <c r="J928" s="53">
        <f>IFERROR(Table3[[#This Row],[QTY SOLD]]*Table3[[#This Row],[Selling Price]],0)</f>
        <v>0</v>
      </c>
      <c r="K928" s="50"/>
      <c r="L928" s="50">
        <f>Table3[[#This Row],[Total Sales]]-Table3[[#This Row],[Discount]]</f>
        <v>0</v>
      </c>
      <c r="M928" s="58">
        <f>Table3[[#This Row],[Net Sales]]-Table3[[#This Row],[Cost Price]]*Table3[[#This Row],[QTY SOLD]]</f>
        <v>0</v>
      </c>
      <c r="N928" s="25"/>
      <c r="O928" s="25"/>
      <c r="P928" s="25"/>
      <c r="Q928" s="25"/>
      <c r="R928" s="25"/>
      <c r="S928" s="25"/>
    </row>
    <row r="929" spans="1:19" x14ac:dyDescent="0.25">
      <c r="A929" s="65"/>
      <c r="B929" s="50"/>
      <c r="C929" s="50"/>
      <c r="D929" s="50"/>
      <c r="E929" s="50" t="str">
        <f>IF(D929="","",VLOOKUP(D929,'Product Master'!$B:$C,2,FALSE))</f>
        <v/>
      </c>
      <c r="F929" s="50" t="str">
        <f>IF(D929="","",IFERROR(VLOOKUP(D929,'Product Master'!$B:$G,3,FALSE),""))</f>
        <v/>
      </c>
      <c r="G929" s="51"/>
      <c r="H929" s="52" t="str">
        <f>IF(D929="","",VLOOKUP(D929,'Product Master'!$B:$F,5,FALSE))</f>
        <v/>
      </c>
      <c r="I929" s="52">
        <f>IFERROR(VLOOKUP(D929,'Product Master'!B:E,4,FALSE),0)</f>
        <v>0</v>
      </c>
      <c r="J929" s="53">
        <f>IFERROR(Table3[[#This Row],[QTY SOLD]]*Table3[[#This Row],[Selling Price]],0)</f>
        <v>0</v>
      </c>
      <c r="K929" s="50"/>
      <c r="L929" s="50">
        <f>Table3[[#This Row],[Total Sales]]-Table3[[#This Row],[Discount]]</f>
        <v>0</v>
      </c>
      <c r="M929" s="58">
        <f>Table3[[#This Row],[Net Sales]]-Table3[[#This Row],[Cost Price]]*Table3[[#This Row],[QTY SOLD]]</f>
        <v>0</v>
      </c>
      <c r="N929" s="25"/>
      <c r="O929" s="25"/>
      <c r="P929" s="25"/>
      <c r="Q929" s="25"/>
      <c r="R929" s="25"/>
      <c r="S929" s="25"/>
    </row>
    <row r="930" spans="1:19" x14ac:dyDescent="0.25">
      <c r="A930" s="65"/>
      <c r="B930" s="50"/>
      <c r="C930" s="50"/>
      <c r="D930" s="50"/>
      <c r="E930" s="50" t="str">
        <f>IF(D930="","",VLOOKUP(D930,'Product Master'!$B:$C,2,FALSE))</f>
        <v/>
      </c>
      <c r="F930" s="50" t="str">
        <f>IF(D930="","",IFERROR(VLOOKUP(D930,'Product Master'!$B:$G,3,FALSE),""))</f>
        <v/>
      </c>
      <c r="G930" s="51"/>
      <c r="H930" s="52" t="str">
        <f>IF(D930="","",VLOOKUP(D930,'Product Master'!$B:$F,5,FALSE))</f>
        <v/>
      </c>
      <c r="I930" s="52">
        <f>IFERROR(VLOOKUP(D930,'Product Master'!B:E,4,FALSE),0)</f>
        <v>0</v>
      </c>
      <c r="J930" s="53">
        <f>IFERROR(Table3[[#This Row],[QTY SOLD]]*Table3[[#This Row],[Selling Price]],0)</f>
        <v>0</v>
      </c>
      <c r="K930" s="50"/>
      <c r="L930" s="50">
        <f>Table3[[#This Row],[Total Sales]]-Table3[[#This Row],[Discount]]</f>
        <v>0</v>
      </c>
      <c r="M930" s="58">
        <f>Table3[[#This Row],[Net Sales]]-Table3[[#This Row],[Cost Price]]*Table3[[#This Row],[QTY SOLD]]</f>
        <v>0</v>
      </c>
      <c r="N930" s="25"/>
      <c r="O930" s="25"/>
      <c r="P930" s="25"/>
      <c r="Q930" s="25"/>
      <c r="R930" s="25"/>
      <c r="S930" s="25"/>
    </row>
    <row r="931" spans="1:19" x14ac:dyDescent="0.25">
      <c r="A931" s="65"/>
      <c r="B931" s="50"/>
      <c r="C931" s="50"/>
      <c r="D931" s="50"/>
      <c r="E931" s="50" t="str">
        <f>IF(D931="","",VLOOKUP(D931,'Product Master'!$B:$C,2,FALSE))</f>
        <v/>
      </c>
      <c r="F931" s="50" t="str">
        <f>IF(D931="","",IFERROR(VLOOKUP(D931,'Product Master'!$B:$G,3,FALSE),""))</f>
        <v/>
      </c>
      <c r="G931" s="51"/>
      <c r="H931" s="52" t="str">
        <f>IF(D931="","",VLOOKUP(D931,'Product Master'!$B:$F,5,FALSE))</f>
        <v/>
      </c>
      <c r="I931" s="52">
        <f>IFERROR(VLOOKUP(D931,'Product Master'!B:E,4,FALSE),0)</f>
        <v>0</v>
      </c>
      <c r="J931" s="53">
        <f>IFERROR(Table3[[#This Row],[QTY SOLD]]*Table3[[#This Row],[Selling Price]],0)</f>
        <v>0</v>
      </c>
      <c r="K931" s="50"/>
      <c r="L931" s="50">
        <f>Table3[[#This Row],[Total Sales]]-Table3[[#This Row],[Discount]]</f>
        <v>0</v>
      </c>
      <c r="M931" s="58">
        <f>Table3[[#This Row],[Net Sales]]-Table3[[#This Row],[Cost Price]]*Table3[[#This Row],[QTY SOLD]]</f>
        <v>0</v>
      </c>
      <c r="N931" s="25"/>
      <c r="O931" s="25"/>
      <c r="P931" s="25"/>
      <c r="Q931" s="25"/>
      <c r="R931" s="25"/>
      <c r="S931" s="25"/>
    </row>
    <row r="932" spans="1:19" x14ac:dyDescent="0.25">
      <c r="A932" s="65"/>
      <c r="B932" s="50"/>
      <c r="C932" s="50"/>
      <c r="D932" s="50"/>
      <c r="E932" s="50" t="str">
        <f>IF(D932="","",VLOOKUP(D932,'Product Master'!$B:$C,2,FALSE))</f>
        <v/>
      </c>
      <c r="F932" s="50" t="str">
        <f>IF(D932="","",IFERROR(VLOOKUP(D932,'Product Master'!$B:$G,3,FALSE),""))</f>
        <v/>
      </c>
      <c r="G932" s="51"/>
      <c r="H932" s="52" t="str">
        <f>IF(D932="","",VLOOKUP(D932,'Product Master'!$B:$F,5,FALSE))</f>
        <v/>
      </c>
      <c r="I932" s="52">
        <f>IFERROR(VLOOKUP(D932,'Product Master'!B:E,4,FALSE),0)</f>
        <v>0</v>
      </c>
      <c r="J932" s="53">
        <f>IFERROR(Table3[[#This Row],[QTY SOLD]]*Table3[[#This Row],[Selling Price]],0)</f>
        <v>0</v>
      </c>
      <c r="K932" s="50"/>
      <c r="L932" s="50">
        <f>Table3[[#This Row],[Total Sales]]-Table3[[#This Row],[Discount]]</f>
        <v>0</v>
      </c>
      <c r="M932" s="58">
        <f>Table3[[#This Row],[Net Sales]]-Table3[[#This Row],[Cost Price]]*Table3[[#This Row],[QTY SOLD]]</f>
        <v>0</v>
      </c>
      <c r="N932" s="25"/>
      <c r="O932" s="25"/>
      <c r="P932" s="25"/>
      <c r="Q932" s="25"/>
      <c r="R932" s="25"/>
      <c r="S932" s="25"/>
    </row>
    <row r="933" spans="1:19" x14ac:dyDescent="0.25">
      <c r="A933" s="65"/>
      <c r="B933" s="50"/>
      <c r="C933" s="50"/>
      <c r="D933" s="50"/>
      <c r="E933" s="50" t="str">
        <f>IF(D933="","",VLOOKUP(D933,'Product Master'!$B:$C,2,FALSE))</f>
        <v/>
      </c>
      <c r="F933" s="50" t="str">
        <f>IF(D933="","",IFERROR(VLOOKUP(D933,'Product Master'!$B:$G,3,FALSE),""))</f>
        <v/>
      </c>
      <c r="G933" s="51"/>
      <c r="H933" s="52" t="str">
        <f>IF(D933="","",VLOOKUP(D933,'Product Master'!$B:$F,5,FALSE))</f>
        <v/>
      </c>
      <c r="I933" s="52">
        <f>IFERROR(VLOOKUP(D933,'Product Master'!B:E,4,FALSE),0)</f>
        <v>0</v>
      </c>
      <c r="J933" s="53">
        <f>IFERROR(Table3[[#This Row],[QTY SOLD]]*Table3[[#This Row],[Selling Price]],0)</f>
        <v>0</v>
      </c>
      <c r="K933" s="50"/>
      <c r="L933" s="50">
        <f>Table3[[#This Row],[Total Sales]]-Table3[[#This Row],[Discount]]</f>
        <v>0</v>
      </c>
      <c r="M933" s="58">
        <f>Table3[[#This Row],[Net Sales]]-Table3[[#This Row],[Cost Price]]*Table3[[#This Row],[QTY SOLD]]</f>
        <v>0</v>
      </c>
      <c r="N933" s="25"/>
      <c r="O933" s="25"/>
      <c r="P933" s="25"/>
      <c r="Q933" s="25"/>
      <c r="R933" s="25"/>
      <c r="S933" s="25"/>
    </row>
    <row r="934" spans="1:19" x14ac:dyDescent="0.25">
      <c r="A934" s="65"/>
      <c r="B934" s="50"/>
      <c r="C934" s="50"/>
      <c r="D934" s="50"/>
      <c r="E934" s="50" t="str">
        <f>IF(D934="","",VLOOKUP(D934,'Product Master'!$B:$C,2,FALSE))</f>
        <v/>
      </c>
      <c r="F934" s="50" t="str">
        <f>IF(D934="","",IFERROR(VLOOKUP(D934,'Product Master'!$B:$G,3,FALSE),""))</f>
        <v/>
      </c>
      <c r="G934" s="51"/>
      <c r="H934" s="52" t="str">
        <f>IF(D934="","",VLOOKUP(D934,'Product Master'!$B:$F,5,FALSE))</f>
        <v/>
      </c>
      <c r="I934" s="52">
        <f>IFERROR(VLOOKUP(D934,'Product Master'!B:E,4,FALSE),0)</f>
        <v>0</v>
      </c>
      <c r="J934" s="53">
        <f>IFERROR(Table3[[#This Row],[QTY SOLD]]*Table3[[#This Row],[Selling Price]],0)</f>
        <v>0</v>
      </c>
      <c r="K934" s="50"/>
      <c r="L934" s="50">
        <f>Table3[[#This Row],[Total Sales]]-Table3[[#This Row],[Discount]]</f>
        <v>0</v>
      </c>
      <c r="M934" s="58">
        <f>Table3[[#This Row],[Net Sales]]-Table3[[#This Row],[Cost Price]]*Table3[[#This Row],[QTY SOLD]]</f>
        <v>0</v>
      </c>
      <c r="N934" s="25"/>
      <c r="O934" s="25"/>
      <c r="P934" s="25"/>
      <c r="Q934" s="25"/>
      <c r="R934" s="25"/>
      <c r="S934" s="25"/>
    </row>
    <row r="935" spans="1:19" x14ac:dyDescent="0.25">
      <c r="A935" s="65"/>
      <c r="B935" s="50"/>
      <c r="C935" s="50"/>
      <c r="D935" s="50"/>
      <c r="E935" s="50" t="str">
        <f>IF(D935="","",VLOOKUP(D935,'Product Master'!$B:$C,2,FALSE))</f>
        <v/>
      </c>
      <c r="F935" s="50" t="str">
        <f>IF(D935="","",IFERROR(VLOOKUP(D935,'Product Master'!$B:$G,3,FALSE),""))</f>
        <v/>
      </c>
      <c r="G935" s="51"/>
      <c r="H935" s="52" t="str">
        <f>IF(D935="","",VLOOKUP(D935,'Product Master'!$B:$F,5,FALSE))</f>
        <v/>
      </c>
      <c r="I935" s="52">
        <f>IFERROR(VLOOKUP(D935,'Product Master'!B:E,4,FALSE),0)</f>
        <v>0</v>
      </c>
      <c r="J935" s="53">
        <f>IFERROR(Table3[[#This Row],[QTY SOLD]]*Table3[[#This Row],[Selling Price]],0)</f>
        <v>0</v>
      </c>
      <c r="K935" s="50"/>
      <c r="L935" s="50">
        <f>Table3[[#This Row],[Total Sales]]-Table3[[#This Row],[Discount]]</f>
        <v>0</v>
      </c>
      <c r="M935" s="58">
        <f>Table3[[#This Row],[Net Sales]]-Table3[[#This Row],[Cost Price]]*Table3[[#This Row],[QTY SOLD]]</f>
        <v>0</v>
      </c>
      <c r="N935" s="25"/>
      <c r="O935" s="25"/>
      <c r="P935" s="25"/>
      <c r="Q935" s="25"/>
      <c r="R935" s="25"/>
      <c r="S935" s="25"/>
    </row>
    <row r="936" spans="1:19" x14ac:dyDescent="0.25">
      <c r="A936" s="65"/>
      <c r="B936" s="50"/>
      <c r="C936" s="50"/>
      <c r="D936" s="50"/>
      <c r="E936" s="50" t="str">
        <f>IF(D936="","",VLOOKUP(D936,'Product Master'!$B:$C,2,FALSE))</f>
        <v/>
      </c>
      <c r="F936" s="50" t="str">
        <f>IF(D936="","",IFERROR(VLOOKUP(D936,'Product Master'!$B:$G,3,FALSE),""))</f>
        <v/>
      </c>
      <c r="G936" s="51"/>
      <c r="H936" s="52" t="str">
        <f>IF(D936="","",VLOOKUP(D936,'Product Master'!$B:$F,5,FALSE))</f>
        <v/>
      </c>
      <c r="I936" s="52">
        <f>IFERROR(VLOOKUP(D936,'Product Master'!B:E,4,FALSE),0)</f>
        <v>0</v>
      </c>
      <c r="J936" s="53">
        <f>IFERROR(Table3[[#This Row],[QTY SOLD]]*Table3[[#This Row],[Selling Price]],0)</f>
        <v>0</v>
      </c>
      <c r="K936" s="50"/>
      <c r="L936" s="50">
        <f>Table3[[#This Row],[Total Sales]]-Table3[[#This Row],[Discount]]</f>
        <v>0</v>
      </c>
      <c r="M936" s="58">
        <f>Table3[[#This Row],[Net Sales]]-Table3[[#This Row],[Cost Price]]*Table3[[#This Row],[QTY SOLD]]</f>
        <v>0</v>
      </c>
      <c r="N936" s="25"/>
      <c r="O936" s="25"/>
      <c r="P936" s="25"/>
      <c r="Q936" s="25"/>
      <c r="R936" s="25"/>
      <c r="S936" s="25"/>
    </row>
    <row r="937" spans="1:19" x14ac:dyDescent="0.25">
      <c r="A937" s="65"/>
      <c r="B937" s="50"/>
      <c r="C937" s="50"/>
      <c r="D937" s="50"/>
      <c r="E937" s="50" t="str">
        <f>IF(D937="","",VLOOKUP(D937,'Product Master'!$B:$C,2,FALSE))</f>
        <v/>
      </c>
      <c r="F937" s="50" t="str">
        <f>IF(D937="","",IFERROR(VLOOKUP(D937,'Product Master'!$B:$G,3,FALSE),""))</f>
        <v/>
      </c>
      <c r="G937" s="51"/>
      <c r="H937" s="52" t="str">
        <f>IF(D937="","",VLOOKUP(D937,'Product Master'!$B:$F,5,FALSE))</f>
        <v/>
      </c>
      <c r="I937" s="52">
        <f>IFERROR(VLOOKUP(D937,'Product Master'!B:E,4,FALSE),0)</f>
        <v>0</v>
      </c>
      <c r="J937" s="53">
        <f>IFERROR(Table3[[#This Row],[QTY SOLD]]*Table3[[#This Row],[Selling Price]],0)</f>
        <v>0</v>
      </c>
      <c r="K937" s="50"/>
      <c r="L937" s="50">
        <f>Table3[[#This Row],[Total Sales]]-Table3[[#This Row],[Discount]]</f>
        <v>0</v>
      </c>
      <c r="M937" s="58">
        <f>Table3[[#This Row],[Net Sales]]-Table3[[#This Row],[Cost Price]]*Table3[[#This Row],[QTY SOLD]]</f>
        <v>0</v>
      </c>
      <c r="N937" s="25"/>
      <c r="O937" s="25"/>
      <c r="P937" s="25"/>
      <c r="Q937" s="25"/>
      <c r="R937" s="25"/>
      <c r="S937" s="25"/>
    </row>
    <row r="938" spans="1:19" x14ac:dyDescent="0.25">
      <c r="A938" s="65"/>
      <c r="B938" s="50"/>
      <c r="C938" s="50"/>
      <c r="D938" s="50"/>
      <c r="E938" s="50" t="str">
        <f>IF(D938="","",VLOOKUP(D938,'Product Master'!$B:$C,2,FALSE))</f>
        <v/>
      </c>
      <c r="F938" s="50" t="str">
        <f>IF(D938="","",IFERROR(VLOOKUP(D938,'Product Master'!$B:$G,3,FALSE),""))</f>
        <v/>
      </c>
      <c r="G938" s="51"/>
      <c r="H938" s="52" t="str">
        <f>IF(D938="","",VLOOKUP(D938,'Product Master'!$B:$F,5,FALSE))</f>
        <v/>
      </c>
      <c r="I938" s="52">
        <f>IFERROR(VLOOKUP(D938,'Product Master'!B:E,4,FALSE),0)</f>
        <v>0</v>
      </c>
      <c r="J938" s="53">
        <f>IFERROR(Table3[[#This Row],[QTY SOLD]]*Table3[[#This Row],[Selling Price]],0)</f>
        <v>0</v>
      </c>
      <c r="K938" s="50"/>
      <c r="L938" s="50">
        <f>Table3[[#This Row],[Total Sales]]-Table3[[#This Row],[Discount]]</f>
        <v>0</v>
      </c>
      <c r="M938" s="58">
        <f>Table3[[#This Row],[Net Sales]]-Table3[[#This Row],[Cost Price]]*Table3[[#This Row],[QTY SOLD]]</f>
        <v>0</v>
      </c>
      <c r="N938" s="25"/>
      <c r="O938" s="25"/>
      <c r="P938" s="25"/>
      <c r="Q938" s="25"/>
      <c r="R938" s="25"/>
      <c r="S938" s="25"/>
    </row>
    <row r="939" spans="1:19" x14ac:dyDescent="0.25">
      <c r="A939" s="65"/>
      <c r="B939" s="50"/>
      <c r="C939" s="50"/>
      <c r="D939" s="50"/>
      <c r="E939" s="50" t="str">
        <f>IF(D939="","",VLOOKUP(D939,'Product Master'!$B:$C,2,FALSE))</f>
        <v/>
      </c>
      <c r="F939" s="50" t="str">
        <f>IF(D939="","",IFERROR(VLOOKUP(D939,'Product Master'!$B:$G,3,FALSE),""))</f>
        <v/>
      </c>
      <c r="G939" s="51"/>
      <c r="H939" s="52" t="str">
        <f>IF(D939="","",VLOOKUP(D939,'Product Master'!$B:$F,5,FALSE))</f>
        <v/>
      </c>
      <c r="I939" s="52">
        <f>IFERROR(VLOOKUP(D939,'Product Master'!B:E,4,FALSE),0)</f>
        <v>0</v>
      </c>
      <c r="J939" s="53">
        <f>IFERROR(Table3[[#This Row],[QTY SOLD]]*Table3[[#This Row],[Selling Price]],0)</f>
        <v>0</v>
      </c>
      <c r="K939" s="50"/>
      <c r="L939" s="50">
        <f>Table3[[#This Row],[Total Sales]]-Table3[[#This Row],[Discount]]</f>
        <v>0</v>
      </c>
      <c r="M939" s="58">
        <f>Table3[[#This Row],[Net Sales]]-Table3[[#This Row],[Cost Price]]*Table3[[#This Row],[QTY SOLD]]</f>
        <v>0</v>
      </c>
      <c r="N939" s="25"/>
      <c r="O939" s="25"/>
      <c r="P939" s="25"/>
      <c r="Q939" s="25"/>
      <c r="R939" s="25"/>
      <c r="S939" s="25"/>
    </row>
    <row r="940" spans="1:19" x14ac:dyDescent="0.25">
      <c r="A940" s="65"/>
      <c r="B940" s="50"/>
      <c r="C940" s="50"/>
      <c r="D940" s="50"/>
      <c r="E940" s="50" t="str">
        <f>IF(D940="","",VLOOKUP(D940,'Product Master'!$B:$C,2,FALSE))</f>
        <v/>
      </c>
      <c r="F940" s="50" t="str">
        <f>IF(D940="","",IFERROR(VLOOKUP(D940,'Product Master'!$B:$G,3,FALSE),""))</f>
        <v/>
      </c>
      <c r="G940" s="51"/>
      <c r="H940" s="52" t="str">
        <f>IF(D940="","",VLOOKUP(D940,'Product Master'!$B:$F,5,FALSE))</f>
        <v/>
      </c>
      <c r="I940" s="52">
        <f>IFERROR(VLOOKUP(D940,'Product Master'!B:E,4,FALSE),0)</f>
        <v>0</v>
      </c>
      <c r="J940" s="53">
        <f>IFERROR(Table3[[#This Row],[QTY SOLD]]*Table3[[#This Row],[Selling Price]],0)</f>
        <v>0</v>
      </c>
      <c r="K940" s="50"/>
      <c r="L940" s="50">
        <f>Table3[[#This Row],[Total Sales]]-Table3[[#This Row],[Discount]]</f>
        <v>0</v>
      </c>
      <c r="M940" s="58">
        <f>Table3[[#This Row],[Net Sales]]-Table3[[#This Row],[Cost Price]]*Table3[[#This Row],[QTY SOLD]]</f>
        <v>0</v>
      </c>
      <c r="N940" s="25"/>
      <c r="O940" s="25"/>
      <c r="P940" s="25"/>
      <c r="Q940" s="25"/>
      <c r="R940" s="25"/>
      <c r="S940" s="25"/>
    </row>
    <row r="941" spans="1:19" x14ac:dyDescent="0.25">
      <c r="A941" s="65"/>
      <c r="B941" s="50"/>
      <c r="C941" s="50"/>
      <c r="D941" s="50"/>
      <c r="E941" s="50" t="str">
        <f>IF(D941="","",VLOOKUP(D941,'Product Master'!$B:$C,2,FALSE))</f>
        <v/>
      </c>
      <c r="F941" s="50" t="str">
        <f>IF(D941="","",IFERROR(VLOOKUP(D941,'Product Master'!$B:$G,3,FALSE),""))</f>
        <v/>
      </c>
      <c r="G941" s="51"/>
      <c r="H941" s="52" t="str">
        <f>IF(D941="","",VLOOKUP(D941,'Product Master'!$B:$F,5,FALSE))</f>
        <v/>
      </c>
      <c r="I941" s="52">
        <f>IFERROR(VLOOKUP(D941,'Product Master'!B:E,4,FALSE),0)</f>
        <v>0</v>
      </c>
      <c r="J941" s="53">
        <f>IFERROR(Table3[[#This Row],[QTY SOLD]]*Table3[[#This Row],[Selling Price]],0)</f>
        <v>0</v>
      </c>
      <c r="K941" s="50"/>
      <c r="L941" s="50">
        <f>Table3[[#This Row],[Total Sales]]-Table3[[#This Row],[Discount]]</f>
        <v>0</v>
      </c>
      <c r="M941" s="58">
        <f>Table3[[#This Row],[Net Sales]]-Table3[[#This Row],[Cost Price]]*Table3[[#This Row],[QTY SOLD]]</f>
        <v>0</v>
      </c>
      <c r="N941" s="25"/>
      <c r="O941" s="25"/>
      <c r="P941" s="25"/>
      <c r="Q941" s="25"/>
      <c r="R941" s="25"/>
      <c r="S941" s="25"/>
    </row>
    <row r="942" spans="1:19" x14ac:dyDescent="0.25">
      <c r="A942" s="65"/>
      <c r="B942" s="50"/>
      <c r="C942" s="50"/>
      <c r="D942" s="50"/>
      <c r="E942" s="50" t="str">
        <f>IF(D942="","",VLOOKUP(D942,'Product Master'!$B:$C,2,FALSE))</f>
        <v/>
      </c>
      <c r="F942" s="50" t="str">
        <f>IF(D942="","",IFERROR(VLOOKUP(D942,'Product Master'!$B:$G,3,FALSE),""))</f>
        <v/>
      </c>
      <c r="G942" s="51"/>
      <c r="H942" s="52" t="str">
        <f>IF(D942="","",VLOOKUP(D942,'Product Master'!$B:$F,5,FALSE))</f>
        <v/>
      </c>
      <c r="I942" s="52">
        <f>IFERROR(VLOOKUP(D942,'Product Master'!B:E,4,FALSE),0)</f>
        <v>0</v>
      </c>
      <c r="J942" s="53">
        <f>IFERROR(Table3[[#This Row],[QTY SOLD]]*Table3[[#This Row],[Selling Price]],0)</f>
        <v>0</v>
      </c>
      <c r="K942" s="50"/>
      <c r="L942" s="50">
        <f>Table3[[#This Row],[Total Sales]]-Table3[[#This Row],[Discount]]</f>
        <v>0</v>
      </c>
      <c r="M942" s="58">
        <f>Table3[[#This Row],[Net Sales]]-Table3[[#This Row],[Cost Price]]*Table3[[#This Row],[QTY SOLD]]</f>
        <v>0</v>
      </c>
      <c r="N942" s="25"/>
      <c r="O942" s="25"/>
      <c r="P942" s="25"/>
      <c r="Q942" s="25"/>
      <c r="R942" s="25"/>
      <c r="S942" s="25"/>
    </row>
    <row r="943" spans="1:19" x14ac:dyDescent="0.25">
      <c r="A943" s="65"/>
      <c r="B943" s="50"/>
      <c r="C943" s="50"/>
      <c r="D943" s="50"/>
      <c r="E943" s="50" t="str">
        <f>IF(D943="","",VLOOKUP(D943,'Product Master'!$B:$C,2,FALSE))</f>
        <v/>
      </c>
      <c r="F943" s="50" t="str">
        <f>IF(D943="","",IFERROR(VLOOKUP(D943,'Product Master'!$B:$G,3,FALSE),""))</f>
        <v/>
      </c>
      <c r="G943" s="51"/>
      <c r="H943" s="52" t="str">
        <f>IF(D943="","",VLOOKUP(D943,'Product Master'!$B:$F,5,FALSE))</f>
        <v/>
      </c>
      <c r="I943" s="52">
        <f>IFERROR(VLOOKUP(D943,'Product Master'!B:E,4,FALSE),0)</f>
        <v>0</v>
      </c>
      <c r="J943" s="53">
        <f>IFERROR(Table3[[#This Row],[QTY SOLD]]*Table3[[#This Row],[Selling Price]],0)</f>
        <v>0</v>
      </c>
      <c r="K943" s="50"/>
      <c r="L943" s="50">
        <f>Table3[[#This Row],[Total Sales]]-Table3[[#This Row],[Discount]]</f>
        <v>0</v>
      </c>
      <c r="M943" s="58">
        <f>Table3[[#This Row],[Net Sales]]-Table3[[#This Row],[Cost Price]]*Table3[[#This Row],[QTY SOLD]]</f>
        <v>0</v>
      </c>
      <c r="N943" s="25"/>
      <c r="O943" s="25"/>
      <c r="P943" s="25"/>
      <c r="Q943" s="25"/>
      <c r="R943" s="25"/>
      <c r="S943" s="25"/>
    </row>
    <row r="944" spans="1:19" x14ac:dyDescent="0.25">
      <c r="A944" s="65"/>
      <c r="B944" s="50"/>
      <c r="C944" s="50"/>
      <c r="D944" s="50"/>
      <c r="E944" s="50" t="str">
        <f>IF(D944="","",VLOOKUP(D944,'Product Master'!$B:$C,2,FALSE))</f>
        <v/>
      </c>
      <c r="F944" s="50" t="str">
        <f>IF(D944="","",IFERROR(VLOOKUP(D944,'Product Master'!$B:$G,3,FALSE),""))</f>
        <v/>
      </c>
      <c r="G944" s="51"/>
      <c r="H944" s="52" t="str">
        <f>IF(D944="","",VLOOKUP(D944,'Product Master'!$B:$F,5,FALSE))</f>
        <v/>
      </c>
      <c r="I944" s="52">
        <f>IFERROR(VLOOKUP(D944,'Product Master'!B:E,4,FALSE),0)</f>
        <v>0</v>
      </c>
      <c r="J944" s="53">
        <f>IFERROR(Table3[[#This Row],[QTY SOLD]]*Table3[[#This Row],[Selling Price]],0)</f>
        <v>0</v>
      </c>
      <c r="K944" s="50"/>
      <c r="L944" s="50">
        <f>Table3[[#This Row],[Total Sales]]-Table3[[#This Row],[Discount]]</f>
        <v>0</v>
      </c>
      <c r="M944" s="58">
        <f>Table3[[#This Row],[Net Sales]]-Table3[[#This Row],[Cost Price]]*Table3[[#This Row],[QTY SOLD]]</f>
        <v>0</v>
      </c>
      <c r="N944" s="25"/>
      <c r="O944" s="25"/>
      <c r="P944" s="25"/>
      <c r="Q944" s="25"/>
      <c r="R944" s="25"/>
      <c r="S944" s="25"/>
    </row>
    <row r="945" spans="1:19" x14ac:dyDescent="0.25">
      <c r="A945" s="65"/>
      <c r="B945" s="50"/>
      <c r="C945" s="50"/>
      <c r="D945" s="50"/>
      <c r="E945" s="50" t="str">
        <f>IF(D945="","",VLOOKUP(D945,'Product Master'!$B:$C,2,FALSE))</f>
        <v/>
      </c>
      <c r="F945" s="50" t="str">
        <f>IF(D945="","",IFERROR(VLOOKUP(D945,'Product Master'!$B:$G,3,FALSE),""))</f>
        <v/>
      </c>
      <c r="G945" s="51"/>
      <c r="H945" s="52" t="str">
        <f>IF(D945="","",VLOOKUP(D945,'Product Master'!$B:$F,5,FALSE))</f>
        <v/>
      </c>
      <c r="I945" s="52">
        <f>IFERROR(VLOOKUP(D945,'Product Master'!B:E,4,FALSE),0)</f>
        <v>0</v>
      </c>
      <c r="J945" s="53">
        <f>IFERROR(Table3[[#This Row],[QTY SOLD]]*Table3[[#This Row],[Selling Price]],0)</f>
        <v>0</v>
      </c>
      <c r="K945" s="50"/>
      <c r="L945" s="50">
        <f>Table3[[#This Row],[Total Sales]]-Table3[[#This Row],[Discount]]</f>
        <v>0</v>
      </c>
      <c r="M945" s="58">
        <f>Table3[[#This Row],[Net Sales]]-Table3[[#This Row],[Cost Price]]*Table3[[#This Row],[QTY SOLD]]</f>
        <v>0</v>
      </c>
      <c r="N945" s="25"/>
      <c r="O945" s="25"/>
      <c r="P945" s="25"/>
      <c r="Q945" s="25"/>
      <c r="R945" s="25"/>
      <c r="S945" s="25"/>
    </row>
    <row r="946" spans="1:19" x14ac:dyDescent="0.25">
      <c r="A946" s="65"/>
      <c r="B946" s="50"/>
      <c r="C946" s="50"/>
      <c r="D946" s="50"/>
      <c r="E946" s="50" t="str">
        <f>IF(D946="","",VLOOKUP(D946,'Product Master'!$B:$C,2,FALSE))</f>
        <v/>
      </c>
      <c r="F946" s="50" t="str">
        <f>IF(D946="","",IFERROR(VLOOKUP(D946,'Product Master'!$B:$G,3,FALSE),""))</f>
        <v/>
      </c>
      <c r="G946" s="51"/>
      <c r="H946" s="52" t="str">
        <f>IF(D946="","",VLOOKUP(D946,'Product Master'!$B:$F,5,FALSE))</f>
        <v/>
      </c>
      <c r="I946" s="52">
        <f>IFERROR(VLOOKUP(D946,'Product Master'!B:E,4,FALSE),0)</f>
        <v>0</v>
      </c>
      <c r="J946" s="53">
        <f>IFERROR(Table3[[#This Row],[QTY SOLD]]*Table3[[#This Row],[Selling Price]],0)</f>
        <v>0</v>
      </c>
      <c r="K946" s="50"/>
      <c r="L946" s="50">
        <f>Table3[[#This Row],[Total Sales]]-Table3[[#This Row],[Discount]]</f>
        <v>0</v>
      </c>
      <c r="M946" s="58">
        <f>Table3[[#This Row],[Net Sales]]-Table3[[#This Row],[Cost Price]]*Table3[[#This Row],[QTY SOLD]]</f>
        <v>0</v>
      </c>
      <c r="N946" s="25"/>
      <c r="O946" s="25"/>
      <c r="P946" s="25"/>
      <c r="Q946" s="25"/>
      <c r="R946" s="25"/>
      <c r="S946" s="25"/>
    </row>
    <row r="947" spans="1:19" x14ac:dyDescent="0.25">
      <c r="A947" s="65"/>
      <c r="B947" s="50"/>
      <c r="C947" s="50"/>
      <c r="D947" s="50"/>
      <c r="E947" s="50" t="str">
        <f>IF(D947="","",VLOOKUP(D947,'Product Master'!$B:$C,2,FALSE))</f>
        <v/>
      </c>
      <c r="F947" s="50" t="str">
        <f>IF(D947="","",IFERROR(VLOOKUP(D947,'Product Master'!$B:$G,3,FALSE),""))</f>
        <v/>
      </c>
      <c r="G947" s="51"/>
      <c r="H947" s="52" t="str">
        <f>IF(D947="","",VLOOKUP(D947,'Product Master'!$B:$F,5,FALSE))</f>
        <v/>
      </c>
      <c r="I947" s="52">
        <f>IFERROR(VLOOKUP(D947,'Product Master'!B:E,4,FALSE),0)</f>
        <v>0</v>
      </c>
      <c r="J947" s="53">
        <f>IFERROR(Table3[[#This Row],[QTY SOLD]]*Table3[[#This Row],[Selling Price]],0)</f>
        <v>0</v>
      </c>
      <c r="K947" s="50"/>
      <c r="L947" s="50">
        <f>Table3[[#This Row],[Total Sales]]-Table3[[#This Row],[Discount]]</f>
        <v>0</v>
      </c>
      <c r="M947" s="58">
        <f>Table3[[#This Row],[Net Sales]]-Table3[[#This Row],[Cost Price]]*Table3[[#This Row],[QTY SOLD]]</f>
        <v>0</v>
      </c>
      <c r="N947" s="25"/>
      <c r="O947" s="25"/>
      <c r="P947" s="25"/>
      <c r="Q947" s="25"/>
      <c r="R947" s="25"/>
      <c r="S947" s="25"/>
    </row>
    <row r="948" spans="1:19" x14ac:dyDescent="0.25">
      <c r="A948" s="65"/>
      <c r="B948" s="50"/>
      <c r="C948" s="50"/>
      <c r="D948" s="50"/>
      <c r="E948" s="50" t="str">
        <f>IF(D948="","",VLOOKUP(D948,'Product Master'!$B:$C,2,FALSE))</f>
        <v/>
      </c>
      <c r="F948" s="50" t="str">
        <f>IF(D948="","",IFERROR(VLOOKUP(D948,'Product Master'!$B:$G,3,FALSE),""))</f>
        <v/>
      </c>
      <c r="G948" s="51"/>
      <c r="H948" s="52" t="str">
        <f>IF(D948="","",VLOOKUP(D948,'Product Master'!$B:$F,5,FALSE))</f>
        <v/>
      </c>
      <c r="I948" s="52">
        <f>IFERROR(VLOOKUP(D948,'Product Master'!B:E,4,FALSE),0)</f>
        <v>0</v>
      </c>
      <c r="J948" s="53">
        <f>IFERROR(Table3[[#This Row],[QTY SOLD]]*Table3[[#This Row],[Selling Price]],0)</f>
        <v>0</v>
      </c>
      <c r="K948" s="50"/>
      <c r="L948" s="50">
        <f>Table3[[#This Row],[Total Sales]]-Table3[[#This Row],[Discount]]</f>
        <v>0</v>
      </c>
      <c r="M948" s="58">
        <f>Table3[[#This Row],[Net Sales]]-Table3[[#This Row],[Cost Price]]*Table3[[#This Row],[QTY SOLD]]</f>
        <v>0</v>
      </c>
      <c r="N948" s="25"/>
      <c r="O948" s="25"/>
      <c r="P948" s="25"/>
      <c r="Q948" s="25"/>
      <c r="R948" s="25"/>
      <c r="S948" s="25"/>
    </row>
    <row r="949" spans="1:19" x14ac:dyDescent="0.25">
      <c r="A949" s="65"/>
      <c r="B949" s="50"/>
      <c r="C949" s="50"/>
      <c r="D949" s="50"/>
      <c r="E949" s="50" t="str">
        <f>IF(D949="","",VLOOKUP(D949,'Product Master'!$B:$C,2,FALSE))</f>
        <v/>
      </c>
      <c r="F949" s="50" t="str">
        <f>IF(D949="","",IFERROR(VLOOKUP(D949,'Product Master'!$B:$G,3,FALSE),""))</f>
        <v/>
      </c>
      <c r="G949" s="51"/>
      <c r="H949" s="52" t="str">
        <f>IF(D949="","",VLOOKUP(D949,'Product Master'!$B:$F,5,FALSE))</f>
        <v/>
      </c>
      <c r="I949" s="52">
        <f>IFERROR(VLOOKUP(D949,'Product Master'!B:E,4,FALSE),0)</f>
        <v>0</v>
      </c>
      <c r="J949" s="53">
        <f>IFERROR(Table3[[#This Row],[QTY SOLD]]*Table3[[#This Row],[Selling Price]],0)</f>
        <v>0</v>
      </c>
      <c r="K949" s="50"/>
      <c r="L949" s="50">
        <f>Table3[[#This Row],[Total Sales]]-Table3[[#This Row],[Discount]]</f>
        <v>0</v>
      </c>
      <c r="M949" s="58">
        <f>Table3[[#This Row],[Net Sales]]-Table3[[#This Row],[Cost Price]]*Table3[[#This Row],[QTY SOLD]]</f>
        <v>0</v>
      </c>
      <c r="N949" s="25"/>
      <c r="O949" s="25"/>
      <c r="P949" s="25"/>
      <c r="Q949" s="25"/>
      <c r="R949" s="25"/>
      <c r="S949" s="25"/>
    </row>
    <row r="950" spans="1:19" x14ac:dyDescent="0.25">
      <c r="A950" s="65"/>
      <c r="B950" s="50"/>
      <c r="C950" s="50"/>
      <c r="D950" s="50"/>
      <c r="E950" s="50" t="str">
        <f>IF(D950="","",VLOOKUP(D950,'Product Master'!$B:$C,2,FALSE))</f>
        <v/>
      </c>
      <c r="F950" s="50" t="str">
        <f>IF(D950="","",IFERROR(VLOOKUP(D950,'Product Master'!$B:$G,3,FALSE),""))</f>
        <v/>
      </c>
      <c r="G950" s="51"/>
      <c r="H950" s="52" t="str">
        <f>IF(D950="","",VLOOKUP(D950,'Product Master'!$B:$F,5,FALSE))</f>
        <v/>
      </c>
      <c r="I950" s="52">
        <f>IFERROR(VLOOKUP(D950,'Product Master'!B:E,4,FALSE),0)</f>
        <v>0</v>
      </c>
      <c r="J950" s="53">
        <f>IFERROR(Table3[[#This Row],[QTY SOLD]]*Table3[[#This Row],[Selling Price]],0)</f>
        <v>0</v>
      </c>
      <c r="K950" s="50"/>
      <c r="L950" s="50">
        <f>Table3[[#This Row],[Total Sales]]-Table3[[#This Row],[Discount]]</f>
        <v>0</v>
      </c>
      <c r="M950" s="58">
        <f>Table3[[#This Row],[Net Sales]]-Table3[[#This Row],[Cost Price]]*Table3[[#This Row],[QTY SOLD]]</f>
        <v>0</v>
      </c>
      <c r="N950" s="25"/>
      <c r="O950" s="25"/>
      <c r="P950" s="25"/>
      <c r="Q950" s="25"/>
      <c r="R950" s="25"/>
      <c r="S950" s="25"/>
    </row>
    <row r="951" spans="1:19" x14ac:dyDescent="0.25">
      <c r="A951" s="65"/>
      <c r="B951" s="50"/>
      <c r="C951" s="50"/>
      <c r="D951" s="50"/>
      <c r="E951" s="50" t="str">
        <f>IF(D951="","",VLOOKUP(D951,'Product Master'!$B:$C,2,FALSE))</f>
        <v/>
      </c>
      <c r="F951" s="50" t="str">
        <f>IF(D951="","",IFERROR(VLOOKUP(D951,'Product Master'!$B:$G,3,FALSE),""))</f>
        <v/>
      </c>
      <c r="G951" s="51"/>
      <c r="H951" s="52" t="str">
        <f>IF(D951="","",VLOOKUP(D951,'Product Master'!$B:$F,5,FALSE))</f>
        <v/>
      </c>
      <c r="I951" s="52">
        <f>IFERROR(VLOOKUP(D951,'Product Master'!B:E,4,FALSE),0)</f>
        <v>0</v>
      </c>
      <c r="J951" s="53">
        <f>IFERROR(Table3[[#This Row],[QTY SOLD]]*Table3[[#This Row],[Selling Price]],0)</f>
        <v>0</v>
      </c>
      <c r="K951" s="50"/>
      <c r="L951" s="50">
        <f>Table3[[#This Row],[Total Sales]]-Table3[[#This Row],[Discount]]</f>
        <v>0</v>
      </c>
      <c r="M951" s="58">
        <f>Table3[[#This Row],[Net Sales]]-Table3[[#This Row],[Cost Price]]*Table3[[#This Row],[QTY SOLD]]</f>
        <v>0</v>
      </c>
      <c r="N951" s="25"/>
      <c r="O951" s="25"/>
      <c r="P951" s="25"/>
      <c r="Q951" s="25"/>
      <c r="R951" s="25"/>
      <c r="S951" s="25"/>
    </row>
    <row r="952" spans="1:19" x14ac:dyDescent="0.25">
      <c r="A952" s="65"/>
      <c r="B952" s="50"/>
      <c r="C952" s="50"/>
      <c r="D952" s="50"/>
      <c r="E952" s="50" t="str">
        <f>IF(D952="","",VLOOKUP(D952,'Product Master'!$B:$C,2,FALSE))</f>
        <v/>
      </c>
      <c r="F952" s="50" t="str">
        <f>IF(D952="","",IFERROR(VLOOKUP(D952,'Product Master'!$B:$G,3,FALSE),""))</f>
        <v/>
      </c>
      <c r="G952" s="51"/>
      <c r="H952" s="52" t="str">
        <f>IF(D952="","",VLOOKUP(D952,'Product Master'!$B:$F,5,FALSE))</f>
        <v/>
      </c>
      <c r="I952" s="52">
        <f>IFERROR(VLOOKUP(D952,'Product Master'!B:E,4,FALSE),0)</f>
        <v>0</v>
      </c>
      <c r="J952" s="53">
        <f>IFERROR(Table3[[#This Row],[QTY SOLD]]*Table3[[#This Row],[Selling Price]],0)</f>
        <v>0</v>
      </c>
      <c r="K952" s="50"/>
      <c r="L952" s="50">
        <f>Table3[[#This Row],[Total Sales]]-Table3[[#This Row],[Discount]]</f>
        <v>0</v>
      </c>
      <c r="M952" s="58">
        <f>Table3[[#This Row],[Net Sales]]-Table3[[#This Row],[Cost Price]]*Table3[[#This Row],[QTY SOLD]]</f>
        <v>0</v>
      </c>
      <c r="N952" s="25"/>
      <c r="O952" s="25"/>
      <c r="P952" s="25"/>
      <c r="Q952" s="25"/>
      <c r="R952" s="25"/>
      <c r="S952" s="25"/>
    </row>
    <row r="953" spans="1:19" x14ac:dyDescent="0.25">
      <c r="A953" s="65"/>
      <c r="B953" s="50"/>
      <c r="C953" s="50"/>
      <c r="D953" s="50"/>
      <c r="E953" s="50" t="str">
        <f>IF(D953="","",VLOOKUP(D953,'Product Master'!$B:$C,2,FALSE))</f>
        <v/>
      </c>
      <c r="F953" s="50" t="str">
        <f>IF(D953="","",IFERROR(VLOOKUP(D953,'Product Master'!$B:$G,3,FALSE),""))</f>
        <v/>
      </c>
      <c r="G953" s="51"/>
      <c r="H953" s="52" t="str">
        <f>IF(D953="","",VLOOKUP(D953,'Product Master'!$B:$F,5,FALSE))</f>
        <v/>
      </c>
      <c r="I953" s="52">
        <f>IFERROR(VLOOKUP(D953,'Product Master'!B:E,4,FALSE),0)</f>
        <v>0</v>
      </c>
      <c r="J953" s="53">
        <f>IFERROR(Table3[[#This Row],[QTY SOLD]]*Table3[[#This Row],[Selling Price]],0)</f>
        <v>0</v>
      </c>
      <c r="K953" s="50"/>
      <c r="L953" s="50">
        <f>Table3[[#This Row],[Total Sales]]-Table3[[#This Row],[Discount]]</f>
        <v>0</v>
      </c>
      <c r="M953" s="58">
        <f>Table3[[#This Row],[Net Sales]]-Table3[[#This Row],[Cost Price]]*Table3[[#This Row],[QTY SOLD]]</f>
        <v>0</v>
      </c>
      <c r="N953" s="25"/>
      <c r="O953" s="25"/>
      <c r="P953" s="25"/>
      <c r="Q953" s="25"/>
      <c r="R953" s="25"/>
      <c r="S953" s="25"/>
    </row>
    <row r="954" spans="1:19" x14ac:dyDescent="0.25">
      <c r="A954" s="65"/>
      <c r="B954" s="50"/>
      <c r="C954" s="50"/>
      <c r="D954" s="50"/>
      <c r="E954" s="50" t="str">
        <f>IF(D954="","",VLOOKUP(D954,'Product Master'!$B:$C,2,FALSE))</f>
        <v/>
      </c>
      <c r="F954" s="50" t="str">
        <f>IF(D954="","",IFERROR(VLOOKUP(D954,'Product Master'!$B:$G,3,FALSE),""))</f>
        <v/>
      </c>
      <c r="G954" s="51"/>
      <c r="H954" s="52" t="str">
        <f>IF(D954="","",VLOOKUP(D954,'Product Master'!$B:$F,5,FALSE))</f>
        <v/>
      </c>
      <c r="I954" s="52">
        <f>IFERROR(VLOOKUP(D954,'Product Master'!B:E,4,FALSE),0)</f>
        <v>0</v>
      </c>
      <c r="J954" s="53">
        <f>IFERROR(Table3[[#This Row],[QTY SOLD]]*Table3[[#This Row],[Selling Price]],0)</f>
        <v>0</v>
      </c>
      <c r="K954" s="50"/>
      <c r="L954" s="50">
        <f>Table3[[#This Row],[Total Sales]]-Table3[[#This Row],[Discount]]</f>
        <v>0</v>
      </c>
      <c r="M954" s="58">
        <f>Table3[[#This Row],[Net Sales]]-Table3[[#This Row],[Cost Price]]*Table3[[#This Row],[QTY SOLD]]</f>
        <v>0</v>
      </c>
      <c r="N954" s="25"/>
      <c r="O954" s="25"/>
      <c r="P954" s="25"/>
      <c r="Q954" s="25"/>
      <c r="R954" s="25"/>
      <c r="S954" s="25"/>
    </row>
    <row r="955" spans="1:19" x14ac:dyDescent="0.25">
      <c r="A955" s="65"/>
      <c r="B955" s="50"/>
      <c r="C955" s="50"/>
      <c r="D955" s="50"/>
      <c r="E955" s="50" t="str">
        <f>IF(D955="","",VLOOKUP(D955,'Product Master'!$B:$C,2,FALSE))</f>
        <v/>
      </c>
      <c r="F955" s="50" t="str">
        <f>IF(D955="","",IFERROR(VLOOKUP(D955,'Product Master'!$B:$G,3,FALSE),""))</f>
        <v/>
      </c>
      <c r="G955" s="51"/>
      <c r="H955" s="52" t="str">
        <f>IF(D955="","",VLOOKUP(D955,'Product Master'!$B:$F,5,FALSE))</f>
        <v/>
      </c>
      <c r="I955" s="52">
        <f>IFERROR(VLOOKUP(D955,'Product Master'!B:E,4,FALSE),0)</f>
        <v>0</v>
      </c>
      <c r="J955" s="53">
        <f>IFERROR(Table3[[#This Row],[QTY SOLD]]*Table3[[#This Row],[Selling Price]],0)</f>
        <v>0</v>
      </c>
      <c r="K955" s="50"/>
      <c r="L955" s="50">
        <f>Table3[[#This Row],[Total Sales]]-Table3[[#This Row],[Discount]]</f>
        <v>0</v>
      </c>
      <c r="M955" s="58">
        <f>Table3[[#This Row],[Net Sales]]-Table3[[#This Row],[Cost Price]]*Table3[[#This Row],[QTY SOLD]]</f>
        <v>0</v>
      </c>
      <c r="N955" s="25"/>
      <c r="O955" s="25"/>
      <c r="P955" s="25"/>
      <c r="Q955" s="25"/>
      <c r="R955" s="25"/>
      <c r="S955" s="25"/>
    </row>
    <row r="956" spans="1:19" x14ac:dyDescent="0.25">
      <c r="A956" s="65"/>
      <c r="B956" s="50"/>
      <c r="C956" s="50"/>
      <c r="D956" s="50"/>
      <c r="E956" s="50" t="str">
        <f>IF(D956="","",VLOOKUP(D956,'Product Master'!$B:$C,2,FALSE))</f>
        <v/>
      </c>
      <c r="F956" s="50" t="str">
        <f>IF(D956="","",IFERROR(VLOOKUP(D956,'Product Master'!$B:$G,3,FALSE),""))</f>
        <v/>
      </c>
      <c r="G956" s="51"/>
      <c r="H956" s="52" t="str">
        <f>IF(D956="","",VLOOKUP(D956,'Product Master'!$B:$F,5,FALSE))</f>
        <v/>
      </c>
      <c r="I956" s="52">
        <f>IFERROR(VLOOKUP(D956,'Product Master'!B:E,4,FALSE),0)</f>
        <v>0</v>
      </c>
      <c r="J956" s="53">
        <f>IFERROR(Table3[[#This Row],[QTY SOLD]]*Table3[[#This Row],[Selling Price]],0)</f>
        <v>0</v>
      </c>
      <c r="K956" s="50"/>
      <c r="L956" s="50">
        <f>Table3[[#This Row],[Total Sales]]-Table3[[#This Row],[Discount]]</f>
        <v>0</v>
      </c>
      <c r="M956" s="58">
        <f>Table3[[#This Row],[Net Sales]]-Table3[[#This Row],[Cost Price]]*Table3[[#This Row],[QTY SOLD]]</f>
        <v>0</v>
      </c>
      <c r="N956" s="25"/>
      <c r="O956" s="25"/>
      <c r="P956" s="25"/>
      <c r="Q956" s="25"/>
      <c r="R956" s="25"/>
      <c r="S956" s="25"/>
    </row>
    <row r="957" spans="1:19" x14ac:dyDescent="0.25">
      <c r="A957" s="65"/>
      <c r="B957" s="50"/>
      <c r="C957" s="50"/>
      <c r="D957" s="50"/>
      <c r="E957" s="50" t="str">
        <f>IF(D957="","",VLOOKUP(D957,'Product Master'!$B:$C,2,FALSE))</f>
        <v/>
      </c>
      <c r="F957" s="50" t="str">
        <f>IF(D957="","",IFERROR(VLOOKUP(D957,'Product Master'!$B:$G,3,FALSE),""))</f>
        <v/>
      </c>
      <c r="G957" s="51"/>
      <c r="H957" s="52" t="str">
        <f>IF(D957="","",VLOOKUP(D957,'Product Master'!$B:$F,5,FALSE))</f>
        <v/>
      </c>
      <c r="I957" s="52">
        <f>IFERROR(VLOOKUP(D957,'Product Master'!B:E,4,FALSE),0)</f>
        <v>0</v>
      </c>
      <c r="J957" s="53">
        <f>IFERROR(Table3[[#This Row],[QTY SOLD]]*Table3[[#This Row],[Selling Price]],0)</f>
        <v>0</v>
      </c>
      <c r="K957" s="50"/>
      <c r="L957" s="50">
        <f>Table3[[#This Row],[Total Sales]]-Table3[[#This Row],[Discount]]</f>
        <v>0</v>
      </c>
      <c r="M957" s="58">
        <f>Table3[[#This Row],[Net Sales]]-Table3[[#This Row],[Cost Price]]*Table3[[#This Row],[QTY SOLD]]</f>
        <v>0</v>
      </c>
      <c r="N957" s="25"/>
      <c r="O957" s="25"/>
      <c r="P957" s="25"/>
      <c r="Q957" s="25"/>
      <c r="R957" s="25"/>
      <c r="S957" s="25"/>
    </row>
    <row r="958" spans="1:19" x14ac:dyDescent="0.25">
      <c r="A958" s="65"/>
      <c r="B958" s="50"/>
      <c r="C958" s="50"/>
      <c r="D958" s="50"/>
      <c r="E958" s="50" t="str">
        <f>IF(D958="","",VLOOKUP(D958,'Product Master'!$B:$C,2,FALSE))</f>
        <v/>
      </c>
      <c r="F958" s="50" t="str">
        <f>IF(D958="","",IFERROR(VLOOKUP(D958,'Product Master'!$B:$G,3,FALSE),""))</f>
        <v/>
      </c>
      <c r="G958" s="51"/>
      <c r="H958" s="52" t="str">
        <f>IF(D958="","",VLOOKUP(D958,'Product Master'!$B:$F,5,FALSE))</f>
        <v/>
      </c>
      <c r="I958" s="52">
        <f>IFERROR(VLOOKUP(D958,'Product Master'!B:E,4,FALSE),0)</f>
        <v>0</v>
      </c>
      <c r="J958" s="53">
        <f>IFERROR(Table3[[#This Row],[QTY SOLD]]*Table3[[#This Row],[Selling Price]],0)</f>
        <v>0</v>
      </c>
      <c r="K958" s="50"/>
      <c r="L958" s="50">
        <f>Table3[[#This Row],[Total Sales]]-Table3[[#This Row],[Discount]]</f>
        <v>0</v>
      </c>
      <c r="M958" s="58">
        <f>Table3[[#This Row],[Net Sales]]-Table3[[#This Row],[Cost Price]]*Table3[[#This Row],[QTY SOLD]]</f>
        <v>0</v>
      </c>
      <c r="N958" s="25"/>
      <c r="O958" s="25"/>
      <c r="P958" s="25"/>
      <c r="Q958" s="25"/>
      <c r="R958" s="25"/>
      <c r="S958" s="25"/>
    </row>
    <row r="959" spans="1:19" x14ac:dyDescent="0.25">
      <c r="A959" s="65"/>
      <c r="B959" s="50"/>
      <c r="C959" s="50"/>
      <c r="D959" s="50"/>
      <c r="E959" s="50" t="str">
        <f>IF(D959="","",VLOOKUP(D959,'Product Master'!$B:$C,2,FALSE))</f>
        <v/>
      </c>
      <c r="F959" s="50" t="str">
        <f>IF(D959="","",IFERROR(VLOOKUP(D959,'Product Master'!$B:$G,3,FALSE),""))</f>
        <v/>
      </c>
      <c r="G959" s="51"/>
      <c r="H959" s="52" t="str">
        <f>IF(D959="","",VLOOKUP(D959,'Product Master'!$B:$F,5,FALSE))</f>
        <v/>
      </c>
      <c r="I959" s="52">
        <f>IFERROR(VLOOKUP(D959,'Product Master'!B:E,4,FALSE),0)</f>
        <v>0</v>
      </c>
      <c r="J959" s="53">
        <f>IFERROR(Table3[[#This Row],[QTY SOLD]]*Table3[[#This Row],[Selling Price]],0)</f>
        <v>0</v>
      </c>
      <c r="K959" s="50"/>
      <c r="L959" s="50">
        <f>Table3[[#This Row],[Total Sales]]-Table3[[#This Row],[Discount]]</f>
        <v>0</v>
      </c>
      <c r="M959" s="58">
        <f>Table3[[#This Row],[Net Sales]]-Table3[[#This Row],[Cost Price]]*Table3[[#This Row],[QTY SOLD]]</f>
        <v>0</v>
      </c>
      <c r="N959" s="25"/>
      <c r="O959" s="25"/>
      <c r="P959" s="25"/>
      <c r="Q959" s="25"/>
      <c r="R959" s="25"/>
      <c r="S959" s="25"/>
    </row>
    <row r="960" spans="1:19" x14ac:dyDescent="0.25">
      <c r="A960" s="65"/>
      <c r="B960" s="50"/>
      <c r="C960" s="50"/>
      <c r="D960" s="50"/>
      <c r="E960" s="50" t="str">
        <f>IF(D960="","",VLOOKUP(D960,'Product Master'!$B:$C,2,FALSE))</f>
        <v/>
      </c>
      <c r="F960" s="50" t="str">
        <f>IF(D960="","",IFERROR(VLOOKUP(D960,'Product Master'!$B:$G,3,FALSE),""))</f>
        <v/>
      </c>
      <c r="G960" s="51"/>
      <c r="H960" s="52" t="str">
        <f>IF(D960="","",VLOOKUP(D960,'Product Master'!$B:$F,5,FALSE))</f>
        <v/>
      </c>
      <c r="I960" s="52">
        <f>IFERROR(VLOOKUP(D960,'Product Master'!B:E,4,FALSE),0)</f>
        <v>0</v>
      </c>
      <c r="J960" s="53">
        <f>IFERROR(Table3[[#This Row],[QTY SOLD]]*Table3[[#This Row],[Selling Price]],0)</f>
        <v>0</v>
      </c>
      <c r="K960" s="50"/>
      <c r="L960" s="50">
        <f>Table3[[#This Row],[Total Sales]]-Table3[[#This Row],[Discount]]</f>
        <v>0</v>
      </c>
      <c r="M960" s="58">
        <f>Table3[[#This Row],[Net Sales]]-Table3[[#This Row],[Cost Price]]*Table3[[#This Row],[QTY SOLD]]</f>
        <v>0</v>
      </c>
      <c r="N960" s="25"/>
      <c r="O960" s="25"/>
      <c r="P960" s="25"/>
      <c r="Q960" s="25"/>
      <c r="R960" s="25"/>
      <c r="S960" s="25"/>
    </row>
    <row r="961" spans="1:19" x14ac:dyDescent="0.25">
      <c r="A961" s="65"/>
      <c r="B961" s="50"/>
      <c r="C961" s="50"/>
      <c r="D961" s="50"/>
      <c r="E961" s="50" t="str">
        <f>IF(D961="","",VLOOKUP(D961,'Product Master'!$B:$C,2,FALSE))</f>
        <v/>
      </c>
      <c r="F961" s="50" t="str">
        <f>IF(D961="","",IFERROR(VLOOKUP(D961,'Product Master'!$B:$G,3,FALSE),""))</f>
        <v/>
      </c>
      <c r="G961" s="51"/>
      <c r="H961" s="52" t="str">
        <f>IF(D961="","",VLOOKUP(D961,'Product Master'!$B:$F,5,FALSE))</f>
        <v/>
      </c>
      <c r="I961" s="52">
        <f>IFERROR(VLOOKUP(D961,'Product Master'!B:E,4,FALSE),0)</f>
        <v>0</v>
      </c>
      <c r="J961" s="53">
        <f>IFERROR(Table3[[#This Row],[QTY SOLD]]*Table3[[#This Row],[Selling Price]],0)</f>
        <v>0</v>
      </c>
      <c r="K961" s="50"/>
      <c r="L961" s="50">
        <f>Table3[[#This Row],[Total Sales]]-Table3[[#This Row],[Discount]]</f>
        <v>0</v>
      </c>
      <c r="M961" s="58">
        <f>Table3[[#This Row],[Net Sales]]-Table3[[#This Row],[Cost Price]]*Table3[[#This Row],[QTY SOLD]]</f>
        <v>0</v>
      </c>
      <c r="N961" s="25"/>
      <c r="O961" s="25"/>
      <c r="P961" s="25"/>
      <c r="Q961" s="25"/>
      <c r="R961" s="25"/>
      <c r="S961" s="25"/>
    </row>
    <row r="962" spans="1:19" x14ac:dyDescent="0.25">
      <c r="A962" s="65"/>
      <c r="B962" s="50"/>
      <c r="C962" s="50"/>
      <c r="D962" s="50"/>
      <c r="E962" s="50" t="str">
        <f>IF(D962="","",VLOOKUP(D962,'Product Master'!$B:$C,2,FALSE))</f>
        <v/>
      </c>
      <c r="F962" s="50" t="str">
        <f>IF(D962="","",IFERROR(VLOOKUP(D962,'Product Master'!$B:$G,3,FALSE),""))</f>
        <v/>
      </c>
      <c r="G962" s="51"/>
      <c r="H962" s="52" t="str">
        <f>IF(D962="","",VLOOKUP(D962,'Product Master'!$B:$F,5,FALSE))</f>
        <v/>
      </c>
      <c r="I962" s="52">
        <f>IFERROR(VLOOKUP(D962,'Product Master'!B:E,4,FALSE),0)</f>
        <v>0</v>
      </c>
      <c r="J962" s="53">
        <f>IFERROR(Table3[[#This Row],[QTY SOLD]]*Table3[[#This Row],[Selling Price]],0)</f>
        <v>0</v>
      </c>
      <c r="K962" s="50"/>
      <c r="L962" s="50">
        <f>Table3[[#This Row],[Total Sales]]-Table3[[#This Row],[Discount]]</f>
        <v>0</v>
      </c>
      <c r="M962" s="58">
        <f>Table3[[#This Row],[Net Sales]]-Table3[[#This Row],[Cost Price]]*Table3[[#This Row],[QTY SOLD]]</f>
        <v>0</v>
      </c>
      <c r="N962" s="25"/>
      <c r="O962" s="25"/>
      <c r="P962" s="25"/>
      <c r="Q962" s="25"/>
      <c r="R962" s="25"/>
      <c r="S962" s="25"/>
    </row>
    <row r="963" spans="1:19" x14ac:dyDescent="0.25">
      <c r="A963" s="65"/>
      <c r="B963" s="50"/>
      <c r="C963" s="50"/>
      <c r="D963" s="50"/>
      <c r="E963" s="50" t="str">
        <f>IF(D963="","",VLOOKUP(D963,'Product Master'!$B:$C,2,FALSE))</f>
        <v/>
      </c>
      <c r="F963" s="50" t="str">
        <f>IF(D963="","",IFERROR(VLOOKUP(D963,'Product Master'!$B:$G,3,FALSE),""))</f>
        <v/>
      </c>
      <c r="G963" s="51"/>
      <c r="H963" s="52" t="str">
        <f>IF(D963="","",VLOOKUP(D963,'Product Master'!$B:$F,5,FALSE))</f>
        <v/>
      </c>
      <c r="I963" s="52">
        <f>IFERROR(VLOOKUP(D963,'Product Master'!B:E,4,FALSE),0)</f>
        <v>0</v>
      </c>
      <c r="J963" s="53">
        <f>IFERROR(Table3[[#This Row],[QTY SOLD]]*Table3[[#This Row],[Selling Price]],0)</f>
        <v>0</v>
      </c>
      <c r="K963" s="50"/>
      <c r="L963" s="50">
        <f>Table3[[#This Row],[Total Sales]]-Table3[[#This Row],[Discount]]</f>
        <v>0</v>
      </c>
      <c r="M963" s="58">
        <f>Table3[[#This Row],[Net Sales]]-Table3[[#This Row],[Cost Price]]*Table3[[#This Row],[QTY SOLD]]</f>
        <v>0</v>
      </c>
      <c r="N963" s="25"/>
      <c r="O963" s="25"/>
      <c r="P963" s="25"/>
      <c r="Q963" s="25"/>
      <c r="R963" s="25"/>
      <c r="S963" s="25"/>
    </row>
    <row r="964" spans="1:19" x14ac:dyDescent="0.25">
      <c r="A964" s="65"/>
      <c r="B964" s="50"/>
      <c r="C964" s="50"/>
      <c r="D964" s="50"/>
      <c r="E964" s="50" t="str">
        <f>IF(D964="","",VLOOKUP(D964,'Product Master'!$B:$C,2,FALSE))</f>
        <v/>
      </c>
      <c r="F964" s="50" t="str">
        <f>IF(D964="","",IFERROR(VLOOKUP(D964,'Product Master'!$B:$G,3,FALSE),""))</f>
        <v/>
      </c>
      <c r="G964" s="51"/>
      <c r="H964" s="52" t="str">
        <f>IF(D964="","",VLOOKUP(D964,'Product Master'!$B:$F,5,FALSE))</f>
        <v/>
      </c>
      <c r="I964" s="52">
        <f>IFERROR(VLOOKUP(D964,'Product Master'!B:E,4,FALSE),0)</f>
        <v>0</v>
      </c>
      <c r="J964" s="53">
        <f>IFERROR(Table3[[#This Row],[QTY SOLD]]*Table3[[#This Row],[Selling Price]],0)</f>
        <v>0</v>
      </c>
      <c r="K964" s="50"/>
      <c r="L964" s="50">
        <f>Table3[[#This Row],[Total Sales]]-Table3[[#This Row],[Discount]]</f>
        <v>0</v>
      </c>
      <c r="M964" s="58">
        <f>Table3[[#This Row],[Net Sales]]-Table3[[#This Row],[Cost Price]]*Table3[[#This Row],[QTY SOLD]]</f>
        <v>0</v>
      </c>
      <c r="N964" s="25"/>
      <c r="O964" s="25"/>
      <c r="P964" s="25"/>
      <c r="Q964" s="25"/>
      <c r="R964" s="25"/>
      <c r="S964" s="25"/>
    </row>
    <row r="965" spans="1:19" x14ac:dyDescent="0.25">
      <c r="A965" s="65"/>
      <c r="B965" s="50"/>
      <c r="C965" s="50"/>
      <c r="D965" s="50"/>
      <c r="E965" s="50" t="str">
        <f>IF(D965="","",VLOOKUP(D965,'Product Master'!$B:$C,2,FALSE))</f>
        <v/>
      </c>
      <c r="F965" s="50" t="str">
        <f>IF(D965="","",IFERROR(VLOOKUP(D965,'Product Master'!$B:$G,3,FALSE),""))</f>
        <v/>
      </c>
      <c r="G965" s="51"/>
      <c r="H965" s="52" t="str">
        <f>IF(D965="","",VLOOKUP(D965,'Product Master'!$B:$F,5,FALSE))</f>
        <v/>
      </c>
      <c r="I965" s="52">
        <f>IFERROR(VLOOKUP(D965,'Product Master'!B:E,4,FALSE),0)</f>
        <v>0</v>
      </c>
      <c r="J965" s="53">
        <f>IFERROR(Table3[[#This Row],[QTY SOLD]]*Table3[[#This Row],[Selling Price]],0)</f>
        <v>0</v>
      </c>
      <c r="K965" s="50"/>
      <c r="L965" s="50">
        <f>Table3[[#This Row],[Total Sales]]-Table3[[#This Row],[Discount]]</f>
        <v>0</v>
      </c>
      <c r="M965" s="58">
        <f>Table3[[#This Row],[Net Sales]]-Table3[[#This Row],[Cost Price]]*Table3[[#This Row],[QTY SOLD]]</f>
        <v>0</v>
      </c>
      <c r="N965" s="25"/>
      <c r="O965" s="25"/>
      <c r="P965" s="25"/>
      <c r="Q965" s="25"/>
      <c r="R965" s="25"/>
      <c r="S965" s="25"/>
    </row>
    <row r="966" spans="1:19" x14ac:dyDescent="0.25">
      <c r="A966" s="65"/>
      <c r="B966" s="50"/>
      <c r="C966" s="50"/>
      <c r="D966" s="50"/>
      <c r="E966" s="50" t="str">
        <f>IF(D966="","",VLOOKUP(D966,'Product Master'!$B:$C,2,FALSE))</f>
        <v/>
      </c>
      <c r="F966" s="50" t="str">
        <f>IF(D966="","",IFERROR(VLOOKUP(D966,'Product Master'!$B:$G,3,FALSE),""))</f>
        <v/>
      </c>
      <c r="G966" s="51"/>
      <c r="H966" s="52" t="str">
        <f>IF(D966="","",VLOOKUP(D966,'Product Master'!$B:$F,5,FALSE))</f>
        <v/>
      </c>
      <c r="I966" s="52">
        <f>IFERROR(VLOOKUP(D966,'Product Master'!B:E,4,FALSE),0)</f>
        <v>0</v>
      </c>
      <c r="J966" s="53">
        <f>IFERROR(Table3[[#This Row],[QTY SOLD]]*Table3[[#This Row],[Selling Price]],0)</f>
        <v>0</v>
      </c>
      <c r="K966" s="50"/>
      <c r="L966" s="50">
        <f>Table3[[#This Row],[Total Sales]]-Table3[[#This Row],[Discount]]</f>
        <v>0</v>
      </c>
      <c r="M966" s="58">
        <f>Table3[[#This Row],[Net Sales]]-Table3[[#This Row],[Cost Price]]*Table3[[#This Row],[QTY SOLD]]</f>
        <v>0</v>
      </c>
      <c r="N966" s="25"/>
      <c r="O966" s="25"/>
      <c r="P966" s="25"/>
      <c r="Q966" s="25"/>
      <c r="R966" s="25"/>
      <c r="S966" s="25"/>
    </row>
    <row r="967" spans="1:19" x14ac:dyDescent="0.25">
      <c r="A967" s="65"/>
      <c r="B967" s="50"/>
      <c r="C967" s="50"/>
      <c r="D967" s="50"/>
      <c r="E967" s="50" t="str">
        <f>IF(D967="","",VLOOKUP(D967,'Product Master'!$B:$C,2,FALSE))</f>
        <v/>
      </c>
      <c r="F967" s="50" t="str">
        <f>IF(D967="","",IFERROR(VLOOKUP(D967,'Product Master'!$B:$G,3,FALSE),""))</f>
        <v/>
      </c>
      <c r="G967" s="51"/>
      <c r="H967" s="52" t="str">
        <f>IF(D967="","",VLOOKUP(D967,'Product Master'!$B:$F,5,FALSE))</f>
        <v/>
      </c>
      <c r="I967" s="52">
        <f>IFERROR(VLOOKUP(D967,'Product Master'!B:E,4,FALSE),0)</f>
        <v>0</v>
      </c>
      <c r="J967" s="53">
        <f>IFERROR(Table3[[#This Row],[QTY SOLD]]*Table3[[#This Row],[Selling Price]],0)</f>
        <v>0</v>
      </c>
      <c r="K967" s="50"/>
      <c r="L967" s="50">
        <f>Table3[[#This Row],[Total Sales]]-Table3[[#This Row],[Discount]]</f>
        <v>0</v>
      </c>
      <c r="M967" s="58">
        <f>Table3[[#This Row],[Net Sales]]-Table3[[#This Row],[Cost Price]]*Table3[[#This Row],[QTY SOLD]]</f>
        <v>0</v>
      </c>
      <c r="N967" s="25"/>
      <c r="O967" s="25"/>
      <c r="P967" s="25"/>
      <c r="Q967" s="25"/>
      <c r="R967" s="25"/>
      <c r="S967" s="25"/>
    </row>
    <row r="968" spans="1:19" x14ac:dyDescent="0.25">
      <c r="A968" s="65"/>
      <c r="B968" s="50"/>
      <c r="C968" s="50"/>
      <c r="D968" s="50"/>
      <c r="E968" s="50" t="str">
        <f>IF(D968="","",VLOOKUP(D968,'Product Master'!$B:$C,2,FALSE))</f>
        <v/>
      </c>
      <c r="F968" s="50" t="str">
        <f>IF(D968="","",IFERROR(VLOOKUP(D968,'Product Master'!$B:$G,3,FALSE),""))</f>
        <v/>
      </c>
      <c r="G968" s="51"/>
      <c r="H968" s="52" t="str">
        <f>IF(D968="","",VLOOKUP(D968,'Product Master'!$B:$F,5,FALSE))</f>
        <v/>
      </c>
      <c r="I968" s="52">
        <f>IFERROR(VLOOKUP(D968,'Product Master'!B:E,4,FALSE),0)</f>
        <v>0</v>
      </c>
      <c r="J968" s="53">
        <f>IFERROR(Table3[[#This Row],[QTY SOLD]]*Table3[[#This Row],[Selling Price]],0)</f>
        <v>0</v>
      </c>
      <c r="K968" s="50"/>
      <c r="L968" s="50">
        <f>Table3[[#This Row],[Total Sales]]-Table3[[#This Row],[Discount]]</f>
        <v>0</v>
      </c>
      <c r="M968" s="58">
        <f>Table3[[#This Row],[Net Sales]]-Table3[[#This Row],[Cost Price]]*Table3[[#This Row],[QTY SOLD]]</f>
        <v>0</v>
      </c>
      <c r="N968" s="25"/>
      <c r="O968" s="25"/>
      <c r="P968" s="25"/>
      <c r="Q968" s="25"/>
      <c r="R968" s="25"/>
      <c r="S968" s="25"/>
    </row>
    <row r="969" spans="1:19" x14ac:dyDescent="0.25">
      <c r="A969" s="65"/>
      <c r="B969" s="50"/>
      <c r="C969" s="50"/>
      <c r="D969" s="50"/>
      <c r="E969" s="50" t="str">
        <f>IF(D969="","",VLOOKUP(D969,'Product Master'!$B:$C,2,FALSE))</f>
        <v/>
      </c>
      <c r="F969" s="50" t="str">
        <f>IF(D969="","",IFERROR(VLOOKUP(D969,'Product Master'!$B:$G,3,FALSE),""))</f>
        <v/>
      </c>
      <c r="G969" s="51"/>
      <c r="H969" s="52" t="str">
        <f>IF(D969="","",VLOOKUP(D969,'Product Master'!$B:$F,5,FALSE))</f>
        <v/>
      </c>
      <c r="I969" s="52">
        <f>IFERROR(VLOOKUP(D969,'Product Master'!B:E,4,FALSE),0)</f>
        <v>0</v>
      </c>
      <c r="J969" s="53">
        <f>IFERROR(Table3[[#This Row],[QTY SOLD]]*Table3[[#This Row],[Selling Price]],0)</f>
        <v>0</v>
      </c>
      <c r="K969" s="50"/>
      <c r="L969" s="50">
        <f>Table3[[#This Row],[Total Sales]]-Table3[[#This Row],[Discount]]</f>
        <v>0</v>
      </c>
      <c r="M969" s="58">
        <f>Table3[[#This Row],[Net Sales]]-Table3[[#This Row],[Cost Price]]*Table3[[#This Row],[QTY SOLD]]</f>
        <v>0</v>
      </c>
      <c r="N969" s="25"/>
      <c r="O969" s="25"/>
      <c r="P969" s="25"/>
      <c r="Q969" s="25"/>
      <c r="R969" s="25"/>
      <c r="S969" s="25"/>
    </row>
    <row r="970" spans="1:19" x14ac:dyDescent="0.25">
      <c r="A970" s="65"/>
      <c r="B970" s="50"/>
      <c r="C970" s="50"/>
      <c r="D970" s="50"/>
      <c r="E970" s="50" t="str">
        <f>IF(D970="","",VLOOKUP(D970,'Product Master'!$B:$C,2,FALSE))</f>
        <v/>
      </c>
      <c r="F970" s="50" t="str">
        <f>IF(D970="","",IFERROR(VLOOKUP(D970,'Product Master'!$B:$G,3,FALSE),""))</f>
        <v/>
      </c>
      <c r="G970" s="51"/>
      <c r="H970" s="52" t="str">
        <f>IF(D970="","",VLOOKUP(D970,'Product Master'!$B:$F,5,FALSE))</f>
        <v/>
      </c>
      <c r="I970" s="52">
        <f>IFERROR(VLOOKUP(D970,'Product Master'!B:E,4,FALSE),0)</f>
        <v>0</v>
      </c>
      <c r="J970" s="53">
        <f>IFERROR(Table3[[#This Row],[QTY SOLD]]*Table3[[#This Row],[Selling Price]],0)</f>
        <v>0</v>
      </c>
      <c r="K970" s="50"/>
      <c r="L970" s="50">
        <f>Table3[[#This Row],[Total Sales]]-Table3[[#This Row],[Discount]]</f>
        <v>0</v>
      </c>
      <c r="M970" s="58">
        <f>Table3[[#This Row],[Net Sales]]-Table3[[#This Row],[Cost Price]]*Table3[[#This Row],[QTY SOLD]]</f>
        <v>0</v>
      </c>
      <c r="N970" s="25"/>
      <c r="O970" s="25"/>
      <c r="P970" s="25"/>
      <c r="Q970" s="25"/>
      <c r="R970" s="25"/>
      <c r="S970" s="25"/>
    </row>
    <row r="971" spans="1:19" x14ac:dyDescent="0.25">
      <c r="A971" s="65"/>
      <c r="B971" s="50"/>
      <c r="C971" s="50"/>
      <c r="D971" s="50"/>
      <c r="E971" s="50" t="str">
        <f>IF(D971="","",VLOOKUP(D971,'Product Master'!$B:$C,2,FALSE))</f>
        <v/>
      </c>
      <c r="F971" s="50" t="str">
        <f>IF(D971="","",IFERROR(VLOOKUP(D971,'Product Master'!$B:$G,3,FALSE),""))</f>
        <v/>
      </c>
      <c r="G971" s="51"/>
      <c r="H971" s="52" t="str">
        <f>IF(D971="","",VLOOKUP(D971,'Product Master'!$B:$F,5,FALSE))</f>
        <v/>
      </c>
      <c r="I971" s="52">
        <f>IFERROR(VLOOKUP(D971,'Product Master'!B:E,4,FALSE),0)</f>
        <v>0</v>
      </c>
      <c r="J971" s="53">
        <f>IFERROR(Table3[[#This Row],[QTY SOLD]]*Table3[[#This Row],[Selling Price]],0)</f>
        <v>0</v>
      </c>
      <c r="K971" s="50"/>
      <c r="L971" s="50">
        <f>Table3[[#This Row],[Total Sales]]-Table3[[#This Row],[Discount]]</f>
        <v>0</v>
      </c>
      <c r="M971" s="58">
        <f>Table3[[#This Row],[Net Sales]]-Table3[[#This Row],[Cost Price]]*Table3[[#This Row],[QTY SOLD]]</f>
        <v>0</v>
      </c>
      <c r="N971" s="25"/>
      <c r="O971" s="25"/>
      <c r="P971" s="25"/>
      <c r="Q971" s="25"/>
      <c r="R971" s="25"/>
      <c r="S971" s="25"/>
    </row>
    <row r="972" spans="1:19" x14ac:dyDescent="0.25">
      <c r="A972" s="65"/>
      <c r="B972" s="50"/>
      <c r="C972" s="50"/>
      <c r="D972" s="50"/>
      <c r="E972" s="50" t="str">
        <f>IF(D972="","",VLOOKUP(D972,'Product Master'!$B:$C,2,FALSE))</f>
        <v/>
      </c>
      <c r="F972" s="50" t="str">
        <f>IF(D972="","",IFERROR(VLOOKUP(D972,'Product Master'!$B:$G,3,FALSE),""))</f>
        <v/>
      </c>
      <c r="G972" s="51"/>
      <c r="H972" s="52" t="str">
        <f>IF(D972="","",VLOOKUP(D972,'Product Master'!$B:$F,5,FALSE))</f>
        <v/>
      </c>
      <c r="I972" s="52">
        <f>IFERROR(VLOOKUP(D972,'Product Master'!B:E,4,FALSE),0)</f>
        <v>0</v>
      </c>
      <c r="J972" s="53">
        <f>IFERROR(Table3[[#This Row],[QTY SOLD]]*Table3[[#This Row],[Selling Price]],0)</f>
        <v>0</v>
      </c>
      <c r="K972" s="50"/>
      <c r="L972" s="50">
        <f>Table3[[#This Row],[Total Sales]]-Table3[[#This Row],[Discount]]</f>
        <v>0</v>
      </c>
      <c r="M972" s="58">
        <f>Table3[[#This Row],[Net Sales]]-Table3[[#This Row],[Cost Price]]*Table3[[#This Row],[QTY SOLD]]</f>
        <v>0</v>
      </c>
      <c r="N972" s="25"/>
      <c r="O972" s="25"/>
      <c r="P972" s="25"/>
      <c r="Q972" s="25"/>
      <c r="R972" s="25"/>
      <c r="S972" s="25"/>
    </row>
    <row r="973" spans="1:19" x14ac:dyDescent="0.25">
      <c r="A973" s="65"/>
      <c r="B973" s="50"/>
      <c r="C973" s="50"/>
      <c r="D973" s="50"/>
      <c r="E973" s="50" t="str">
        <f>IF(D973="","",VLOOKUP(D973,'Product Master'!$B:$C,2,FALSE))</f>
        <v/>
      </c>
      <c r="F973" s="50" t="str">
        <f>IF(D973="","",IFERROR(VLOOKUP(D973,'Product Master'!$B:$G,3,FALSE),""))</f>
        <v/>
      </c>
      <c r="G973" s="51"/>
      <c r="H973" s="52" t="str">
        <f>IF(D973="","",VLOOKUP(D973,'Product Master'!$B:$F,5,FALSE))</f>
        <v/>
      </c>
      <c r="I973" s="52">
        <f>IFERROR(VLOOKUP(D973,'Product Master'!B:E,4,FALSE),0)</f>
        <v>0</v>
      </c>
      <c r="J973" s="53">
        <f>IFERROR(Table3[[#This Row],[QTY SOLD]]*Table3[[#This Row],[Selling Price]],0)</f>
        <v>0</v>
      </c>
      <c r="K973" s="50"/>
      <c r="L973" s="50">
        <f>Table3[[#This Row],[Total Sales]]-Table3[[#This Row],[Discount]]</f>
        <v>0</v>
      </c>
      <c r="M973" s="58">
        <f>Table3[[#This Row],[Net Sales]]-Table3[[#This Row],[Cost Price]]*Table3[[#This Row],[QTY SOLD]]</f>
        <v>0</v>
      </c>
      <c r="N973" s="25"/>
      <c r="O973" s="25"/>
      <c r="P973" s="25"/>
      <c r="Q973" s="25"/>
      <c r="R973" s="25"/>
      <c r="S973" s="25"/>
    </row>
    <row r="974" spans="1:19" x14ac:dyDescent="0.25">
      <c r="A974" s="65"/>
      <c r="B974" s="50"/>
      <c r="C974" s="50"/>
      <c r="D974" s="50"/>
      <c r="E974" s="50" t="str">
        <f>IF(D974="","",VLOOKUP(D974,'Product Master'!$B:$C,2,FALSE))</f>
        <v/>
      </c>
      <c r="F974" s="50" t="str">
        <f>IF(D974="","",IFERROR(VLOOKUP(D974,'Product Master'!$B:$G,3,FALSE),""))</f>
        <v/>
      </c>
      <c r="G974" s="51"/>
      <c r="H974" s="52" t="str">
        <f>IF(D974="","",VLOOKUP(D974,'Product Master'!$B:$F,5,FALSE))</f>
        <v/>
      </c>
      <c r="I974" s="52">
        <f>IFERROR(VLOOKUP(D974,'Product Master'!B:E,4,FALSE),0)</f>
        <v>0</v>
      </c>
      <c r="J974" s="53">
        <f>IFERROR(Table3[[#This Row],[QTY SOLD]]*Table3[[#This Row],[Selling Price]],0)</f>
        <v>0</v>
      </c>
      <c r="K974" s="50"/>
      <c r="L974" s="50">
        <f>Table3[[#This Row],[Total Sales]]-Table3[[#This Row],[Discount]]</f>
        <v>0</v>
      </c>
      <c r="M974" s="58">
        <f>Table3[[#This Row],[Net Sales]]-Table3[[#This Row],[Cost Price]]*Table3[[#This Row],[QTY SOLD]]</f>
        <v>0</v>
      </c>
      <c r="N974" s="25"/>
      <c r="O974" s="25"/>
      <c r="P974" s="25"/>
      <c r="Q974" s="25"/>
      <c r="R974" s="25"/>
      <c r="S974" s="25"/>
    </row>
    <row r="975" spans="1:19" x14ac:dyDescent="0.25">
      <c r="A975" s="65"/>
      <c r="B975" s="50"/>
      <c r="C975" s="50"/>
      <c r="D975" s="50"/>
      <c r="E975" s="50" t="str">
        <f>IF(D975="","",VLOOKUP(D975,'Product Master'!$B:$C,2,FALSE))</f>
        <v/>
      </c>
      <c r="F975" s="50" t="str">
        <f>IF(D975="","",IFERROR(VLOOKUP(D975,'Product Master'!$B:$G,3,FALSE),""))</f>
        <v/>
      </c>
      <c r="G975" s="51"/>
      <c r="H975" s="52" t="str">
        <f>IF(D975="","",VLOOKUP(D975,'Product Master'!$B:$F,5,FALSE))</f>
        <v/>
      </c>
      <c r="I975" s="52">
        <f>IFERROR(VLOOKUP(D975,'Product Master'!B:E,4,FALSE),0)</f>
        <v>0</v>
      </c>
      <c r="J975" s="53">
        <f>IFERROR(Table3[[#This Row],[QTY SOLD]]*Table3[[#This Row],[Selling Price]],0)</f>
        <v>0</v>
      </c>
      <c r="K975" s="50"/>
      <c r="L975" s="50">
        <f>Table3[[#This Row],[Total Sales]]-Table3[[#This Row],[Discount]]</f>
        <v>0</v>
      </c>
      <c r="M975" s="58">
        <f>Table3[[#This Row],[Net Sales]]-Table3[[#This Row],[Cost Price]]*Table3[[#This Row],[QTY SOLD]]</f>
        <v>0</v>
      </c>
      <c r="N975" s="25"/>
      <c r="O975" s="25"/>
      <c r="P975" s="25"/>
      <c r="Q975" s="25"/>
      <c r="R975" s="25"/>
      <c r="S975" s="25"/>
    </row>
    <row r="976" spans="1:19" x14ac:dyDescent="0.25">
      <c r="A976" s="65"/>
      <c r="B976" s="50"/>
      <c r="C976" s="50"/>
      <c r="D976" s="50"/>
      <c r="E976" s="50" t="str">
        <f>IF(D976="","",VLOOKUP(D976,'Product Master'!$B:$C,2,FALSE))</f>
        <v/>
      </c>
      <c r="F976" s="50" t="str">
        <f>IF(D976="","",IFERROR(VLOOKUP(D976,'Product Master'!$B:$G,3,FALSE),""))</f>
        <v/>
      </c>
      <c r="G976" s="51"/>
      <c r="H976" s="52" t="str">
        <f>IF(D976="","",VLOOKUP(D976,'Product Master'!$B:$F,5,FALSE))</f>
        <v/>
      </c>
      <c r="I976" s="52">
        <f>IFERROR(VLOOKUP(D976,'Product Master'!B:E,4,FALSE),0)</f>
        <v>0</v>
      </c>
      <c r="J976" s="53">
        <f>IFERROR(Table3[[#This Row],[QTY SOLD]]*Table3[[#This Row],[Selling Price]],0)</f>
        <v>0</v>
      </c>
      <c r="K976" s="50"/>
      <c r="L976" s="50">
        <f>Table3[[#This Row],[Total Sales]]-Table3[[#This Row],[Discount]]</f>
        <v>0</v>
      </c>
      <c r="M976" s="58">
        <f>Table3[[#This Row],[Net Sales]]-Table3[[#This Row],[Cost Price]]*Table3[[#This Row],[QTY SOLD]]</f>
        <v>0</v>
      </c>
      <c r="N976" s="25"/>
      <c r="O976" s="25"/>
      <c r="P976" s="25"/>
      <c r="Q976" s="25"/>
      <c r="R976" s="25"/>
      <c r="S976" s="25"/>
    </row>
    <row r="977" spans="1:19" x14ac:dyDescent="0.25">
      <c r="A977" s="65"/>
      <c r="B977" s="50"/>
      <c r="C977" s="50"/>
      <c r="D977" s="50"/>
      <c r="E977" s="50" t="str">
        <f>IF(D977="","",VLOOKUP(D977,'Product Master'!$B:$C,2,FALSE))</f>
        <v/>
      </c>
      <c r="F977" s="50" t="str">
        <f>IF(D977="","",IFERROR(VLOOKUP(D977,'Product Master'!$B:$G,3,FALSE),""))</f>
        <v/>
      </c>
      <c r="G977" s="51"/>
      <c r="H977" s="52" t="str">
        <f>IF(D977="","",VLOOKUP(D977,'Product Master'!$B:$F,5,FALSE))</f>
        <v/>
      </c>
      <c r="I977" s="52">
        <f>IFERROR(VLOOKUP(D977,'Product Master'!B:E,4,FALSE),0)</f>
        <v>0</v>
      </c>
      <c r="J977" s="53">
        <f>IFERROR(Table3[[#This Row],[QTY SOLD]]*Table3[[#This Row],[Selling Price]],0)</f>
        <v>0</v>
      </c>
      <c r="K977" s="50"/>
      <c r="L977" s="50">
        <f>Table3[[#This Row],[Total Sales]]-Table3[[#This Row],[Discount]]</f>
        <v>0</v>
      </c>
      <c r="M977" s="58">
        <f>Table3[[#This Row],[Net Sales]]-Table3[[#This Row],[Cost Price]]*Table3[[#This Row],[QTY SOLD]]</f>
        <v>0</v>
      </c>
      <c r="N977" s="25"/>
      <c r="O977" s="25"/>
      <c r="P977" s="25"/>
      <c r="Q977" s="25"/>
      <c r="R977" s="25"/>
      <c r="S977" s="25"/>
    </row>
    <row r="978" spans="1:19" x14ac:dyDescent="0.25">
      <c r="A978" s="65"/>
      <c r="B978" s="50"/>
      <c r="C978" s="50"/>
      <c r="D978" s="50"/>
      <c r="E978" s="50" t="str">
        <f>IF(D978="","",VLOOKUP(D978,'Product Master'!$B:$C,2,FALSE))</f>
        <v/>
      </c>
      <c r="F978" s="50" t="str">
        <f>IF(D978="","",IFERROR(VLOOKUP(D978,'Product Master'!$B:$G,3,FALSE),""))</f>
        <v/>
      </c>
      <c r="G978" s="51"/>
      <c r="H978" s="52" t="str">
        <f>IF(D978="","",VLOOKUP(D978,'Product Master'!$B:$F,5,FALSE))</f>
        <v/>
      </c>
      <c r="I978" s="52">
        <f>IFERROR(VLOOKUP(D978,'Product Master'!B:E,4,FALSE),0)</f>
        <v>0</v>
      </c>
      <c r="J978" s="53">
        <f>IFERROR(Table3[[#This Row],[QTY SOLD]]*Table3[[#This Row],[Selling Price]],0)</f>
        <v>0</v>
      </c>
      <c r="K978" s="50"/>
      <c r="L978" s="50">
        <f>Table3[[#This Row],[Total Sales]]-Table3[[#This Row],[Discount]]</f>
        <v>0</v>
      </c>
      <c r="M978" s="58">
        <f>Table3[[#This Row],[Net Sales]]-Table3[[#This Row],[Cost Price]]*Table3[[#This Row],[QTY SOLD]]</f>
        <v>0</v>
      </c>
      <c r="N978" s="25"/>
      <c r="O978" s="25"/>
      <c r="P978" s="25"/>
      <c r="Q978" s="25"/>
      <c r="R978" s="25"/>
      <c r="S978" s="25"/>
    </row>
    <row r="979" spans="1:19" x14ac:dyDescent="0.25">
      <c r="A979" s="65"/>
      <c r="B979" s="50"/>
      <c r="C979" s="50"/>
      <c r="D979" s="50"/>
      <c r="E979" s="50" t="str">
        <f>IF(D979="","",VLOOKUP(D979,'Product Master'!$B:$C,2,FALSE))</f>
        <v/>
      </c>
      <c r="F979" s="50" t="str">
        <f>IF(D979="","",IFERROR(VLOOKUP(D979,'Product Master'!$B:$G,3,FALSE),""))</f>
        <v/>
      </c>
      <c r="G979" s="51"/>
      <c r="H979" s="52" t="str">
        <f>IF(D979="","",VLOOKUP(D979,'Product Master'!$B:$F,5,FALSE))</f>
        <v/>
      </c>
      <c r="I979" s="52">
        <f>IFERROR(VLOOKUP(D979,'Product Master'!B:E,4,FALSE),0)</f>
        <v>0</v>
      </c>
      <c r="J979" s="53">
        <f>IFERROR(Table3[[#This Row],[QTY SOLD]]*Table3[[#This Row],[Selling Price]],0)</f>
        <v>0</v>
      </c>
      <c r="K979" s="50"/>
      <c r="L979" s="50">
        <f>Table3[[#This Row],[Total Sales]]-Table3[[#This Row],[Discount]]</f>
        <v>0</v>
      </c>
      <c r="M979" s="58">
        <f>Table3[[#This Row],[Net Sales]]-Table3[[#This Row],[Cost Price]]*Table3[[#This Row],[QTY SOLD]]</f>
        <v>0</v>
      </c>
      <c r="N979" s="25"/>
      <c r="O979" s="25"/>
      <c r="P979" s="25"/>
      <c r="Q979" s="25"/>
      <c r="R979" s="25"/>
      <c r="S979" s="25"/>
    </row>
    <row r="980" spans="1:19" x14ac:dyDescent="0.25">
      <c r="A980" s="65"/>
      <c r="B980" s="50"/>
      <c r="C980" s="50"/>
      <c r="D980" s="50"/>
      <c r="E980" s="50" t="str">
        <f>IF(D980="","",VLOOKUP(D980,'Product Master'!$B:$C,2,FALSE))</f>
        <v/>
      </c>
      <c r="F980" s="50" t="str">
        <f>IF(D980="","",IFERROR(VLOOKUP(D980,'Product Master'!$B:$G,3,FALSE),""))</f>
        <v/>
      </c>
      <c r="G980" s="51"/>
      <c r="H980" s="52" t="str">
        <f>IF(D980="","",VLOOKUP(D980,'Product Master'!$B:$F,5,FALSE))</f>
        <v/>
      </c>
      <c r="I980" s="52">
        <f>IFERROR(VLOOKUP(D980,'Product Master'!B:E,4,FALSE),0)</f>
        <v>0</v>
      </c>
      <c r="J980" s="53">
        <f>IFERROR(Table3[[#This Row],[QTY SOLD]]*Table3[[#This Row],[Selling Price]],0)</f>
        <v>0</v>
      </c>
      <c r="K980" s="50"/>
      <c r="L980" s="50">
        <f>Table3[[#This Row],[Total Sales]]-Table3[[#This Row],[Discount]]</f>
        <v>0</v>
      </c>
      <c r="M980" s="58">
        <f>Table3[[#This Row],[Net Sales]]-Table3[[#This Row],[Cost Price]]*Table3[[#This Row],[QTY SOLD]]</f>
        <v>0</v>
      </c>
      <c r="N980" s="25"/>
      <c r="O980" s="25"/>
      <c r="P980" s="25"/>
      <c r="Q980" s="25"/>
      <c r="R980" s="25"/>
      <c r="S980" s="25"/>
    </row>
    <row r="981" spans="1:19" x14ac:dyDescent="0.25">
      <c r="A981" s="65"/>
      <c r="B981" s="50"/>
      <c r="C981" s="50"/>
      <c r="D981" s="50"/>
      <c r="E981" s="50" t="str">
        <f>IF(D981="","",VLOOKUP(D981,'Product Master'!$B:$C,2,FALSE))</f>
        <v/>
      </c>
      <c r="F981" s="50" t="str">
        <f>IF(D981="","",IFERROR(VLOOKUP(D981,'Product Master'!$B:$G,3,FALSE),""))</f>
        <v/>
      </c>
      <c r="G981" s="51"/>
      <c r="H981" s="52" t="str">
        <f>IF(D981="","",VLOOKUP(D981,'Product Master'!$B:$F,5,FALSE))</f>
        <v/>
      </c>
      <c r="I981" s="52">
        <f>IFERROR(VLOOKUP(D981,'Product Master'!B:E,4,FALSE),0)</f>
        <v>0</v>
      </c>
      <c r="J981" s="53">
        <f>IFERROR(Table3[[#This Row],[QTY SOLD]]*Table3[[#This Row],[Selling Price]],0)</f>
        <v>0</v>
      </c>
      <c r="K981" s="50"/>
      <c r="L981" s="50">
        <f>Table3[[#This Row],[Total Sales]]-Table3[[#This Row],[Discount]]</f>
        <v>0</v>
      </c>
      <c r="M981" s="58">
        <f>Table3[[#This Row],[Net Sales]]-Table3[[#This Row],[Cost Price]]*Table3[[#This Row],[QTY SOLD]]</f>
        <v>0</v>
      </c>
      <c r="N981" s="25"/>
      <c r="O981" s="25"/>
      <c r="P981" s="25"/>
      <c r="Q981" s="25"/>
      <c r="R981" s="25"/>
      <c r="S981" s="25"/>
    </row>
    <row r="982" spans="1:19" x14ac:dyDescent="0.25">
      <c r="A982" s="65"/>
      <c r="B982" s="50"/>
      <c r="C982" s="50"/>
      <c r="D982" s="50"/>
      <c r="E982" s="50" t="str">
        <f>IF(D982="","",VLOOKUP(D982,'Product Master'!$B:$C,2,FALSE))</f>
        <v/>
      </c>
      <c r="F982" s="50" t="str">
        <f>IF(D982="","",IFERROR(VLOOKUP(D982,'Product Master'!$B:$G,3,FALSE),""))</f>
        <v/>
      </c>
      <c r="G982" s="51"/>
      <c r="H982" s="52" t="str">
        <f>IF(D982="","",VLOOKUP(D982,'Product Master'!$B:$F,5,FALSE))</f>
        <v/>
      </c>
      <c r="I982" s="52">
        <f>IFERROR(VLOOKUP(D982,'Product Master'!B:E,4,FALSE),0)</f>
        <v>0</v>
      </c>
      <c r="J982" s="53">
        <f>IFERROR(Table3[[#This Row],[QTY SOLD]]*Table3[[#This Row],[Selling Price]],0)</f>
        <v>0</v>
      </c>
      <c r="K982" s="50"/>
      <c r="L982" s="50">
        <f>Table3[[#This Row],[Total Sales]]-Table3[[#This Row],[Discount]]</f>
        <v>0</v>
      </c>
      <c r="M982" s="58">
        <f>Table3[[#This Row],[Net Sales]]-Table3[[#This Row],[Cost Price]]*Table3[[#This Row],[QTY SOLD]]</f>
        <v>0</v>
      </c>
      <c r="N982" s="25"/>
      <c r="O982" s="25"/>
      <c r="P982" s="25"/>
      <c r="Q982" s="25"/>
      <c r="R982" s="25"/>
      <c r="S982" s="25"/>
    </row>
    <row r="983" spans="1:19" x14ac:dyDescent="0.25">
      <c r="A983" s="65"/>
      <c r="B983" s="50"/>
      <c r="C983" s="50"/>
      <c r="D983" s="50"/>
      <c r="E983" s="50" t="str">
        <f>IF(D983="","",VLOOKUP(D983,'Product Master'!$B:$C,2,FALSE))</f>
        <v/>
      </c>
      <c r="F983" s="50" t="str">
        <f>IF(D983="","",IFERROR(VLOOKUP(D983,'Product Master'!$B:$G,3,FALSE),""))</f>
        <v/>
      </c>
      <c r="G983" s="51"/>
      <c r="H983" s="52" t="str">
        <f>IF(D983="","",VLOOKUP(D983,'Product Master'!$B:$F,5,FALSE))</f>
        <v/>
      </c>
      <c r="I983" s="52">
        <f>IFERROR(VLOOKUP(D983,'Product Master'!B:E,4,FALSE),0)</f>
        <v>0</v>
      </c>
      <c r="J983" s="53">
        <f>IFERROR(Table3[[#This Row],[QTY SOLD]]*Table3[[#This Row],[Selling Price]],0)</f>
        <v>0</v>
      </c>
      <c r="K983" s="50"/>
      <c r="L983" s="50">
        <f>Table3[[#This Row],[Total Sales]]-Table3[[#This Row],[Discount]]</f>
        <v>0</v>
      </c>
      <c r="M983" s="58">
        <f>Table3[[#This Row],[Net Sales]]-Table3[[#This Row],[Cost Price]]*Table3[[#This Row],[QTY SOLD]]</f>
        <v>0</v>
      </c>
      <c r="N983" s="25"/>
      <c r="O983" s="25"/>
      <c r="P983" s="25"/>
      <c r="Q983" s="25"/>
      <c r="R983" s="25"/>
      <c r="S983" s="25"/>
    </row>
    <row r="984" spans="1:19" x14ac:dyDescent="0.25">
      <c r="A984" s="65"/>
      <c r="B984" s="50"/>
      <c r="C984" s="50"/>
      <c r="D984" s="50"/>
      <c r="E984" s="50" t="str">
        <f>IF(D984="","",VLOOKUP(D984,'Product Master'!$B:$C,2,FALSE))</f>
        <v/>
      </c>
      <c r="F984" s="50" t="str">
        <f>IF(D984="","",IFERROR(VLOOKUP(D984,'Product Master'!$B:$G,3,FALSE),""))</f>
        <v/>
      </c>
      <c r="G984" s="51"/>
      <c r="H984" s="52" t="str">
        <f>IF(D984="","",VLOOKUP(D984,'Product Master'!$B:$F,5,FALSE))</f>
        <v/>
      </c>
      <c r="I984" s="52">
        <f>IFERROR(VLOOKUP(D984,'Product Master'!B:E,4,FALSE),0)</f>
        <v>0</v>
      </c>
      <c r="J984" s="53">
        <f>IFERROR(Table3[[#This Row],[QTY SOLD]]*Table3[[#This Row],[Selling Price]],0)</f>
        <v>0</v>
      </c>
      <c r="K984" s="50"/>
      <c r="L984" s="50">
        <f>Table3[[#This Row],[Total Sales]]-Table3[[#This Row],[Discount]]</f>
        <v>0</v>
      </c>
      <c r="M984" s="58">
        <f>Table3[[#This Row],[Net Sales]]-Table3[[#This Row],[Cost Price]]*Table3[[#This Row],[QTY SOLD]]</f>
        <v>0</v>
      </c>
      <c r="N984" s="25"/>
      <c r="O984" s="25"/>
      <c r="P984" s="25"/>
      <c r="Q984" s="25"/>
      <c r="R984" s="25"/>
      <c r="S984" s="25"/>
    </row>
    <row r="985" spans="1:19" x14ac:dyDescent="0.25">
      <c r="A985" s="65"/>
      <c r="B985" s="50"/>
      <c r="C985" s="50"/>
      <c r="D985" s="50"/>
      <c r="E985" s="50" t="str">
        <f>IF(D985="","",VLOOKUP(D985,'Product Master'!$B:$C,2,FALSE))</f>
        <v/>
      </c>
      <c r="F985" s="50" t="str">
        <f>IF(D985="","",IFERROR(VLOOKUP(D985,'Product Master'!$B:$G,3,FALSE),""))</f>
        <v/>
      </c>
      <c r="G985" s="51"/>
      <c r="H985" s="52" t="str">
        <f>IF(D985="","",VLOOKUP(D985,'Product Master'!$B:$F,5,FALSE))</f>
        <v/>
      </c>
      <c r="I985" s="52">
        <f>IFERROR(VLOOKUP(D985,'Product Master'!B:E,4,FALSE),0)</f>
        <v>0</v>
      </c>
      <c r="J985" s="53">
        <f>IFERROR(Table3[[#This Row],[QTY SOLD]]*Table3[[#This Row],[Selling Price]],0)</f>
        <v>0</v>
      </c>
      <c r="K985" s="50"/>
      <c r="L985" s="50">
        <f>Table3[[#This Row],[Total Sales]]-Table3[[#This Row],[Discount]]</f>
        <v>0</v>
      </c>
      <c r="M985" s="58">
        <f>Table3[[#This Row],[Net Sales]]-Table3[[#This Row],[Cost Price]]*Table3[[#This Row],[QTY SOLD]]</f>
        <v>0</v>
      </c>
      <c r="N985" s="25"/>
      <c r="O985" s="25"/>
      <c r="P985" s="25"/>
      <c r="Q985" s="25"/>
      <c r="R985" s="25"/>
      <c r="S985" s="25"/>
    </row>
    <row r="986" spans="1:19" x14ac:dyDescent="0.25">
      <c r="A986" s="65"/>
      <c r="B986" s="50"/>
      <c r="C986" s="50"/>
      <c r="D986" s="50"/>
      <c r="E986" s="50" t="str">
        <f>IF(D986="","",VLOOKUP(D986,'Product Master'!$B:$C,2,FALSE))</f>
        <v/>
      </c>
      <c r="F986" s="50" t="str">
        <f>IF(D986="","",IFERROR(VLOOKUP(D986,'Product Master'!$B:$G,3,FALSE),""))</f>
        <v/>
      </c>
      <c r="G986" s="51"/>
      <c r="H986" s="52" t="str">
        <f>IF(D986="","",VLOOKUP(D986,'Product Master'!$B:$F,5,FALSE))</f>
        <v/>
      </c>
      <c r="I986" s="52">
        <f>IFERROR(VLOOKUP(D986,'Product Master'!B:E,4,FALSE),0)</f>
        <v>0</v>
      </c>
      <c r="J986" s="53">
        <f>IFERROR(Table3[[#This Row],[QTY SOLD]]*Table3[[#This Row],[Selling Price]],0)</f>
        <v>0</v>
      </c>
      <c r="K986" s="50"/>
      <c r="L986" s="50">
        <f>Table3[[#This Row],[Total Sales]]-Table3[[#This Row],[Discount]]</f>
        <v>0</v>
      </c>
      <c r="M986" s="58">
        <f>Table3[[#This Row],[Net Sales]]-Table3[[#This Row],[Cost Price]]*Table3[[#This Row],[QTY SOLD]]</f>
        <v>0</v>
      </c>
      <c r="N986" s="25"/>
      <c r="O986" s="25"/>
      <c r="P986" s="25"/>
      <c r="Q986" s="25"/>
      <c r="R986" s="25"/>
      <c r="S986" s="25"/>
    </row>
    <row r="987" spans="1:19" x14ac:dyDescent="0.25">
      <c r="A987" s="65"/>
      <c r="B987" s="50"/>
      <c r="C987" s="50"/>
      <c r="D987" s="50"/>
      <c r="E987" s="50" t="str">
        <f>IF(D987="","",VLOOKUP(D987,'Product Master'!$B:$C,2,FALSE))</f>
        <v/>
      </c>
      <c r="F987" s="50" t="str">
        <f>IF(D987="","",IFERROR(VLOOKUP(D987,'Product Master'!$B:$G,3,FALSE),""))</f>
        <v/>
      </c>
      <c r="G987" s="51"/>
      <c r="H987" s="52" t="str">
        <f>IF(D987="","",VLOOKUP(D987,'Product Master'!$B:$F,5,FALSE))</f>
        <v/>
      </c>
      <c r="I987" s="52">
        <f>IFERROR(VLOOKUP(D987,'Product Master'!B:E,4,FALSE),0)</f>
        <v>0</v>
      </c>
      <c r="J987" s="53">
        <f>IFERROR(Table3[[#This Row],[QTY SOLD]]*Table3[[#This Row],[Selling Price]],0)</f>
        <v>0</v>
      </c>
      <c r="K987" s="50"/>
      <c r="L987" s="50">
        <f>Table3[[#This Row],[Total Sales]]-Table3[[#This Row],[Discount]]</f>
        <v>0</v>
      </c>
      <c r="M987" s="58">
        <f>Table3[[#This Row],[Net Sales]]-Table3[[#This Row],[Cost Price]]*Table3[[#This Row],[QTY SOLD]]</f>
        <v>0</v>
      </c>
      <c r="N987" s="25"/>
      <c r="O987" s="25"/>
      <c r="P987" s="25"/>
      <c r="Q987" s="25"/>
      <c r="R987" s="25"/>
      <c r="S987" s="25"/>
    </row>
    <row r="988" spans="1:19" x14ac:dyDescent="0.25">
      <c r="A988" s="65"/>
      <c r="B988" s="50"/>
      <c r="C988" s="50"/>
      <c r="D988" s="50"/>
      <c r="E988" s="50" t="str">
        <f>IF(D988="","",VLOOKUP(D988,'Product Master'!$B:$C,2,FALSE))</f>
        <v/>
      </c>
      <c r="F988" s="50" t="str">
        <f>IF(D988="","",IFERROR(VLOOKUP(D988,'Product Master'!$B:$G,3,FALSE),""))</f>
        <v/>
      </c>
      <c r="G988" s="51"/>
      <c r="H988" s="52" t="str">
        <f>IF(D988="","",VLOOKUP(D988,'Product Master'!$B:$F,5,FALSE))</f>
        <v/>
      </c>
      <c r="I988" s="52">
        <f>IFERROR(VLOOKUP(D988,'Product Master'!B:E,4,FALSE),0)</f>
        <v>0</v>
      </c>
      <c r="J988" s="53">
        <f>IFERROR(Table3[[#This Row],[QTY SOLD]]*Table3[[#This Row],[Selling Price]],0)</f>
        <v>0</v>
      </c>
      <c r="K988" s="50"/>
      <c r="L988" s="50">
        <f>Table3[[#This Row],[Total Sales]]-Table3[[#This Row],[Discount]]</f>
        <v>0</v>
      </c>
      <c r="M988" s="58">
        <f>Table3[[#This Row],[Net Sales]]-Table3[[#This Row],[Cost Price]]*Table3[[#This Row],[QTY SOLD]]</f>
        <v>0</v>
      </c>
      <c r="N988" s="25"/>
      <c r="O988" s="25"/>
      <c r="P988" s="25"/>
      <c r="Q988" s="25"/>
      <c r="R988" s="25"/>
      <c r="S988" s="25"/>
    </row>
    <row r="989" spans="1:19" x14ac:dyDescent="0.25">
      <c r="A989" s="65"/>
      <c r="B989" s="50"/>
      <c r="C989" s="50"/>
      <c r="D989" s="50"/>
      <c r="E989" s="50" t="str">
        <f>IF(D989="","",VLOOKUP(D989,'Product Master'!$B:$C,2,FALSE))</f>
        <v/>
      </c>
      <c r="F989" s="50" t="str">
        <f>IF(D989="","",IFERROR(VLOOKUP(D989,'Product Master'!$B:$G,3,FALSE),""))</f>
        <v/>
      </c>
      <c r="G989" s="51"/>
      <c r="H989" s="52" t="str">
        <f>IF(D989="","",VLOOKUP(D989,'Product Master'!$B:$F,5,FALSE))</f>
        <v/>
      </c>
      <c r="I989" s="52">
        <f>IFERROR(VLOOKUP(D989,'Product Master'!B:E,4,FALSE),0)</f>
        <v>0</v>
      </c>
      <c r="J989" s="53">
        <f>IFERROR(Table3[[#This Row],[QTY SOLD]]*Table3[[#This Row],[Selling Price]],0)</f>
        <v>0</v>
      </c>
      <c r="K989" s="50"/>
      <c r="L989" s="50">
        <f>Table3[[#This Row],[Total Sales]]-Table3[[#This Row],[Discount]]</f>
        <v>0</v>
      </c>
      <c r="M989" s="58">
        <f>Table3[[#This Row],[Net Sales]]-Table3[[#This Row],[Cost Price]]*Table3[[#This Row],[QTY SOLD]]</f>
        <v>0</v>
      </c>
      <c r="N989" s="25"/>
      <c r="O989" s="25"/>
      <c r="P989" s="25"/>
      <c r="Q989" s="25"/>
      <c r="R989" s="25"/>
      <c r="S989" s="25"/>
    </row>
    <row r="990" spans="1:19" x14ac:dyDescent="0.25">
      <c r="A990" s="65"/>
      <c r="B990" s="50"/>
      <c r="C990" s="50"/>
      <c r="D990" s="50"/>
      <c r="E990" s="50" t="str">
        <f>IF(D990="","",VLOOKUP(D990,'Product Master'!$B:$C,2,FALSE))</f>
        <v/>
      </c>
      <c r="F990" s="50" t="str">
        <f>IF(D990="","",IFERROR(VLOOKUP(D990,'Product Master'!$B:$G,3,FALSE),""))</f>
        <v/>
      </c>
      <c r="G990" s="51"/>
      <c r="H990" s="52" t="str">
        <f>IF(D990="","",VLOOKUP(D990,'Product Master'!$B:$F,5,FALSE))</f>
        <v/>
      </c>
      <c r="I990" s="52">
        <f>IFERROR(VLOOKUP(D990,'Product Master'!B:E,4,FALSE),0)</f>
        <v>0</v>
      </c>
      <c r="J990" s="53">
        <f>IFERROR(Table3[[#This Row],[QTY SOLD]]*Table3[[#This Row],[Selling Price]],0)</f>
        <v>0</v>
      </c>
      <c r="K990" s="50"/>
      <c r="L990" s="50">
        <f>Table3[[#This Row],[Total Sales]]-Table3[[#This Row],[Discount]]</f>
        <v>0</v>
      </c>
      <c r="M990" s="58">
        <f>Table3[[#This Row],[Net Sales]]-Table3[[#This Row],[Cost Price]]*Table3[[#This Row],[QTY SOLD]]</f>
        <v>0</v>
      </c>
      <c r="N990" s="25"/>
      <c r="O990" s="25"/>
      <c r="P990" s="25"/>
      <c r="Q990" s="25"/>
      <c r="R990" s="25"/>
      <c r="S990" s="25"/>
    </row>
    <row r="991" spans="1:19" x14ac:dyDescent="0.25">
      <c r="A991" s="65"/>
      <c r="B991" s="50"/>
      <c r="C991" s="50"/>
      <c r="D991" s="50"/>
      <c r="E991" s="50" t="str">
        <f>IF(D991="","",VLOOKUP(D991,'Product Master'!$B:$C,2,FALSE))</f>
        <v/>
      </c>
      <c r="F991" s="50" t="str">
        <f>IF(D991="","",IFERROR(VLOOKUP(D991,'Product Master'!$B:$G,3,FALSE),""))</f>
        <v/>
      </c>
      <c r="G991" s="51"/>
      <c r="H991" s="52" t="str">
        <f>IF(D991="","",VLOOKUP(D991,'Product Master'!$B:$F,5,FALSE))</f>
        <v/>
      </c>
      <c r="I991" s="52">
        <f>IFERROR(VLOOKUP(D991,'Product Master'!B:E,4,FALSE),0)</f>
        <v>0</v>
      </c>
      <c r="J991" s="53">
        <f>IFERROR(Table3[[#This Row],[QTY SOLD]]*Table3[[#This Row],[Selling Price]],0)</f>
        <v>0</v>
      </c>
      <c r="K991" s="50"/>
      <c r="L991" s="50">
        <f>Table3[[#This Row],[Total Sales]]-Table3[[#This Row],[Discount]]</f>
        <v>0</v>
      </c>
      <c r="M991" s="58">
        <f>Table3[[#This Row],[Net Sales]]-Table3[[#This Row],[Cost Price]]*Table3[[#This Row],[QTY SOLD]]</f>
        <v>0</v>
      </c>
      <c r="N991" s="25"/>
      <c r="O991" s="25"/>
      <c r="P991" s="25"/>
      <c r="Q991" s="25"/>
      <c r="R991" s="25"/>
      <c r="S991" s="25"/>
    </row>
    <row r="992" spans="1:19" x14ac:dyDescent="0.25">
      <c r="A992" s="65"/>
      <c r="B992" s="50"/>
      <c r="C992" s="50"/>
      <c r="D992" s="50"/>
      <c r="E992" s="50" t="str">
        <f>IF(D992="","",VLOOKUP(D992,'Product Master'!$B:$C,2,FALSE))</f>
        <v/>
      </c>
      <c r="F992" s="50" t="str">
        <f>IF(D992="","",IFERROR(VLOOKUP(D992,'Product Master'!$B:$G,3,FALSE),""))</f>
        <v/>
      </c>
      <c r="G992" s="51"/>
      <c r="H992" s="52" t="str">
        <f>IF(D992="","",VLOOKUP(D992,'Product Master'!$B:$F,5,FALSE))</f>
        <v/>
      </c>
      <c r="I992" s="52">
        <f>IFERROR(VLOOKUP(D992,'Product Master'!B:E,4,FALSE),0)</f>
        <v>0</v>
      </c>
      <c r="J992" s="53">
        <f>IFERROR(Table3[[#This Row],[QTY SOLD]]*Table3[[#This Row],[Selling Price]],0)</f>
        <v>0</v>
      </c>
      <c r="K992" s="50"/>
      <c r="L992" s="50">
        <f>Table3[[#This Row],[Total Sales]]-Table3[[#This Row],[Discount]]</f>
        <v>0</v>
      </c>
      <c r="M992" s="58">
        <f>Table3[[#This Row],[Net Sales]]-Table3[[#This Row],[Cost Price]]*Table3[[#This Row],[QTY SOLD]]</f>
        <v>0</v>
      </c>
      <c r="N992" s="25"/>
      <c r="O992" s="25"/>
      <c r="P992" s="25"/>
      <c r="Q992" s="25"/>
      <c r="R992" s="25"/>
      <c r="S992" s="25"/>
    </row>
    <row r="993" spans="1:19" x14ac:dyDescent="0.25">
      <c r="A993" s="65"/>
      <c r="B993" s="50"/>
      <c r="C993" s="50"/>
      <c r="D993" s="50"/>
      <c r="E993" s="50" t="str">
        <f>IF(D993="","",VLOOKUP(D993,'Product Master'!$B:$C,2,FALSE))</f>
        <v/>
      </c>
      <c r="F993" s="50" t="str">
        <f>IF(D993="","",IFERROR(VLOOKUP(D993,'Product Master'!$B:$G,3,FALSE),""))</f>
        <v/>
      </c>
      <c r="G993" s="51"/>
      <c r="H993" s="52" t="str">
        <f>IF(D993="","",VLOOKUP(D993,'Product Master'!$B:$F,5,FALSE))</f>
        <v/>
      </c>
      <c r="I993" s="52">
        <f>IFERROR(VLOOKUP(D993,'Product Master'!B:E,4,FALSE),0)</f>
        <v>0</v>
      </c>
      <c r="J993" s="53">
        <f>IFERROR(Table3[[#This Row],[QTY SOLD]]*Table3[[#This Row],[Selling Price]],0)</f>
        <v>0</v>
      </c>
      <c r="K993" s="50"/>
      <c r="L993" s="50">
        <f>Table3[[#This Row],[Total Sales]]-Table3[[#This Row],[Discount]]</f>
        <v>0</v>
      </c>
      <c r="M993" s="58">
        <f>Table3[[#This Row],[Net Sales]]-Table3[[#This Row],[Cost Price]]*Table3[[#This Row],[QTY SOLD]]</f>
        <v>0</v>
      </c>
      <c r="N993" s="25"/>
      <c r="O993" s="25"/>
      <c r="P993" s="25"/>
      <c r="Q993" s="25"/>
      <c r="R993" s="25"/>
      <c r="S993" s="25"/>
    </row>
    <row r="994" spans="1:19" x14ac:dyDescent="0.25">
      <c r="A994" s="65"/>
      <c r="B994" s="50"/>
      <c r="C994" s="50"/>
      <c r="D994" s="50"/>
      <c r="E994" s="50" t="str">
        <f>IF(D994="","",VLOOKUP(D994,'Product Master'!$B:$C,2,FALSE))</f>
        <v/>
      </c>
      <c r="F994" s="50" t="str">
        <f>IF(D994="","",IFERROR(VLOOKUP(D994,'Product Master'!$B:$G,3,FALSE),""))</f>
        <v/>
      </c>
      <c r="G994" s="51"/>
      <c r="H994" s="52" t="str">
        <f>IF(D994="","",VLOOKUP(D994,'Product Master'!$B:$F,5,FALSE))</f>
        <v/>
      </c>
      <c r="I994" s="52">
        <f>IFERROR(VLOOKUP(D994,'Product Master'!B:E,4,FALSE),0)</f>
        <v>0</v>
      </c>
      <c r="J994" s="53">
        <f>IFERROR(Table3[[#This Row],[QTY SOLD]]*Table3[[#This Row],[Selling Price]],0)</f>
        <v>0</v>
      </c>
      <c r="K994" s="50"/>
      <c r="L994" s="50">
        <f>Table3[[#This Row],[Total Sales]]-Table3[[#This Row],[Discount]]</f>
        <v>0</v>
      </c>
      <c r="M994" s="58">
        <f>Table3[[#This Row],[Net Sales]]-Table3[[#This Row],[Cost Price]]*Table3[[#This Row],[QTY SOLD]]</f>
        <v>0</v>
      </c>
      <c r="N994" s="25"/>
      <c r="O994" s="25"/>
      <c r="P994" s="25"/>
      <c r="Q994" s="25"/>
      <c r="R994" s="25"/>
      <c r="S994" s="25"/>
    </row>
    <row r="995" spans="1:19" x14ac:dyDescent="0.25">
      <c r="A995" s="65"/>
      <c r="B995" s="50"/>
      <c r="C995" s="50"/>
      <c r="D995" s="50"/>
      <c r="E995" s="50" t="str">
        <f>IF(D995="","",VLOOKUP(D995,'Product Master'!$B:$C,2,FALSE))</f>
        <v/>
      </c>
      <c r="F995" s="50" t="str">
        <f>IF(D995="","",IFERROR(VLOOKUP(D995,'Product Master'!$B:$G,3,FALSE),""))</f>
        <v/>
      </c>
      <c r="G995" s="51"/>
      <c r="H995" s="52" t="str">
        <f>IF(D995="","",VLOOKUP(D995,'Product Master'!$B:$F,5,FALSE))</f>
        <v/>
      </c>
      <c r="I995" s="52">
        <f>IFERROR(VLOOKUP(D995,'Product Master'!B:E,4,FALSE),0)</f>
        <v>0</v>
      </c>
      <c r="J995" s="53">
        <f>IFERROR(Table3[[#This Row],[QTY SOLD]]*Table3[[#This Row],[Selling Price]],0)</f>
        <v>0</v>
      </c>
      <c r="K995" s="50"/>
      <c r="L995" s="50">
        <f>Table3[[#This Row],[Total Sales]]-Table3[[#This Row],[Discount]]</f>
        <v>0</v>
      </c>
      <c r="M995" s="58">
        <f>Table3[[#This Row],[Net Sales]]-Table3[[#This Row],[Cost Price]]*Table3[[#This Row],[QTY SOLD]]</f>
        <v>0</v>
      </c>
      <c r="N995" s="25"/>
      <c r="O995" s="25"/>
      <c r="P995" s="25"/>
      <c r="Q995" s="25"/>
      <c r="R995" s="25"/>
      <c r="S995" s="25"/>
    </row>
    <row r="996" spans="1:19" x14ac:dyDescent="0.25">
      <c r="A996" s="65"/>
      <c r="B996" s="50"/>
      <c r="C996" s="50"/>
      <c r="D996" s="50"/>
      <c r="E996" s="50" t="str">
        <f>IF(D996="","",VLOOKUP(D996,'Product Master'!$B:$C,2,FALSE))</f>
        <v/>
      </c>
      <c r="F996" s="50" t="str">
        <f>IF(D996="","",IFERROR(VLOOKUP(D996,'Product Master'!$B:$G,3,FALSE),""))</f>
        <v/>
      </c>
      <c r="G996" s="51"/>
      <c r="H996" s="52" t="str">
        <f>IF(D996="","",VLOOKUP(D996,'Product Master'!$B:$F,5,FALSE))</f>
        <v/>
      </c>
      <c r="I996" s="52">
        <f>IFERROR(VLOOKUP(D996,'Product Master'!B:E,4,FALSE),0)</f>
        <v>0</v>
      </c>
      <c r="J996" s="53">
        <f>IFERROR(Table3[[#This Row],[QTY SOLD]]*Table3[[#This Row],[Selling Price]],0)</f>
        <v>0</v>
      </c>
      <c r="K996" s="50"/>
      <c r="L996" s="50">
        <f>Table3[[#This Row],[Total Sales]]-Table3[[#This Row],[Discount]]</f>
        <v>0</v>
      </c>
      <c r="M996" s="58">
        <f>Table3[[#This Row],[Net Sales]]-Table3[[#This Row],[Cost Price]]*Table3[[#This Row],[QTY SOLD]]</f>
        <v>0</v>
      </c>
      <c r="N996" s="25"/>
      <c r="O996" s="25"/>
      <c r="P996" s="25"/>
      <c r="Q996" s="25"/>
      <c r="R996" s="25"/>
      <c r="S996" s="25"/>
    </row>
    <row r="997" spans="1:19" x14ac:dyDescent="0.25">
      <c r="A997" s="65"/>
      <c r="B997" s="50"/>
      <c r="C997" s="50"/>
      <c r="D997" s="50"/>
      <c r="E997" s="50" t="str">
        <f>IF(D997="","",VLOOKUP(D997,'Product Master'!$B:$C,2,FALSE))</f>
        <v/>
      </c>
      <c r="F997" s="50" t="str">
        <f>IF(D997="","",IFERROR(VLOOKUP(D997,'Product Master'!$B:$G,3,FALSE),""))</f>
        <v/>
      </c>
      <c r="G997" s="51"/>
      <c r="H997" s="52" t="str">
        <f>IF(D997="","",VLOOKUP(D997,'Product Master'!$B:$F,5,FALSE))</f>
        <v/>
      </c>
      <c r="I997" s="52">
        <f>IFERROR(VLOOKUP(D997,'Product Master'!B:E,4,FALSE),0)</f>
        <v>0</v>
      </c>
      <c r="J997" s="53">
        <f>IFERROR(Table3[[#This Row],[QTY SOLD]]*Table3[[#This Row],[Selling Price]],0)</f>
        <v>0</v>
      </c>
      <c r="K997" s="50"/>
      <c r="L997" s="50">
        <f>Table3[[#This Row],[Total Sales]]-Table3[[#This Row],[Discount]]</f>
        <v>0</v>
      </c>
      <c r="M997" s="58">
        <f>Table3[[#This Row],[Net Sales]]-Table3[[#This Row],[Cost Price]]*Table3[[#This Row],[QTY SOLD]]</f>
        <v>0</v>
      </c>
      <c r="N997" s="25"/>
      <c r="O997" s="25"/>
      <c r="P997" s="25"/>
      <c r="Q997" s="25"/>
      <c r="R997" s="25"/>
      <c r="S997" s="25"/>
    </row>
    <row r="998" spans="1:19" x14ac:dyDescent="0.25">
      <c r="A998" s="65"/>
      <c r="B998" s="50"/>
      <c r="C998" s="50"/>
      <c r="D998" s="50"/>
      <c r="E998" s="50" t="str">
        <f>IF(D998="","",VLOOKUP(D998,'Product Master'!$B:$C,2,FALSE))</f>
        <v/>
      </c>
      <c r="F998" s="50" t="str">
        <f>IF(D998="","",IFERROR(VLOOKUP(D998,'Product Master'!$B:$G,3,FALSE),""))</f>
        <v/>
      </c>
      <c r="G998" s="51"/>
      <c r="H998" s="52" t="str">
        <f>IF(D998="","",VLOOKUP(D998,'Product Master'!$B:$F,5,FALSE))</f>
        <v/>
      </c>
      <c r="I998" s="52">
        <f>IFERROR(VLOOKUP(D998,'Product Master'!B:E,4,FALSE),0)</f>
        <v>0</v>
      </c>
      <c r="J998" s="53">
        <f>IFERROR(Table3[[#This Row],[QTY SOLD]]*Table3[[#This Row],[Selling Price]],0)</f>
        <v>0</v>
      </c>
      <c r="K998" s="50"/>
      <c r="L998" s="50">
        <f>Table3[[#This Row],[Total Sales]]-Table3[[#This Row],[Discount]]</f>
        <v>0</v>
      </c>
      <c r="M998" s="58">
        <f>Table3[[#This Row],[Net Sales]]-Table3[[#This Row],[Cost Price]]*Table3[[#This Row],[QTY SOLD]]</f>
        <v>0</v>
      </c>
      <c r="N998" s="25"/>
      <c r="O998" s="25"/>
      <c r="P998" s="25"/>
      <c r="Q998" s="25"/>
      <c r="R998" s="25"/>
      <c r="S998" s="25"/>
    </row>
    <row r="999" spans="1:19" x14ac:dyDescent="0.25">
      <c r="A999" s="65"/>
      <c r="B999" s="50"/>
      <c r="C999" s="50"/>
      <c r="D999" s="50"/>
      <c r="E999" s="50" t="str">
        <f>IF(D999="","",VLOOKUP(D999,'Product Master'!$B:$C,2,FALSE))</f>
        <v/>
      </c>
      <c r="F999" s="50" t="str">
        <f>IF(D999="","",IFERROR(VLOOKUP(D999,'Product Master'!$B:$G,3,FALSE),""))</f>
        <v/>
      </c>
      <c r="G999" s="51"/>
      <c r="H999" s="52" t="str">
        <f>IF(D999="","",VLOOKUP(D999,'Product Master'!$B:$F,5,FALSE))</f>
        <v/>
      </c>
      <c r="I999" s="52">
        <f>IFERROR(VLOOKUP(D999,'Product Master'!B:E,4,FALSE),0)</f>
        <v>0</v>
      </c>
      <c r="J999" s="53">
        <f>IFERROR(Table3[[#This Row],[QTY SOLD]]*Table3[[#This Row],[Selling Price]],0)</f>
        <v>0</v>
      </c>
      <c r="K999" s="50"/>
      <c r="L999" s="50">
        <f>Table3[[#This Row],[Total Sales]]-Table3[[#This Row],[Discount]]</f>
        <v>0</v>
      </c>
      <c r="M999" s="58">
        <f>Table3[[#This Row],[Net Sales]]-Table3[[#This Row],[Cost Price]]*Table3[[#This Row],[QTY SOLD]]</f>
        <v>0</v>
      </c>
      <c r="N999" s="25"/>
      <c r="O999" s="25"/>
      <c r="P999" s="25"/>
      <c r="Q999" s="25"/>
      <c r="R999" s="25"/>
      <c r="S999" s="25"/>
    </row>
    <row r="1000" spans="1:19" x14ac:dyDescent="0.25">
      <c r="A1000" s="65"/>
      <c r="B1000" s="50"/>
      <c r="C1000" s="50"/>
      <c r="D1000" s="50"/>
      <c r="E1000" s="50" t="str">
        <f>IF(D1000="","",VLOOKUP(D1000,'Product Master'!$B:$C,2,FALSE))</f>
        <v/>
      </c>
      <c r="F1000" s="50" t="str">
        <f>IF(D1000="","",IFERROR(VLOOKUP(D1000,'Product Master'!$B:$G,3,FALSE),""))</f>
        <v/>
      </c>
      <c r="G1000" s="51"/>
      <c r="H1000" s="52" t="str">
        <f>IF(D1000="","",VLOOKUP(D1000,'Product Master'!$B:$F,5,FALSE))</f>
        <v/>
      </c>
      <c r="I1000" s="52">
        <f>IFERROR(VLOOKUP(D1000,'Product Master'!B:E,4,FALSE),0)</f>
        <v>0</v>
      </c>
      <c r="J1000" s="53">
        <f>IFERROR(Table3[[#This Row],[QTY SOLD]]*Table3[[#This Row],[Selling Price]],0)</f>
        <v>0</v>
      </c>
      <c r="K1000" s="50"/>
      <c r="L1000" s="50">
        <f>Table3[[#This Row],[Total Sales]]-Table3[[#This Row],[Discount]]</f>
        <v>0</v>
      </c>
      <c r="M1000" s="58">
        <f>Table3[[#This Row],[Net Sales]]-Table3[[#This Row],[Cost Price]]*Table3[[#This Row],[QTY SOLD]]</f>
        <v>0</v>
      </c>
      <c r="N1000" s="25"/>
      <c r="O1000" s="25"/>
      <c r="P1000" s="25"/>
      <c r="Q1000" s="25"/>
      <c r="R1000" s="25"/>
      <c r="S1000" s="25"/>
    </row>
  </sheetData>
  <dataValidations count="3">
    <dataValidation type="list" allowBlank="1" showInputMessage="1" showErrorMessage="1" sqref="C2:C1000" xr:uid="{00000000-0002-0000-0300-000000000000}">
      <formula1>CashierLists</formula1>
    </dataValidation>
    <dataValidation type="list" allowBlank="1" showInputMessage="1" showErrorMessage="1" sqref="D2:D1000" xr:uid="{00000000-0002-0000-0300-000001000000}">
      <formula1>ProductNames</formula1>
    </dataValidation>
    <dataValidation type="list" allowBlank="1" showInputMessage="1" showErrorMessage="1" sqref="A2:A1000" xr:uid="{00000000-0002-0000-0300-000002000000}">
      <formula1>DateList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S502"/>
  <sheetViews>
    <sheetView showGridLines="0" showRowColHeaders="0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15" bestFit="1" customWidth="1"/>
    <col min="4" max="4" width="22" bestFit="1" customWidth="1"/>
    <col min="5" max="5" width="8.42578125" bestFit="1" customWidth="1"/>
    <col min="6" max="6" width="20.7109375" bestFit="1" customWidth="1"/>
    <col min="7" max="7" width="14" bestFit="1" customWidth="1"/>
    <col min="8" max="8" width="26.140625" bestFit="1" customWidth="1"/>
  </cols>
  <sheetData>
    <row r="1" spans="1:19" s="13" customFormat="1" ht="23.1" customHeight="1" x14ac:dyDescent="0.3">
      <c r="A1" s="59" t="s">
        <v>95</v>
      </c>
      <c r="B1" s="60" t="s">
        <v>94</v>
      </c>
      <c r="C1" s="60" t="s">
        <v>96</v>
      </c>
      <c r="D1" s="60" t="s">
        <v>1</v>
      </c>
      <c r="E1" s="60" t="s">
        <v>83</v>
      </c>
      <c r="F1" s="60" t="s">
        <v>97</v>
      </c>
      <c r="G1" s="60" t="s">
        <v>100</v>
      </c>
      <c r="H1" s="61" t="s">
        <v>101</v>
      </c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19" x14ac:dyDescent="0.25">
      <c r="A2" s="155">
        <v>46235</v>
      </c>
      <c r="B2" s="72" t="str">
        <f t="shared" ref="B2:B32" si="0">"PUR"&amp;TEXT(ROW()-1,"0000")</f>
        <v>PUR0001</v>
      </c>
      <c r="C2" s="50" t="s">
        <v>102</v>
      </c>
      <c r="D2" s="50" t="s">
        <v>393</v>
      </c>
      <c r="E2" s="50" t="str">
        <f>IF(D2="","",VLOOKUP(D2,'Product Master'!$B:$G,3,FALSE))</f>
        <v>Piece</v>
      </c>
      <c r="F2" s="50">
        <v>50</v>
      </c>
      <c r="G2" s="54">
        <f>IF(D2="","",VLOOKUP(D2,'Product Master'!$B:$G,4,FALSE))</f>
        <v>700</v>
      </c>
      <c r="H2" s="156">
        <f t="shared" ref="H2:H32" si="1">IF(OR(F2="",G2=""),"",F2*G2)</f>
        <v>35000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x14ac:dyDescent="0.25">
      <c r="A3" s="155">
        <v>46236</v>
      </c>
      <c r="B3" s="72" t="str">
        <f t="shared" si="0"/>
        <v>PUR0002</v>
      </c>
      <c r="C3" s="50" t="s">
        <v>102</v>
      </c>
      <c r="D3" s="50" t="s">
        <v>394</v>
      </c>
      <c r="E3" s="50" t="str">
        <f>IF(D3="","",VLOOKUP(D3,'Product Master'!$B:$G,3,FALSE))</f>
        <v>Piece</v>
      </c>
      <c r="F3" s="50">
        <v>50</v>
      </c>
      <c r="G3" s="54">
        <f>IF(D3="","",VLOOKUP(D3,'Product Master'!$B:$G,4,FALSE))</f>
        <v>900</v>
      </c>
      <c r="H3" s="156">
        <f t="shared" si="1"/>
        <v>45000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x14ac:dyDescent="0.25">
      <c r="A4" s="155">
        <v>46237</v>
      </c>
      <c r="B4" s="72" t="str">
        <f t="shared" si="0"/>
        <v>PUR0003</v>
      </c>
      <c r="C4" s="50" t="s">
        <v>102</v>
      </c>
      <c r="D4" s="50" t="s">
        <v>395</v>
      </c>
      <c r="E4" s="50" t="str">
        <f>IF(D4="","",VLOOKUP(D4,'Product Master'!$B:$G,3,FALSE))</f>
        <v>Piece</v>
      </c>
      <c r="F4" s="50">
        <v>50</v>
      </c>
      <c r="G4" s="54">
        <f>IF(D4="","",VLOOKUP(D4,'Product Master'!$B:$G,4,FALSE))</f>
        <v>1200</v>
      </c>
      <c r="H4" s="156">
        <f t="shared" si="1"/>
        <v>60000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155">
        <v>46238</v>
      </c>
      <c r="B5" s="72" t="str">
        <f t="shared" si="0"/>
        <v>PUR0004</v>
      </c>
      <c r="C5" s="50" t="s">
        <v>102</v>
      </c>
      <c r="D5" s="50" t="s">
        <v>396</v>
      </c>
      <c r="E5" s="50" t="str">
        <f>IF(D5="","",VLOOKUP(D5,'Product Master'!$B:$G,3,FALSE))</f>
        <v>Piece</v>
      </c>
      <c r="F5" s="50">
        <v>50</v>
      </c>
      <c r="G5" s="54">
        <f>IF(D5="","",VLOOKUP(D5,'Product Master'!$B:$G,4,FALSE))</f>
        <v>400</v>
      </c>
      <c r="H5" s="156">
        <f t="shared" si="1"/>
        <v>20000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1:19" x14ac:dyDescent="0.25">
      <c r="A6" s="155">
        <v>46239</v>
      </c>
      <c r="B6" s="72" t="str">
        <f t="shared" si="0"/>
        <v>PUR0005</v>
      </c>
      <c r="C6" s="50" t="s">
        <v>102</v>
      </c>
      <c r="D6" s="50" t="s">
        <v>397</v>
      </c>
      <c r="E6" s="50" t="str">
        <f>IF(D6="","",VLOOKUP(D6,'Product Master'!$B:$G,3,FALSE))</f>
        <v>Piece</v>
      </c>
      <c r="F6" s="50">
        <v>50</v>
      </c>
      <c r="G6" s="54">
        <f>IF(D6="","",VLOOKUP(D6,'Product Master'!$B:$G,4,FALSE))</f>
        <v>200</v>
      </c>
      <c r="H6" s="156">
        <f t="shared" si="1"/>
        <v>10000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7" spans="1:19" x14ac:dyDescent="0.25">
      <c r="A7" s="155">
        <v>46240</v>
      </c>
      <c r="B7" s="72" t="str">
        <f t="shared" si="0"/>
        <v>PUR0006</v>
      </c>
      <c r="C7" s="50" t="s">
        <v>102</v>
      </c>
      <c r="D7" s="50" t="s">
        <v>398</v>
      </c>
      <c r="E7" s="50" t="str">
        <f>IF(D7="","",VLOOKUP(D7,'Product Master'!$B:$G,3,FALSE))</f>
        <v>Piece</v>
      </c>
      <c r="F7" s="50">
        <v>50</v>
      </c>
      <c r="G7" s="54">
        <f>IF(D7="","",VLOOKUP(D7,'Product Master'!$B:$G,4,FALSE))</f>
        <v>500</v>
      </c>
      <c r="H7" s="156">
        <f t="shared" si="1"/>
        <v>25000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spans="1:19" x14ac:dyDescent="0.25">
      <c r="A8" s="155">
        <v>46255</v>
      </c>
      <c r="B8" s="72" t="str">
        <f t="shared" si="0"/>
        <v>PUR0007</v>
      </c>
      <c r="C8" s="50" t="s">
        <v>106</v>
      </c>
      <c r="D8" s="50" t="s">
        <v>399</v>
      </c>
      <c r="E8" s="50" t="str">
        <f>IF(D8="","",VLOOKUP(D8,'Product Master'!$B:$G,3,FALSE))</f>
        <v>Piece</v>
      </c>
      <c r="F8" s="50">
        <v>50</v>
      </c>
      <c r="G8" s="54">
        <f>IF(D8="","",VLOOKUP(D8,'Product Master'!$B:$G,4,FALSE))</f>
        <v>500</v>
      </c>
      <c r="H8" s="156">
        <f t="shared" si="1"/>
        <v>25000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spans="1:19" x14ac:dyDescent="0.25">
      <c r="A9" s="155">
        <v>46242</v>
      </c>
      <c r="B9" s="72" t="str">
        <f t="shared" si="0"/>
        <v>PUR0008</v>
      </c>
      <c r="C9" s="50" t="s">
        <v>106</v>
      </c>
      <c r="D9" s="50" t="s">
        <v>400</v>
      </c>
      <c r="E9" s="50" t="str">
        <f>IF(D9="","",VLOOKUP(D9,'Product Master'!$B:$G,3,FALSE))</f>
        <v>Piece</v>
      </c>
      <c r="F9" s="50">
        <v>50</v>
      </c>
      <c r="G9" s="54">
        <f>IF(D9="","",VLOOKUP(D9,'Product Master'!$B:$G,4,FALSE))</f>
        <v>700</v>
      </c>
      <c r="H9" s="156">
        <f t="shared" si="1"/>
        <v>35000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1:19" x14ac:dyDescent="0.25">
      <c r="A10" s="155">
        <v>46243</v>
      </c>
      <c r="B10" s="72" t="str">
        <f t="shared" si="0"/>
        <v>PUR0009</v>
      </c>
      <c r="C10" s="50" t="s">
        <v>106</v>
      </c>
      <c r="D10" s="50" t="s">
        <v>401</v>
      </c>
      <c r="E10" s="50" t="str">
        <f>IF(D10="","",VLOOKUP(D10,'Product Master'!$B:$G,3,FALSE))</f>
        <v>Piece</v>
      </c>
      <c r="F10" s="50">
        <v>50</v>
      </c>
      <c r="G10" s="54">
        <f>IF(D10="","",VLOOKUP(D10,'Product Master'!$B:$G,4,FALSE))</f>
        <v>400</v>
      </c>
      <c r="H10" s="156">
        <f t="shared" si="1"/>
        <v>20000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1:19" x14ac:dyDescent="0.25">
      <c r="A11" s="155">
        <v>46244</v>
      </c>
      <c r="B11" s="72" t="str">
        <f t="shared" si="0"/>
        <v>PUR0010</v>
      </c>
      <c r="C11" s="50" t="s">
        <v>102</v>
      </c>
      <c r="D11" s="50" t="s">
        <v>469</v>
      </c>
      <c r="E11" s="50" t="str">
        <f>IF(D11="","",VLOOKUP(D11,'Product Master'!$B:$G,3,FALSE))</f>
        <v>Pack</v>
      </c>
      <c r="F11" s="50">
        <v>70</v>
      </c>
      <c r="G11" s="54">
        <f>IF(D11="","",VLOOKUP(D11,'Product Master'!$B:$G,4,FALSE))</f>
        <v>17000</v>
      </c>
      <c r="H11" s="156">
        <f t="shared" si="1"/>
        <v>1190000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1:19" x14ac:dyDescent="0.25">
      <c r="A12" s="155">
        <v>46245</v>
      </c>
      <c r="B12" s="72" t="str">
        <f t="shared" si="0"/>
        <v>PUR0011</v>
      </c>
      <c r="C12" s="50" t="s">
        <v>102</v>
      </c>
      <c r="D12" s="50" t="s">
        <v>468</v>
      </c>
      <c r="E12" s="50" t="str">
        <f>IF(D12="","",VLOOKUP(D12,'Product Master'!$B:$G,3,FALSE))</f>
        <v>Pack</v>
      </c>
      <c r="F12" s="50">
        <v>70</v>
      </c>
      <c r="G12" s="54">
        <f>IF(D12="","",VLOOKUP(D12,'Product Master'!$B:$G,4,FALSE))</f>
        <v>5000</v>
      </c>
      <c r="H12" s="156">
        <f t="shared" si="1"/>
        <v>350000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1:19" x14ac:dyDescent="0.25">
      <c r="A13" s="155">
        <v>46265</v>
      </c>
      <c r="B13" s="72" t="str">
        <f t="shared" si="0"/>
        <v>PUR0012</v>
      </c>
      <c r="C13" s="50" t="s">
        <v>106</v>
      </c>
      <c r="D13" s="50" t="s">
        <v>467</v>
      </c>
      <c r="E13" s="50" t="str">
        <f>IF(D13="","",VLOOKUP(D13,'Product Master'!$B:$G,3,FALSE))</f>
        <v>Pack</v>
      </c>
      <c r="F13" s="50">
        <v>50</v>
      </c>
      <c r="G13" s="54">
        <f>IF(D13="","",VLOOKUP(D13,'Product Master'!$B:$G,4,FALSE))</f>
        <v>900</v>
      </c>
      <c r="H13" s="156">
        <f t="shared" si="1"/>
        <v>45000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spans="1:19" x14ac:dyDescent="0.25">
      <c r="A14" s="155">
        <v>46265</v>
      </c>
      <c r="B14" s="72" t="str">
        <f t="shared" si="0"/>
        <v>PUR0013</v>
      </c>
      <c r="C14" s="50" t="s">
        <v>106</v>
      </c>
      <c r="D14" s="50" t="s">
        <v>466</v>
      </c>
      <c r="E14" s="50" t="str">
        <f>IF(D14="","",VLOOKUP(D14,'Product Master'!$B:$G,3,FALSE))</f>
        <v>Pack</v>
      </c>
      <c r="F14" s="50">
        <v>50</v>
      </c>
      <c r="G14" s="54">
        <f>IF(D14="","",VLOOKUP(D14,'Product Master'!$B:$G,4,FALSE))</f>
        <v>1000</v>
      </c>
      <c r="H14" s="156">
        <f t="shared" si="1"/>
        <v>50000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spans="1:19" x14ac:dyDescent="0.25">
      <c r="A15" s="155">
        <v>46265</v>
      </c>
      <c r="B15" s="72" t="str">
        <f t="shared" si="0"/>
        <v>PUR0014</v>
      </c>
      <c r="C15" s="50" t="s">
        <v>106</v>
      </c>
      <c r="D15" s="50" t="s">
        <v>465</v>
      </c>
      <c r="E15" s="50" t="str">
        <f>IF(D15="","",VLOOKUP(D15,'Product Master'!$B:$G,3,FALSE))</f>
        <v>Piece</v>
      </c>
      <c r="F15" s="50">
        <v>50</v>
      </c>
      <c r="G15" s="54">
        <f>IF(D15="","",VLOOKUP(D15,'Product Master'!$B:$G,4,FALSE))</f>
        <v>800</v>
      </c>
      <c r="H15" s="156">
        <f t="shared" si="1"/>
        <v>40000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1:19" x14ac:dyDescent="0.25">
      <c r="A16" s="155">
        <v>46265</v>
      </c>
      <c r="B16" s="72" t="str">
        <f t="shared" si="0"/>
        <v>PUR0015</v>
      </c>
      <c r="C16" s="50" t="s">
        <v>106</v>
      </c>
      <c r="D16" s="50" t="s">
        <v>464</v>
      </c>
      <c r="E16" s="50" t="str">
        <f>IF(D16="","",VLOOKUP(D16,'Product Master'!$B:$G,3,FALSE))</f>
        <v>Pack</v>
      </c>
      <c r="F16" s="50">
        <v>50</v>
      </c>
      <c r="G16" s="54">
        <f>IF(D16="","",VLOOKUP(D16,'Product Master'!$B:$G,4,FALSE))</f>
        <v>900</v>
      </c>
      <c r="H16" s="156">
        <f t="shared" si="1"/>
        <v>45000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 spans="1:19" x14ac:dyDescent="0.25">
      <c r="A17" s="155"/>
      <c r="B17" s="72" t="str">
        <f t="shared" si="0"/>
        <v>PUR0016</v>
      </c>
      <c r="C17" s="50"/>
      <c r="D17" s="50"/>
      <c r="E17" s="50" t="str">
        <f>IF(D17="","",VLOOKUP(D17,'Product Master'!$B:$G,3,FALSE))</f>
        <v/>
      </c>
      <c r="F17" s="50"/>
      <c r="G17" s="54" t="str">
        <f>IF(D17="","",VLOOKUP(D17,'Product Master'!$B:$G,4,FALSE))</f>
        <v/>
      </c>
      <c r="H17" s="156" t="str">
        <f t="shared" si="1"/>
        <v/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spans="1:19" x14ac:dyDescent="0.25">
      <c r="A18" s="155"/>
      <c r="B18" s="72" t="str">
        <f t="shared" si="0"/>
        <v>PUR0017</v>
      </c>
      <c r="C18" s="50"/>
      <c r="D18" s="50"/>
      <c r="E18" s="50" t="str">
        <f>IF(D18="","",VLOOKUP(D18,'Product Master'!$B:$G,3,FALSE))</f>
        <v/>
      </c>
      <c r="F18" s="50"/>
      <c r="G18" s="54" t="str">
        <f>IF(D18="","",VLOOKUP(D18,'Product Master'!$B:$G,4,FALSE))</f>
        <v/>
      </c>
      <c r="H18" s="156" t="str">
        <f t="shared" si="1"/>
        <v/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x14ac:dyDescent="0.25">
      <c r="A19" s="155"/>
      <c r="B19" s="72" t="str">
        <f t="shared" si="0"/>
        <v>PUR0018</v>
      </c>
      <c r="C19" s="50"/>
      <c r="D19" s="50"/>
      <c r="E19" s="50" t="str">
        <f>IF(D19="","",VLOOKUP(D19,'Product Master'!$B:$G,3,FALSE))</f>
        <v/>
      </c>
      <c r="F19" s="50"/>
      <c r="G19" s="54" t="str">
        <f>IF(D19="","",VLOOKUP(D19,'Product Master'!$B:$G,4,FALSE))</f>
        <v/>
      </c>
      <c r="H19" s="156" t="str">
        <f t="shared" si="1"/>
        <v/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x14ac:dyDescent="0.25">
      <c r="A20" s="155"/>
      <c r="B20" s="72" t="str">
        <f t="shared" si="0"/>
        <v>PUR0019</v>
      </c>
      <c r="C20" s="50"/>
      <c r="D20" s="50"/>
      <c r="E20" s="50" t="str">
        <f>IF(D20="","",VLOOKUP(D20,'Product Master'!$B:$G,3,FALSE))</f>
        <v/>
      </c>
      <c r="F20" s="50"/>
      <c r="G20" s="54" t="str">
        <f>IF(D20="","",VLOOKUP(D20,'Product Master'!$B:$G,4,FALSE))</f>
        <v/>
      </c>
      <c r="H20" s="156" t="str">
        <f t="shared" si="1"/>
        <v/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spans="1:19" x14ac:dyDescent="0.25">
      <c r="A21" s="155"/>
      <c r="B21" s="72" t="str">
        <f t="shared" si="0"/>
        <v>PUR0020</v>
      </c>
      <c r="C21" s="50"/>
      <c r="D21" s="50"/>
      <c r="E21" s="50" t="str">
        <f>IF(D21="","",VLOOKUP(D21,'Product Master'!$B:$G,3,FALSE))</f>
        <v/>
      </c>
      <c r="F21" s="50"/>
      <c r="G21" s="54" t="str">
        <f>IF(D21="","",VLOOKUP(D21,'Product Master'!$B:$G,4,FALSE))</f>
        <v/>
      </c>
      <c r="H21" s="156" t="str">
        <f t="shared" si="1"/>
        <v/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  <row r="22" spans="1:19" x14ac:dyDescent="0.25">
      <c r="A22" s="155"/>
      <c r="B22" s="72" t="str">
        <f t="shared" si="0"/>
        <v>PUR0021</v>
      </c>
      <c r="C22" s="50"/>
      <c r="D22" s="50"/>
      <c r="E22" s="50" t="str">
        <f>IF(D22="","",VLOOKUP(D22,'Product Master'!$B:$G,3,FALSE))</f>
        <v/>
      </c>
      <c r="F22" s="50"/>
      <c r="G22" s="54" t="str">
        <f>IF(D22="","",VLOOKUP(D22,'Product Master'!$B:$G,4,FALSE))</f>
        <v/>
      </c>
      <c r="H22" s="156" t="str">
        <f t="shared" si="1"/>
        <v/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</row>
    <row r="23" spans="1:19" x14ac:dyDescent="0.25">
      <c r="A23" s="155"/>
      <c r="B23" s="72" t="str">
        <f t="shared" si="0"/>
        <v>PUR0022</v>
      </c>
      <c r="C23" s="50"/>
      <c r="D23" s="50"/>
      <c r="E23" s="50" t="str">
        <f>IF(D23="","",VLOOKUP(D23,'Product Master'!$B:$G,3,FALSE))</f>
        <v/>
      </c>
      <c r="F23" s="50"/>
      <c r="G23" s="54" t="str">
        <f>IF(D23="","",VLOOKUP(D23,'Product Master'!$B:$G,4,FALSE))</f>
        <v/>
      </c>
      <c r="H23" s="156" t="str">
        <f t="shared" si="1"/>
        <v/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spans="1:19" x14ac:dyDescent="0.25">
      <c r="A24" s="155"/>
      <c r="B24" s="72" t="str">
        <f t="shared" si="0"/>
        <v>PUR0023</v>
      </c>
      <c r="C24" s="50"/>
      <c r="D24" s="50"/>
      <c r="E24" s="50" t="str">
        <f>IF(D24="","",VLOOKUP(D24,'Product Master'!$B:$G,3,FALSE))</f>
        <v/>
      </c>
      <c r="F24" s="50"/>
      <c r="G24" s="54" t="str">
        <f>IF(D24="","",VLOOKUP(D24,'Product Master'!$B:$G,4,FALSE))</f>
        <v/>
      </c>
      <c r="H24" s="156" t="str">
        <f t="shared" si="1"/>
        <v/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spans="1:19" x14ac:dyDescent="0.25">
      <c r="A25" s="155"/>
      <c r="B25" s="72" t="str">
        <f t="shared" si="0"/>
        <v>PUR0024</v>
      </c>
      <c r="C25" s="50"/>
      <c r="D25" s="50"/>
      <c r="E25" s="50" t="str">
        <f>IF(D25="","",VLOOKUP(D25,'Product Master'!$B:$G,3,FALSE))</f>
        <v/>
      </c>
      <c r="F25" s="50"/>
      <c r="G25" s="54" t="str">
        <f>IF(D25="","",VLOOKUP(D25,'Product Master'!$B:$G,4,FALSE))</f>
        <v/>
      </c>
      <c r="H25" s="156" t="str">
        <f t="shared" si="1"/>
        <v/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spans="1:19" x14ac:dyDescent="0.25">
      <c r="A26" s="155"/>
      <c r="B26" s="72" t="str">
        <f t="shared" si="0"/>
        <v>PUR0025</v>
      </c>
      <c r="C26" s="50"/>
      <c r="D26" s="50"/>
      <c r="E26" s="50" t="str">
        <f>IF(D26="","",VLOOKUP(D26,'Product Master'!$B:$G,3,FALSE))</f>
        <v/>
      </c>
      <c r="F26" s="50"/>
      <c r="G26" s="54" t="str">
        <f>IF(D26="","",VLOOKUP(D26,'Product Master'!$B:$G,4,FALSE))</f>
        <v/>
      </c>
      <c r="H26" s="156" t="str">
        <f t="shared" si="1"/>
        <v/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1:19" x14ac:dyDescent="0.25">
      <c r="A27" s="155"/>
      <c r="B27" s="72" t="str">
        <f t="shared" si="0"/>
        <v>PUR0026</v>
      </c>
      <c r="C27" s="50"/>
      <c r="D27" s="50"/>
      <c r="E27" s="50" t="str">
        <f>IF(D27="","",VLOOKUP(D27,'Product Master'!$B:$G,3,FALSE))</f>
        <v/>
      </c>
      <c r="F27" s="50"/>
      <c r="G27" s="54" t="str">
        <f>IF(D27="","",VLOOKUP(D27,'Product Master'!$B:$G,4,FALSE))</f>
        <v/>
      </c>
      <c r="H27" s="156" t="str">
        <f t="shared" si="1"/>
        <v/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19" x14ac:dyDescent="0.25">
      <c r="A28" s="155"/>
      <c r="B28" s="72" t="str">
        <f t="shared" si="0"/>
        <v>PUR0027</v>
      </c>
      <c r="C28" s="50"/>
      <c r="D28" s="50"/>
      <c r="E28" s="50" t="str">
        <f>IF(D28="","",VLOOKUP(D28,'Product Master'!$B:$G,3,FALSE))</f>
        <v/>
      </c>
      <c r="F28" s="50"/>
      <c r="G28" s="54" t="str">
        <f>IF(D28="","",VLOOKUP(D28,'Product Master'!$B:$G,4,FALSE))</f>
        <v/>
      </c>
      <c r="H28" s="156" t="str">
        <f t="shared" si="1"/>
        <v/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spans="1:19" x14ac:dyDescent="0.25">
      <c r="A29" s="155"/>
      <c r="B29" s="72" t="str">
        <f t="shared" si="0"/>
        <v>PUR0028</v>
      </c>
      <c r="C29" s="50"/>
      <c r="D29" s="50"/>
      <c r="E29" s="50" t="str">
        <f>IF(D29="","",VLOOKUP(D29,'Product Master'!$B:$G,3,FALSE))</f>
        <v/>
      </c>
      <c r="F29" s="50"/>
      <c r="G29" s="54" t="str">
        <f>IF(D29="","",VLOOKUP(D29,'Product Master'!$B:$G,4,FALSE))</f>
        <v/>
      </c>
      <c r="H29" s="156" t="str">
        <f t="shared" si="1"/>
        <v/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spans="1:19" x14ac:dyDescent="0.25">
      <c r="A30" s="155"/>
      <c r="B30" s="72" t="str">
        <f t="shared" si="0"/>
        <v>PUR0029</v>
      </c>
      <c r="C30" s="50"/>
      <c r="D30" s="50"/>
      <c r="E30" s="50" t="str">
        <f>IF(D30="","",VLOOKUP(D30,'Product Master'!$B:$G,3,FALSE))</f>
        <v/>
      </c>
      <c r="F30" s="50"/>
      <c r="G30" s="54" t="str">
        <f>IF(D30="","",VLOOKUP(D30,'Product Master'!$B:$G,4,FALSE))</f>
        <v/>
      </c>
      <c r="H30" s="156" t="str">
        <f t="shared" si="1"/>
        <v/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spans="1:19" x14ac:dyDescent="0.25">
      <c r="A31" s="155"/>
      <c r="B31" s="72" t="str">
        <f t="shared" si="0"/>
        <v>PUR0030</v>
      </c>
      <c r="C31" s="50"/>
      <c r="D31" s="50"/>
      <c r="E31" s="50" t="str">
        <f>IF(D31="","",VLOOKUP(D31,'Product Master'!$B:$G,3,FALSE))</f>
        <v/>
      </c>
      <c r="F31" s="50"/>
      <c r="G31" s="54" t="str">
        <f>IF(D31="","",VLOOKUP(D31,'Product Master'!$B:$G,4,FALSE))</f>
        <v/>
      </c>
      <c r="H31" s="156" t="str">
        <f t="shared" si="1"/>
        <v/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spans="1:19" x14ac:dyDescent="0.25">
      <c r="A32" s="155"/>
      <c r="B32" s="75" t="str">
        <f t="shared" si="0"/>
        <v>PUR0031</v>
      </c>
      <c r="C32" s="50"/>
      <c r="D32" s="50"/>
      <c r="E32" s="56" t="str">
        <f>IF(D32="","",VLOOKUP(D32,'Product Master'!$B:$G,3,FALSE))</f>
        <v/>
      </c>
      <c r="F32" s="56"/>
      <c r="G32" s="54" t="str">
        <f>IF(D32="","",VLOOKUP(D32,'Product Master'!$B:$G,4,FALSE))</f>
        <v/>
      </c>
      <c r="H32" s="156" t="str">
        <f t="shared" si="1"/>
        <v/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1:19" x14ac:dyDescent="0.25">
      <c r="A33" s="155"/>
      <c r="B33" s="72" t="str">
        <f t="shared" ref="B33:B96" si="2">"PUR"&amp;TEXT(ROW()-1,"0000")</f>
        <v>PUR0032</v>
      </c>
      <c r="C33" s="50"/>
      <c r="D33" s="50"/>
      <c r="E33" s="50" t="str">
        <f>IF(D33="","",VLOOKUP(D33,'Product Master'!$B:$G,3,FALSE))</f>
        <v/>
      </c>
      <c r="F33" s="50"/>
      <c r="G33" s="50" t="str">
        <f>IF(D33="","",VLOOKUP(D33,'Product Master'!$B:$G,4,FALSE))</f>
        <v/>
      </c>
      <c r="H33" s="157" t="str">
        <f t="shared" ref="H33:H96" si="3">IF(OR(F33="",G33=""),"",F33*G33)</f>
        <v/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spans="1:19" x14ac:dyDescent="0.25">
      <c r="A34" s="155"/>
      <c r="B34" s="72" t="str">
        <f t="shared" si="2"/>
        <v>PUR0033</v>
      </c>
      <c r="C34" s="50"/>
      <c r="D34" s="50"/>
      <c r="E34" s="50" t="str">
        <f>IF(D34="","",VLOOKUP(D34,'Product Master'!$B:$G,3,FALSE))</f>
        <v/>
      </c>
      <c r="F34" s="50"/>
      <c r="G34" s="50" t="str">
        <f>IF(D34="","",VLOOKUP(D34,'Product Master'!$B:$G,4,FALSE))</f>
        <v/>
      </c>
      <c r="H34" s="157" t="str">
        <f t="shared" si="3"/>
        <v/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19" x14ac:dyDescent="0.25">
      <c r="A35" s="155"/>
      <c r="B35" s="72" t="str">
        <f t="shared" si="2"/>
        <v>PUR0034</v>
      </c>
      <c r="C35" s="50"/>
      <c r="D35" s="50"/>
      <c r="E35" s="50" t="str">
        <f>IF(D35="","",VLOOKUP(D35,'Product Master'!$B:$G,3,FALSE))</f>
        <v/>
      </c>
      <c r="F35" s="50"/>
      <c r="G35" s="50" t="str">
        <f>IF(D35="","",VLOOKUP(D35,'Product Master'!$B:$G,4,FALSE))</f>
        <v/>
      </c>
      <c r="H35" s="157" t="str">
        <f t="shared" si="3"/>
        <v/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1:19" x14ac:dyDescent="0.25">
      <c r="A36" s="155"/>
      <c r="B36" s="72" t="str">
        <f t="shared" si="2"/>
        <v>PUR0035</v>
      </c>
      <c r="C36" s="50"/>
      <c r="D36" s="50"/>
      <c r="E36" s="50" t="str">
        <f>IF(D36="","",VLOOKUP(D36,'Product Master'!$B:$G,3,FALSE))</f>
        <v/>
      </c>
      <c r="F36" s="50"/>
      <c r="G36" s="50" t="str">
        <f>IF(D36="","",VLOOKUP(D36,'Product Master'!$B:$G,4,FALSE))</f>
        <v/>
      </c>
      <c r="H36" s="157" t="str">
        <f t="shared" si="3"/>
        <v/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spans="1:19" x14ac:dyDescent="0.25">
      <c r="A37" s="155"/>
      <c r="B37" s="72" t="str">
        <f t="shared" si="2"/>
        <v>PUR0036</v>
      </c>
      <c r="C37" s="50"/>
      <c r="D37" s="50"/>
      <c r="E37" s="50" t="str">
        <f>IF(D37="","",VLOOKUP(D37,'Product Master'!$B:$G,3,FALSE))</f>
        <v/>
      </c>
      <c r="F37" s="50"/>
      <c r="G37" s="50" t="str">
        <f>IF(D37="","",VLOOKUP(D37,'Product Master'!$B:$G,4,FALSE))</f>
        <v/>
      </c>
      <c r="H37" s="157" t="str">
        <f t="shared" si="3"/>
        <v/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1:19" x14ac:dyDescent="0.25">
      <c r="A38" s="155"/>
      <c r="B38" s="72" t="str">
        <f t="shared" si="2"/>
        <v>PUR0037</v>
      </c>
      <c r="C38" s="50"/>
      <c r="D38" s="50"/>
      <c r="E38" s="50" t="str">
        <f>IF(D38="","",VLOOKUP(D38,'Product Master'!$B:$G,3,FALSE))</f>
        <v/>
      </c>
      <c r="F38" s="50"/>
      <c r="G38" s="50" t="str">
        <f>IF(D38="","",VLOOKUP(D38,'Product Master'!$B:$G,4,FALSE))</f>
        <v/>
      </c>
      <c r="H38" s="157" t="str">
        <f t="shared" si="3"/>
        <v/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</row>
    <row r="39" spans="1:19" x14ac:dyDescent="0.25">
      <c r="A39" s="155"/>
      <c r="B39" s="72" t="str">
        <f t="shared" si="2"/>
        <v>PUR0038</v>
      </c>
      <c r="C39" s="50"/>
      <c r="D39" s="50"/>
      <c r="E39" s="50" t="str">
        <f>IF(D39="","",VLOOKUP(D39,'Product Master'!$B:$G,3,FALSE))</f>
        <v/>
      </c>
      <c r="F39" s="50"/>
      <c r="G39" s="50" t="str">
        <f>IF(D39="","",VLOOKUP(D39,'Product Master'!$B:$G,4,FALSE))</f>
        <v/>
      </c>
      <c r="H39" s="157" t="str">
        <f t="shared" si="3"/>
        <v/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spans="1:19" x14ac:dyDescent="0.25">
      <c r="A40" s="155"/>
      <c r="B40" s="72" t="str">
        <f t="shared" si="2"/>
        <v>PUR0039</v>
      </c>
      <c r="C40" s="50"/>
      <c r="D40" s="50"/>
      <c r="E40" s="50" t="str">
        <f>IF(D40="","",VLOOKUP(D40,'Product Master'!$B:$G,3,FALSE))</f>
        <v/>
      </c>
      <c r="F40" s="50"/>
      <c r="G40" s="50" t="str">
        <f>IF(D40="","",VLOOKUP(D40,'Product Master'!$B:$G,4,FALSE))</f>
        <v/>
      </c>
      <c r="H40" s="157" t="str">
        <f t="shared" si="3"/>
        <v/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1:19" x14ac:dyDescent="0.25">
      <c r="A41" s="155"/>
      <c r="B41" s="72" t="str">
        <f t="shared" si="2"/>
        <v>PUR0040</v>
      </c>
      <c r="C41" s="50"/>
      <c r="D41" s="50"/>
      <c r="E41" s="50" t="str">
        <f>IF(D41="","",VLOOKUP(D41,'Product Master'!$B:$G,3,FALSE))</f>
        <v/>
      </c>
      <c r="F41" s="50"/>
      <c r="G41" s="50" t="str">
        <f>IF(D41="","",VLOOKUP(D41,'Product Master'!$B:$G,4,FALSE))</f>
        <v/>
      </c>
      <c r="H41" s="157" t="str">
        <f t="shared" si="3"/>
        <v/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19" x14ac:dyDescent="0.25">
      <c r="A42" s="155"/>
      <c r="B42" s="72" t="str">
        <f t="shared" si="2"/>
        <v>PUR0041</v>
      </c>
      <c r="C42" s="50"/>
      <c r="D42" s="50"/>
      <c r="E42" s="50" t="str">
        <f>IF(D42="","",VLOOKUP(D42,'Product Master'!$B:$G,3,FALSE))</f>
        <v/>
      </c>
      <c r="F42" s="50"/>
      <c r="G42" s="50" t="str">
        <f>IF(D42="","",VLOOKUP(D42,'Product Master'!$B:$G,4,FALSE))</f>
        <v/>
      </c>
      <c r="H42" s="157" t="str">
        <f t="shared" si="3"/>
        <v/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19" x14ac:dyDescent="0.25">
      <c r="A43" s="155"/>
      <c r="B43" s="72" t="str">
        <f t="shared" si="2"/>
        <v>PUR0042</v>
      </c>
      <c r="C43" s="50"/>
      <c r="D43" s="50"/>
      <c r="E43" s="50" t="str">
        <f>IF(D43="","",VLOOKUP(D43,'Product Master'!$B:$G,3,FALSE))</f>
        <v/>
      </c>
      <c r="F43" s="50"/>
      <c r="G43" s="50" t="str">
        <f>IF(D43="","",VLOOKUP(D43,'Product Master'!$B:$G,4,FALSE))</f>
        <v/>
      </c>
      <c r="H43" s="157" t="str">
        <f t="shared" si="3"/>
        <v/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1:19" x14ac:dyDescent="0.25">
      <c r="A44" s="155"/>
      <c r="B44" s="72" t="str">
        <f t="shared" si="2"/>
        <v>PUR0043</v>
      </c>
      <c r="C44" s="50"/>
      <c r="D44" s="50"/>
      <c r="E44" s="50" t="str">
        <f>IF(D44="","",VLOOKUP(D44,'Product Master'!$B:$G,3,FALSE))</f>
        <v/>
      </c>
      <c r="F44" s="50"/>
      <c r="G44" s="50" t="str">
        <f>IF(D44="","",VLOOKUP(D44,'Product Master'!$B:$G,4,FALSE))</f>
        <v/>
      </c>
      <c r="H44" s="157" t="str">
        <f t="shared" si="3"/>
        <v/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19" x14ac:dyDescent="0.25">
      <c r="A45" s="155"/>
      <c r="B45" s="72" t="str">
        <f t="shared" si="2"/>
        <v>PUR0044</v>
      </c>
      <c r="C45" s="50"/>
      <c r="D45" s="50"/>
      <c r="E45" s="50" t="str">
        <f>IF(D45="","",VLOOKUP(D45,'Product Master'!$B:$G,3,FALSE))</f>
        <v/>
      </c>
      <c r="F45" s="50"/>
      <c r="G45" s="50" t="str">
        <f>IF(D45="","",VLOOKUP(D45,'Product Master'!$B:$G,4,FALSE))</f>
        <v/>
      </c>
      <c r="H45" s="157" t="str">
        <f t="shared" si="3"/>
        <v/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spans="1:19" x14ac:dyDescent="0.25">
      <c r="A46" s="155"/>
      <c r="B46" s="72" t="str">
        <f t="shared" si="2"/>
        <v>PUR0045</v>
      </c>
      <c r="C46" s="50"/>
      <c r="D46" s="50"/>
      <c r="E46" s="50" t="str">
        <f>IF(D46="","",VLOOKUP(D46,'Product Master'!$B:$G,3,FALSE))</f>
        <v/>
      </c>
      <c r="F46" s="50"/>
      <c r="G46" s="50" t="str">
        <f>IF(D46="","",VLOOKUP(D46,'Product Master'!$B:$G,4,FALSE))</f>
        <v/>
      </c>
      <c r="H46" s="157" t="str">
        <f t="shared" si="3"/>
        <v/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</row>
    <row r="47" spans="1:19" x14ac:dyDescent="0.25">
      <c r="A47" s="155"/>
      <c r="B47" s="72" t="str">
        <f t="shared" si="2"/>
        <v>PUR0046</v>
      </c>
      <c r="C47" s="50"/>
      <c r="D47" s="50"/>
      <c r="E47" s="50" t="str">
        <f>IF(D47="","",VLOOKUP(D47,'Product Master'!$B:$G,3,FALSE))</f>
        <v/>
      </c>
      <c r="F47" s="50"/>
      <c r="G47" s="50" t="str">
        <f>IF(D47="","",VLOOKUP(D47,'Product Master'!$B:$G,4,FALSE))</f>
        <v/>
      </c>
      <c r="H47" s="157" t="str">
        <f t="shared" si="3"/>
        <v/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  <row r="48" spans="1:19" x14ac:dyDescent="0.25">
      <c r="A48" s="155"/>
      <c r="B48" s="72" t="str">
        <f t="shared" si="2"/>
        <v>PUR0047</v>
      </c>
      <c r="C48" s="50"/>
      <c r="D48" s="50"/>
      <c r="E48" s="50" t="str">
        <f>IF(D48="","",VLOOKUP(D48,'Product Master'!$B:$G,3,FALSE))</f>
        <v/>
      </c>
      <c r="F48" s="50"/>
      <c r="G48" s="50" t="str">
        <f>IF(D48="","",VLOOKUP(D48,'Product Master'!$B:$G,4,FALSE))</f>
        <v/>
      </c>
      <c r="H48" s="157" t="str">
        <f t="shared" si="3"/>
        <v/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1:19" x14ac:dyDescent="0.25">
      <c r="A49" s="155"/>
      <c r="B49" s="72" t="str">
        <f t="shared" si="2"/>
        <v>PUR0048</v>
      </c>
      <c r="C49" s="50"/>
      <c r="D49" s="50"/>
      <c r="E49" s="50" t="str">
        <f>IF(D49="","",VLOOKUP(D49,'Product Master'!$B:$G,3,FALSE))</f>
        <v/>
      </c>
      <c r="F49" s="50"/>
      <c r="G49" s="50" t="str">
        <f>IF(D49="","",VLOOKUP(D49,'Product Master'!$B:$G,4,FALSE))</f>
        <v/>
      </c>
      <c r="H49" s="157" t="str">
        <f t="shared" si="3"/>
        <v/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</row>
    <row r="50" spans="1:19" x14ac:dyDescent="0.25">
      <c r="A50" s="155"/>
      <c r="B50" s="72" t="str">
        <f t="shared" si="2"/>
        <v>PUR0049</v>
      </c>
      <c r="C50" s="50"/>
      <c r="D50" s="50"/>
      <c r="E50" s="50" t="str">
        <f>IF(D50="","",VLOOKUP(D50,'Product Master'!$B:$G,3,FALSE))</f>
        <v/>
      </c>
      <c r="F50" s="50"/>
      <c r="G50" s="50" t="str">
        <f>IF(D50="","",VLOOKUP(D50,'Product Master'!$B:$G,4,FALSE))</f>
        <v/>
      </c>
      <c r="H50" s="157" t="str">
        <f t="shared" si="3"/>
        <v/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</row>
    <row r="51" spans="1:19" x14ac:dyDescent="0.25">
      <c r="A51" s="155"/>
      <c r="B51" s="72" t="str">
        <f t="shared" si="2"/>
        <v>PUR0050</v>
      </c>
      <c r="C51" s="50"/>
      <c r="D51" s="50"/>
      <c r="E51" s="50" t="str">
        <f>IF(D51="","",VLOOKUP(D51,'Product Master'!$B:$G,3,FALSE))</f>
        <v/>
      </c>
      <c r="F51" s="50"/>
      <c r="G51" s="50" t="str">
        <f>IF(D51="","",VLOOKUP(D51,'Product Master'!$B:$G,4,FALSE))</f>
        <v/>
      </c>
      <c r="H51" s="157" t="str">
        <f t="shared" si="3"/>
        <v/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</row>
    <row r="52" spans="1:19" x14ac:dyDescent="0.25">
      <c r="A52" s="155"/>
      <c r="B52" s="72" t="str">
        <f t="shared" si="2"/>
        <v>PUR0051</v>
      </c>
      <c r="C52" s="50"/>
      <c r="D52" s="50"/>
      <c r="E52" s="50" t="str">
        <f>IF(D52="","",VLOOKUP(D52,'Product Master'!$B:$G,3,FALSE))</f>
        <v/>
      </c>
      <c r="F52" s="50"/>
      <c r="G52" s="50" t="str">
        <f>IF(D52="","",VLOOKUP(D52,'Product Master'!$B:$G,4,FALSE))</f>
        <v/>
      </c>
      <c r="H52" s="157" t="str">
        <f t="shared" si="3"/>
        <v/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</row>
    <row r="53" spans="1:19" x14ac:dyDescent="0.25">
      <c r="A53" s="155"/>
      <c r="B53" s="72" t="str">
        <f t="shared" si="2"/>
        <v>PUR0052</v>
      </c>
      <c r="C53" s="50"/>
      <c r="D53" s="50"/>
      <c r="E53" s="50" t="str">
        <f>IF(D53="","",VLOOKUP(D53,'Product Master'!$B:$G,3,FALSE))</f>
        <v/>
      </c>
      <c r="F53" s="50"/>
      <c r="G53" s="50" t="str">
        <f>IF(D53="","",VLOOKUP(D53,'Product Master'!$B:$G,4,FALSE))</f>
        <v/>
      </c>
      <c r="H53" s="157" t="str">
        <f t="shared" si="3"/>
        <v/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</row>
    <row r="54" spans="1:19" x14ac:dyDescent="0.25">
      <c r="A54" s="155"/>
      <c r="B54" s="72" t="str">
        <f t="shared" si="2"/>
        <v>PUR0053</v>
      </c>
      <c r="C54" s="50"/>
      <c r="D54" s="50"/>
      <c r="E54" s="50" t="str">
        <f>IF(D54="","",VLOOKUP(D54,'Product Master'!$B:$G,3,FALSE))</f>
        <v/>
      </c>
      <c r="F54" s="50"/>
      <c r="G54" s="50" t="str">
        <f>IF(D54="","",VLOOKUP(D54,'Product Master'!$B:$G,4,FALSE))</f>
        <v/>
      </c>
      <c r="H54" s="157" t="str">
        <f t="shared" si="3"/>
        <v/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</row>
    <row r="55" spans="1:19" x14ac:dyDescent="0.25">
      <c r="A55" s="155"/>
      <c r="B55" s="72" t="str">
        <f t="shared" si="2"/>
        <v>PUR0054</v>
      </c>
      <c r="C55" s="50"/>
      <c r="D55" s="50"/>
      <c r="E55" s="50" t="str">
        <f>IF(D55="","",VLOOKUP(D55,'Product Master'!$B:$G,3,FALSE))</f>
        <v/>
      </c>
      <c r="F55" s="50"/>
      <c r="G55" s="50" t="str">
        <f>IF(D55="","",VLOOKUP(D55,'Product Master'!$B:$G,4,FALSE))</f>
        <v/>
      </c>
      <c r="H55" s="157" t="str">
        <f t="shared" si="3"/>
        <v/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</row>
    <row r="56" spans="1:19" x14ac:dyDescent="0.25">
      <c r="A56" s="155"/>
      <c r="B56" s="72" t="str">
        <f t="shared" si="2"/>
        <v>PUR0055</v>
      </c>
      <c r="C56" s="50"/>
      <c r="D56" s="50"/>
      <c r="E56" s="50" t="str">
        <f>IF(D56="","",VLOOKUP(D56,'Product Master'!$B:$G,3,FALSE))</f>
        <v/>
      </c>
      <c r="F56" s="50"/>
      <c r="G56" s="50" t="str">
        <f>IF(D56="","",VLOOKUP(D56,'Product Master'!$B:$G,4,FALSE))</f>
        <v/>
      </c>
      <c r="H56" s="157" t="str">
        <f t="shared" si="3"/>
        <v/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spans="1:19" x14ac:dyDescent="0.25">
      <c r="A57" s="155"/>
      <c r="B57" s="72" t="str">
        <f t="shared" si="2"/>
        <v>PUR0056</v>
      </c>
      <c r="C57" s="50"/>
      <c r="D57" s="50"/>
      <c r="E57" s="50" t="str">
        <f>IF(D57="","",VLOOKUP(D57,'Product Master'!$B:$G,3,FALSE))</f>
        <v/>
      </c>
      <c r="F57" s="50"/>
      <c r="G57" s="50" t="str">
        <f>IF(D57="","",VLOOKUP(D57,'Product Master'!$B:$G,4,FALSE))</f>
        <v/>
      </c>
      <c r="H57" s="157" t="str">
        <f t="shared" si="3"/>
        <v/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</row>
    <row r="58" spans="1:19" x14ac:dyDescent="0.25">
      <c r="A58" s="155"/>
      <c r="B58" s="72" t="str">
        <f t="shared" si="2"/>
        <v>PUR0057</v>
      </c>
      <c r="C58" s="50"/>
      <c r="D58" s="50"/>
      <c r="E58" s="50" t="str">
        <f>IF(D58="","",VLOOKUP(D58,'Product Master'!$B:$G,3,FALSE))</f>
        <v/>
      </c>
      <c r="F58" s="50"/>
      <c r="G58" s="50" t="str">
        <f>IF(D58="","",VLOOKUP(D58,'Product Master'!$B:$G,4,FALSE))</f>
        <v/>
      </c>
      <c r="H58" s="157" t="str">
        <f t="shared" si="3"/>
        <v/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</row>
    <row r="59" spans="1:19" x14ac:dyDescent="0.25">
      <c r="A59" s="155"/>
      <c r="B59" s="72" t="str">
        <f t="shared" si="2"/>
        <v>PUR0058</v>
      </c>
      <c r="C59" s="50"/>
      <c r="D59" s="50"/>
      <c r="E59" s="50" t="str">
        <f>IF(D59="","",VLOOKUP(D59,'Product Master'!$B:$G,3,FALSE))</f>
        <v/>
      </c>
      <c r="F59" s="50"/>
      <c r="G59" s="50" t="str">
        <f>IF(D59="","",VLOOKUP(D59,'Product Master'!$B:$G,4,FALSE))</f>
        <v/>
      </c>
      <c r="H59" s="157" t="str">
        <f t="shared" si="3"/>
        <v/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1:19" x14ac:dyDescent="0.25">
      <c r="A60" s="155"/>
      <c r="B60" s="72" t="str">
        <f t="shared" si="2"/>
        <v>PUR0059</v>
      </c>
      <c r="C60" s="50"/>
      <c r="D60" s="50"/>
      <c r="E60" s="50" t="str">
        <f>IF(D60="","",VLOOKUP(D60,'Product Master'!$B:$G,3,FALSE))</f>
        <v/>
      </c>
      <c r="F60" s="50"/>
      <c r="G60" s="50" t="str">
        <f>IF(D60="","",VLOOKUP(D60,'Product Master'!$B:$G,4,FALSE))</f>
        <v/>
      </c>
      <c r="H60" s="157" t="str">
        <f t="shared" si="3"/>
        <v/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</row>
    <row r="61" spans="1:19" x14ac:dyDescent="0.25">
      <c r="A61" s="155"/>
      <c r="B61" s="72" t="str">
        <f t="shared" si="2"/>
        <v>PUR0060</v>
      </c>
      <c r="C61" s="50"/>
      <c r="D61" s="50"/>
      <c r="E61" s="50" t="str">
        <f>IF(D61="","",VLOOKUP(D61,'Product Master'!$B:$G,3,FALSE))</f>
        <v/>
      </c>
      <c r="F61" s="50"/>
      <c r="G61" s="50" t="str">
        <f>IF(D61="","",VLOOKUP(D61,'Product Master'!$B:$G,4,FALSE))</f>
        <v/>
      </c>
      <c r="H61" s="157" t="str">
        <f t="shared" si="3"/>
        <v/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</row>
    <row r="62" spans="1:19" x14ac:dyDescent="0.25">
      <c r="A62" s="155"/>
      <c r="B62" s="72" t="str">
        <f t="shared" si="2"/>
        <v>PUR0061</v>
      </c>
      <c r="C62" s="50"/>
      <c r="D62" s="50"/>
      <c r="E62" s="50" t="str">
        <f>IF(D62="","",VLOOKUP(D62,'Product Master'!$B:$G,3,FALSE))</f>
        <v/>
      </c>
      <c r="F62" s="50"/>
      <c r="G62" s="50" t="str">
        <f>IF(D62="","",VLOOKUP(D62,'Product Master'!$B:$G,4,FALSE))</f>
        <v/>
      </c>
      <c r="H62" s="157" t="str">
        <f t="shared" si="3"/>
        <v/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spans="1:19" x14ac:dyDescent="0.25">
      <c r="A63" s="155"/>
      <c r="B63" s="72" t="str">
        <f t="shared" si="2"/>
        <v>PUR0062</v>
      </c>
      <c r="C63" s="50"/>
      <c r="D63" s="50"/>
      <c r="E63" s="50" t="str">
        <f>IF(D63="","",VLOOKUP(D63,'Product Master'!$B:$G,3,FALSE))</f>
        <v/>
      </c>
      <c r="F63" s="50"/>
      <c r="G63" s="50" t="str">
        <f>IF(D63="","",VLOOKUP(D63,'Product Master'!$B:$G,4,FALSE))</f>
        <v/>
      </c>
      <c r="H63" s="157" t="str">
        <f t="shared" si="3"/>
        <v/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</row>
    <row r="64" spans="1:19" x14ac:dyDescent="0.25">
      <c r="A64" s="155"/>
      <c r="B64" s="72" t="str">
        <f t="shared" si="2"/>
        <v>PUR0063</v>
      </c>
      <c r="C64" s="50"/>
      <c r="D64" s="50"/>
      <c r="E64" s="50" t="str">
        <f>IF(D64="","",VLOOKUP(D64,'Product Master'!$B:$G,3,FALSE))</f>
        <v/>
      </c>
      <c r="F64" s="50"/>
      <c r="G64" s="50" t="str">
        <f>IF(D64="","",VLOOKUP(D64,'Product Master'!$B:$G,4,FALSE))</f>
        <v/>
      </c>
      <c r="H64" s="157" t="str">
        <f t="shared" si="3"/>
        <v/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spans="1:19" x14ac:dyDescent="0.25">
      <c r="A65" s="155"/>
      <c r="B65" s="72" t="str">
        <f t="shared" si="2"/>
        <v>PUR0064</v>
      </c>
      <c r="C65" s="50"/>
      <c r="D65" s="50"/>
      <c r="E65" s="50" t="str">
        <f>IF(D65="","",VLOOKUP(D65,'Product Master'!$B:$G,3,FALSE))</f>
        <v/>
      </c>
      <c r="F65" s="50"/>
      <c r="G65" s="50" t="str">
        <f>IF(D65="","",VLOOKUP(D65,'Product Master'!$B:$G,4,FALSE))</f>
        <v/>
      </c>
      <c r="H65" s="157" t="str">
        <f t="shared" si="3"/>
        <v/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</row>
    <row r="66" spans="1:19" x14ac:dyDescent="0.25">
      <c r="A66" s="155"/>
      <c r="B66" s="72" t="str">
        <f t="shared" si="2"/>
        <v>PUR0065</v>
      </c>
      <c r="C66" s="50"/>
      <c r="D66" s="50"/>
      <c r="E66" s="50" t="str">
        <f>IF(D66="","",VLOOKUP(D66,'Product Master'!$B:$G,3,FALSE))</f>
        <v/>
      </c>
      <c r="F66" s="50"/>
      <c r="G66" s="50" t="str">
        <f>IF(D66="","",VLOOKUP(D66,'Product Master'!$B:$G,4,FALSE))</f>
        <v/>
      </c>
      <c r="H66" s="157" t="str">
        <f t="shared" si="3"/>
        <v/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spans="1:19" x14ac:dyDescent="0.25">
      <c r="A67" s="155"/>
      <c r="B67" s="72" t="str">
        <f t="shared" si="2"/>
        <v>PUR0066</v>
      </c>
      <c r="C67" s="50"/>
      <c r="D67" s="50"/>
      <c r="E67" s="50" t="str">
        <f>IF(D67="","",VLOOKUP(D67,'Product Master'!$B:$G,3,FALSE))</f>
        <v/>
      </c>
      <c r="F67" s="50"/>
      <c r="G67" s="50" t="str">
        <f>IF(D67="","",VLOOKUP(D67,'Product Master'!$B:$G,4,FALSE))</f>
        <v/>
      </c>
      <c r="H67" s="157" t="str">
        <f t="shared" si="3"/>
        <v/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</row>
    <row r="68" spans="1:19" x14ac:dyDescent="0.25">
      <c r="A68" s="155"/>
      <c r="B68" s="72" t="str">
        <f t="shared" si="2"/>
        <v>PUR0067</v>
      </c>
      <c r="C68" s="50"/>
      <c r="D68" s="50"/>
      <c r="E68" s="50" t="str">
        <f>IF(D68="","",VLOOKUP(D68,'Product Master'!$B:$G,3,FALSE))</f>
        <v/>
      </c>
      <c r="F68" s="50"/>
      <c r="G68" s="50" t="str">
        <f>IF(D68="","",VLOOKUP(D68,'Product Master'!$B:$G,4,FALSE))</f>
        <v/>
      </c>
      <c r="H68" s="157" t="str">
        <f t="shared" si="3"/>
        <v/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</row>
    <row r="69" spans="1:19" x14ac:dyDescent="0.25">
      <c r="A69" s="155"/>
      <c r="B69" s="72" t="str">
        <f t="shared" si="2"/>
        <v>PUR0068</v>
      </c>
      <c r="C69" s="50"/>
      <c r="D69" s="50"/>
      <c r="E69" s="50" t="str">
        <f>IF(D69="","",VLOOKUP(D69,'Product Master'!$B:$G,3,FALSE))</f>
        <v/>
      </c>
      <c r="F69" s="50"/>
      <c r="G69" s="50" t="str">
        <f>IF(D69="","",VLOOKUP(D69,'Product Master'!$B:$G,4,FALSE))</f>
        <v/>
      </c>
      <c r="H69" s="157" t="str">
        <f t="shared" si="3"/>
        <v/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</row>
    <row r="70" spans="1:19" x14ac:dyDescent="0.25">
      <c r="A70" s="155"/>
      <c r="B70" s="72" t="str">
        <f t="shared" si="2"/>
        <v>PUR0069</v>
      </c>
      <c r="C70" s="50"/>
      <c r="D70" s="50"/>
      <c r="E70" s="50" t="str">
        <f>IF(D70="","",VLOOKUP(D70,'Product Master'!$B:$G,3,FALSE))</f>
        <v/>
      </c>
      <c r="F70" s="50"/>
      <c r="G70" s="50" t="str">
        <f>IF(D70="","",VLOOKUP(D70,'Product Master'!$B:$G,4,FALSE))</f>
        <v/>
      </c>
      <c r="H70" s="157" t="str">
        <f t="shared" si="3"/>
        <v/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1:19" x14ac:dyDescent="0.25">
      <c r="A71" s="155"/>
      <c r="B71" s="72" t="str">
        <f t="shared" si="2"/>
        <v>PUR0070</v>
      </c>
      <c r="C71" s="50"/>
      <c r="D71" s="50"/>
      <c r="E71" s="50" t="str">
        <f>IF(D71="","",VLOOKUP(D71,'Product Master'!$B:$G,3,FALSE))</f>
        <v/>
      </c>
      <c r="F71" s="50"/>
      <c r="G71" s="50" t="str">
        <f>IF(D71="","",VLOOKUP(D71,'Product Master'!$B:$G,4,FALSE))</f>
        <v/>
      </c>
      <c r="H71" s="157" t="str">
        <f t="shared" si="3"/>
        <v/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spans="1:19" x14ac:dyDescent="0.25">
      <c r="A72" s="155"/>
      <c r="B72" s="72" t="str">
        <f t="shared" si="2"/>
        <v>PUR0071</v>
      </c>
      <c r="C72" s="50"/>
      <c r="D72" s="50"/>
      <c r="E72" s="50" t="str">
        <f>IF(D72="","",VLOOKUP(D72,'Product Master'!$B:$G,3,FALSE))</f>
        <v/>
      </c>
      <c r="F72" s="50"/>
      <c r="G72" s="50" t="str">
        <f>IF(D72="","",VLOOKUP(D72,'Product Master'!$B:$G,4,FALSE))</f>
        <v/>
      </c>
      <c r="H72" s="157" t="str">
        <f t="shared" si="3"/>
        <v/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</row>
    <row r="73" spans="1:19" x14ac:dyDescent="0.25">
      <c r="A73" s="155"/>
      <c r="B73" s="72" t="str">
        <f t="shared" si="2"/>
        <v>PUR0072</v>
      </c>
      <c r="C73" s="50"/>
      <c r="D73" s="50"/>
      <c r="E73" s="50" t="str">
        <f>IF(D73="","",VLOOKUP(D73,'Product Master'!$B:$G,3,FALSE))</f>
        <v/>
      </c>
      <c r="F73" s="50"/>
      <c r="G73" s="50" t="str">
        <f>IF(D73="","",VLOOKUP(D73,'Product Master'!$B:$G,4,FALSE))</f>
        <v/>
      </c>
      <c r="H73" s="157" t="str">
        <f t="shared" si="3"/>
        <v/>
      </c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19" x14ac:dyDescent="0.25">
      <c r="A74" s="155"/>
      <c r="B74" s="72" t="str">
        <f t="shared" si="2"/>
        <v>PUR0073</v>
      </c>
      <c r="C74" s="50"/>
      <c r="D74" s="50"/>
      <c r="E74" s="50" t="str">
        <f>IF(D74="","",VLOOKUP(D74,'Product Master'!$B:$G,3,FALSE))</f>
        <v/>
      </c>
      <c r="F74" s="50"/>
      <c r="G74" s="50" t="str">
        <f>IF(D74="","",VLOOKUP(D74,'Product Master'!$B:$G,4,FALSE))</f>
        <v/>
      </c>
      <c r="H74" s="157" t="str">
        <f t="shared" si="3"/>
        <v/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</row>
    <row r="75" spans="1:19" x14ac:dyDescent="0.25">
      <c r="A75" s="155"/>
      <c r="B75" s="72" t="str">
        <f t="shared" si="2"/>
        <v>PUR0074</v>
      </c>
      <c r="C75" s="50"/>
      <c r="D75" s="50"/>
      <c r="E75" s="50" t="str">
        <f>IF(D75="","",VLOOKUP(D75,'Product Master'!$B:$G,3,FALSE))</f>
        <v/>
      </c>
      <c r="F75" s="50"/>
      <c r="G75" s="50" t="str">
        <f>IF(D75="","",VLOOKUP(D75,'Product Master'!$B:$G,4,FALSE))</f>
        <v/>
      </c>
      <c r="H75" s="157" t="str">
        <f t="shared" si="3"/>
        <v/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</row>
    <row r="76" spans="1:19" x14ac:dyDescent="0.25">
      <c r="A76" s="155"/>
      <c r="B76" s="72" t="str">
        <f t="shared" si="2"/>
        <v>PUR0075</v>
      </c>
      <c r="C76" s="50"/>
      <c r="D76" s="50"/>
      <c r="E76" s="50" t="str">
        <f>IF(D76="","",VLOOKUP(D76,'Product Master'!$B:$G,3,FALSE))</f>
        <v/>
      </c>
      <c r="F76" s="50"/>
      <c r="G76" s="50" t="str">
        <f>IF(D76="","",VLOOKUP(D76,'Product Master'!$B:$G,4,FALSE))</f>
        <v/>
      </c>
      <c r="H76" s="157" t="str">
        <f t="shared" si="3"/>
        <v/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spans="1:19" x14ac:dyDescent="0.25">
      <c r="A77" s="155"/>
      <c r="B77" s="72" t="str">
        <f t="shared" si="2"/>
        <v>PUR0076</v>
      </c>
      <c r="C77" s="50"/>
      <c r="D77" s="50"/>
      <c r="E77" s="50" t="str">
        <f>IF(D77="","",VLOOKUP(D77,'Product Master'!$B:$G,3,FALSE))</f>
        <v/>
      </c>
      <c r="F77" s="50"/>
      <c r="G77" s="50" t="str">
        <f>IF(D77="","",VLOOKUP(D77,'Product Master'!$B:$G,4,FALSE))</f>
        <v/>
      </c>
      <c r="H77" s="157" t="str">
        <f t="shared" si="3"/>
        <v/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1:19" x14ac:dyDescent="0.25">
      <c r="A78" s="155"/>
      <c r="B78" s="72" t="str">
        <f t="shared" si="2"/>
        <v>PUR0077</v>
      </c>
      <c r="C78" s="50"/>
      <c r="D78" s="50"/>
      <c r="E78" s="50" t="str">
        <f>IF(D78="","",VLOOKUP(D78,'Product Master'!$B:$G,3,FALSE))</f>
        <v/>
      </c>
      <c r="F78" s="50"/>
      <c r="G78" s="50" t="str">
        <f>IF(D78="","",VLOOKUP(D78,'Product Master'!$B:$G,4,FALSE))</f>
        <v/>
      </c>
      <c r="H78" s="157" t="str">
        <f t="shared" si="3"/>
        <v/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spans="1:19" x14ac:dyDescent="0.25">
      <c r="A79" s="155"/>
      <c r="B79" s="72" t="str">
        <f t="shared" si="2"/>
        <v>PUR0078</v>
      </c>
      <c r="C79" s="50"/>
      <c r="D79" s="50"/>
      <c r="E79" s="50" t="str">
        <f>IF(D79="","",VLOOKUP(D79,'Product Master'!$B:$G,3,FALSE))</f>
        <v/>
      </c>
      <c r="F79" s="50"/>
      <c r="G79" s="50" t="str">
        <f>IF(D79="","",VLOOKUP(D79,'Product Master'!$B:$G,4,FALSE))</f>
        <v/>
      </c>
      <c r="H79" s="157" t="str">
        <f t="shared" si="3"/>
        <v/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spans="1:19" x14ac:dyDescent="0.25">
      <c r="A80" s="155"/>
      <c r="B80" s="72" t="str">
        <f t="shared" si="2"/>
        <v>PUR0079</v>
      </c>
      <c r="C80" s="50"/>
      <c r="D80" s="50"/>
      <c r="E80" s="50" t="str">
        <f>IF(D80="","",VLOOKUP(D80,'Product Master'!$B:$G,3,FALSE))</f>
        <v/>
      </c>
      <c r="F80" s="50"/>
      <c r="G80" s="50" t="str">
        <f>IF(D80="","",VLOOKUP(D80,'Product Master'!$B:$G,4,FALSE))</f>
        <v/>
      </c>
      <c r="H80" s="157" t="str">
        <f t="shared" si="3"/>
        <v/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spans="1:19" x14ac:dyDescent="0.25">
      <c r="A81" s="155"/>
      <c r="B81" s="72" t="str">
        <f t="shared" si="2"/>
        <v>PUR0080</v>
      </c>
      <c r="C81" s="50"/>
      <c r="D81" s="50"/>
      <c r="E81" s="50" t="str">
        <f>IF(D81="","",VLOOKUP(D81,'Product Master'!$B:$G,3,FALSE))</f>
        <v/>
      </c>
      <c r="F81" s="50"/>
      <c r="G81" s="50" t="str">
        <f>IF(D81="","",VLOOKUP(D81,'Product Master'!$B:$G,4,FALSE))</f>
        <v/>
      </c>
      <c r="H81" s="157" t="str">
        <f t="shared" si="3"/>
        <v/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1:19" x14ac:dyDescent="0.25">
      <c r="A82" s="155"/>
      <c r="B82" s="72" t="str">
        <f t="shared" si="2"/>
        <v>PUR0081</v>
      </c>
      <c r="C82" s="50"/>
      <c r="D82" s="50"/>
      <c r="E82" s="50" t="str">
        <f>IF(D82="","",VLOOKUP(D82,'Product Master'!$B:$G,3,FALSE))</f>
        <v/>
      </c>
      <c r="F82" s="50"/>
      <c r="G82" s="50" t="str">
        <f>IF(D82="","",VLOOKUP(D82,'Product Master'!$B:$G,4,FALSE))</f>
        <v/>
      </c>
      <c r="H82" s="157" t="str">
        <f t="shared" si="3"/>
        <v/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spans="1:19" x14ac:dyDescent="0.25">
      <c r="A83" s="155"/>
      <c r="B83" s="72" t="str">
        <f t="shared" si="2"/>
        <v>PUR0082</v>
      </c>
      <c r="C83" s="50"/>
      <c r="D83" s="50"/>
      <c r="E83" s="50" t="str">
        <f>IF(D83="","",VLOOKUP(D83,'Product Master'!$B:$G,3,FALSE))</f>
        <v/>
      </c>
      <c r="F83" s="50"/>
      <c r="G83" s="50" t="str">
        <f>IF(D83="","",VLOOKUP(D83,'Product Master'!$B:$G,4,FALSE))</f>
        <v/>
      </c>
      <c r="H83" s="157" t="str">
        <f t="shared" si="3"/>
        <v/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</row>
    <row r="84" spans="1:19" x14ac:dyDescent="0.25">
      <c r="A84" s="155"/>
      <c r="B84" s="72" t="str">
        <f t="shared" si="2"/>
        <v>PUR0083</v>
      </c>
      <c r="C84" s="50"/>
      <c r="D84" s="50"/>
      <c r="E84" s="50" t="str">
        <f>IF(D84="","",VLOOKUP(D84,'Product Master'!$B:$G,3,FALSE))</f>
        <v/>
      </c>
      <c r="F84" s="50"/>
      <c r="G84" s="50" t="str">
        <f>IF(D84="","",VLOOKUP(D84,'Product Master'!$B:$G,4,FALSE))</f>
        <v/>
      </c>
      <c r="H84" s="157" t="str">
        <f t="shared" si="3"/>
        <v/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</row>
    <row r="85" spans="1:19" x14ac:dyDescent="0.25">
      <c r="A85" s="155"/>
      <c r="B85" s="72" t="str">
        <f t="shared" si="2"/>
        <v>PUR0084</v>
      </c>
      <c r="C85" s="50"/>
      <c r="D85" s="50"/>
      <c r="E85" s="50" t="str">
        <f>IF(D85="","",VLOOKUP(D85,'Product Master'!$B:$G,3,FALSE))</f>
        <v/>
      </c>
      <c r="F85" s="50"/>
      <c r="G85" s="50" t="str">
        <f>IF(D85="","",VLOOKUP(D85,'Product Master'!$B:$G,4,FALSE))</f>
        <v/>
      </c>
      <c r="H85" s="157" t="str">
        <f t="shared" si="3"/>
        <v/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</row>
    <row r="86" spans="1:19" x14ac:dyDescent="0.25">
      <c r="A86" s="155"/>
      <c r="B86" s="72" t="str">
        <f t="shared" si="2"/>
        <v>PUR0085</v>
      </c>
      <c r="C86" s="50"/>
      <c r="D86" s="50"/>
      <c r="E86" s="50" t="str">
        <f>IF(D86="","",VLOOKUP(D86,'Product Master'!$B:$G,3,FALSE))</f>
        <v/>
      </c>
      <c r="F86" s="50"/>
      <c r="G86" s="50" t="str">
        <f>IF(D86="","",VLOOKUP(D86,'Product Master'!$B:$G,4,FALSE))</f>
        <v/>
      </c>
      <c r="H86" s="157" t="str">
        <f t="shared" si="3"/>
        <v/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</row>
    <row r="87" spans="1:19" x14ac:dyDescent="0.25">
      <c r="A87" s="155"/>
      <c r="B87" s="72" t="str">
        <f t="shared" si="2"/>
        <v>PUR0086</v>
      </c>
      <c r="C87" s="50"/>
      <c r="D87" s="50"/>
      <c r="E87" s="50" t="str">
        <f>IF(D87="","",VLOOKUP(D87,'Product Master'!$B:$G,3,FALSE))</f>
        <v/>
      </c>
      <c r="F87" s="50"/>
      <c r="G87" s="50" t="str">
        <f>IF(D87="","",VLOOKUP(D87,'Product Master'!$B:$G,4,FALSE))</f>
        <v/>
      </c>
      <c r="H87" s="157" t="str">
        <f t="shared" si="3"/>
        <v/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1:19" x14ac:dyDescent="0.25">
      <c r="A88" s="155"/>
      <c r="B88" s="72" t="str">
        <f t="shared" si="2"/>
        <v>PUR0087</v>
      </c>
      <c r="C88" s="50"/>
      <c r="D88" s="50"/>
      <c r="E88" s="50" t="str">
        <f>IF(D88="","",VLOOKUP(D88,'Product Master'!$B:$G,3,FALSE))</f>
        <v/>
      </c>
      <c r="F88" s="50"/>
      <c r="G88" s="50" t="str">
        <f>IF(D88="","",VLOOKUP(D88,'Product Master'!$B:$G,4,FALSE))</f>
        <v/>
      </c>
      <c r="H88" s="157" t="str">
        <f t="shared" si="3"/>
        <v/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 x14ac:dyDescent="0.25">
      <c r="A89" s="155"/>
      <c r="B89" s="72" t="str">
        <f t="shared" si="2"/>
        <v>PUR0088</v>
      </c>
      <c r="C89" s="50"/>
      <c r="D89" s="50"/>
      <c r="E89" s="50" t="str">
        <f>IF(D89="","",VLOOKUP(D89,'Product Master'!$B:$G,3,FALSE))</f>
        <v/>
      </c>
      <c r="F89" s="50"/>
      <c r="G89" s="50" t="str">
        <f>IF(D89="","",VLOOKUP(D89,'Product Master'!$B:$G,4,FALSE))</f>
        <v/>
      </c>
      <c r="H89" s="157" t="str">
        <f t="shared" si="3"/>
        <v/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  <row r="90" spans="1:19" x14ac:dyDescent="0.25">
      <c r="A90" s="155"/>
      <c r="B90" s="72" t="str">
        <f t="shared" si="2"/>
        <v>PUR0089</v>
      </c>
      <c r="C90" s="50"/>
      <c r="D90" s="50"/>
      <c r="E90" s="50" t="str">
        <f>IF(D90="","",VLOOKUP(D90,'Product Master'!$B:$G,3,FALSE))</f>
        <v/>
      </c>
      <c r="F90" s="50"/>
      <c r="G90" s="50" t="str">
        <f>IF(D90="","",VLOOKUP(D90,'Product Master'!$B:$G,4,FALSE))</f>
        <v/>
      </c>
      <c r="H90" s="157" t="str">
        <f t="shared" si="3"/>
        <v/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</row>
    <row r="91" spans="1:19" x14ac:dyDescent="0.25">
      <c r="A91" s="155"/>
      <c r="B91" s="72" t="str">
        <f t="shared" si="2"/>
        <v>PUR0090</v>
      </c>
      <c r="C91" s="50"/>
      <c r="D91" s="50"/>
      <c r="E91" s="50" t="str">
        <f>IF(D91="","",VLOOKUP(D91,'Product Master'!$B:$G,3,FALSE))</f>
        <v/>
      </c>
      <c r="F91" s="50"/>
      <c r="G91" s="50" t="str">
        <f>IF(D91="","",VLOOKUP(D91,'Product Master'!$B:$G,4,FALSE))</f>
        <v/>
      </c>
      <c r="H91" s="157" t="str">
        <f t="shared" si="3"/>
        <v/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</row>
    <row r="92" spans="1:19" x14ac:dyDescent="0.25">
      <c r="A92" s="155"/>
      <c r="B92" s="72" t="str">
        <f t="shared" si="2"/>
        <v>PUR0091</v>
      </c>
      <c r="C92" s="50"/>
      <c r="D92" s="50"/>
      <c r="E92" s="50" t="str">
        <f>IF(D92="","",VLOOKUP(D92,'Product Master'!$B:$G,3,FALSE))</f>
        <v/>
      </c>
      <c r="F92" s="50"/>
      <c r="G92" s="50" t="str">
        <f>IF(D92="","",VLOOKUP(D92,'Product Master'!$B:$G,4,FALSE))</f>
        <v/>
      </c>
      <c r="H92" s="157" t="str">
        <f t="shared" si="3"/>
        <v/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1:19" x14ac:dyDescent="0.25">
      <c r="A93" s="155"/>
      <c r="B93" s="72" t="str">
        <f t="shared" si="2"/>
        <v>PUR0092</v>
      </c>
      <c r="C93" s="50"/>
      <c r="D93" s="50"/>
      <c r="E93" s="50" t="str">
        <f>IF(D93="","",VLOOKUP(D93,'Product Master'!$B:$G,3,FALSE))</f>
        <v/>
      </c>
      <c r="F93" s="50"/>
      <c r="G93" s="50" t="str">
        <f>IF(D93="","",VLOOKUP(D93,'Product Master'!$B:$G,4,FALSE))</f>
        <v/>
      </c>
      <c r="H93" s="157" t="str">
        <f t="shared" si="3"/>
        <v/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</row>
    <row r="94" spans="1:19" x14ac:dyDescent="0.25">
      <c r="A94" s="155"/>
      <c r="B94" s="72" t="str">
        <f t="shared" si="2"/>
        <v>PUR0093</v>
      </c>
      <c r="C94" s="50"/>
      <c r="D94" s="50"/>
      <c r="E94" s="50" t="str">
        <f>IF(D94="","",VLOOKUP(D94,'Product Master'!$B:$G,3,FALSE))</f>
        <v/>
      </c>
      <c r="F94" s="50"/>
      <c r="G94" s="50" t="str">
        <f>IF(D94="","",VLOOKUP(D94,'Product Master'!$B:$G,4,FALSE))</f>
        <v/>
      </c>
      <c r="H94" s="157" t="str">
        <f t="shared" si="3"/>
        <v/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1:19" x14ac:dyDescent="0.25">
      <c r="A95" s="155"/>
      <c r="B95" s="72" t="str">
        <f t="shared" si="2"/>
        <v>PUR0094</v>
      </c>
      <c r="C95" s="50"/>
      <c r="D95" s="50"/>
      <c r="E95" s="50" t="str">
        <f>IF(D95="","",VLOOKUP(D95,'Product Master'!$B:$G,3,FALSE))</f>
        <v/>
      </c>
      <c r="F95" s="50"/>
      <c r="G95" s="50" t="str">
        <f>IF(D95="","",VLOOKUP(D95,'Product Master'!$B:$G,4,FALSE))</f>
        <v/>
      </c>
      <c r="H95" s="157" t="str">
        <f t="shared" si="3"/>
        <v/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</row>
    <row r="96" spans="1:19" x14ac:dyDescent="0.25">
      <c r="A96" s="155"/>
      <c r="B96" s="72" t="str">
        <f t="shared" si="2"/>
        <v>PUR0095</v>
      </c>
      <c r="C96" s="50"/>
      <c r="D96" s="50"/>
      <c r="E96" s="50" t="str">
        <f>IF(D96="","",VLOOKUP(D96,'Product Master'!$B:$G,3,FALSE))</f>
        <v/>
      </c>
      <c r="F96" s="50"/>
      <c r="G96" s="50" t="str">
        <f>IF(D96="","",VLOOKUP(D96,'Product Master'!$B:$G,4,FALSE))</f>
        <v/>
      </c>
      <c r="H96" s="157" t="str">
        <f t="shared" si="3"/>
        <v/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</row>
    <row r="97" spans="1:19" x14ac:dyDescent="0.25">
      <c r="A97" s="155"/>
      <c r="B97" s="72" t="str">
        <f t="shared" ref="B97:B160" si="4">"PUR"&amp;TEXT(ROW()-1,"0000")</f>
        <v>PUR0096</v>
      </c>
      <c r="C97" s="50"/>
      <c r="D97" s="50"/>
      <c r="E97" s="50" t="str">
        <f>IF(D97="","",VLOOKUP(D97,'Product Master'!$B:$G,3,FALSE))</f>
        <v/>
      </c>
      <c r="F97" s="50"/>
      <c r="G97" s="50" t="str">
        <f>IF(D97="","",VLOOKUP(D97,'Product Master'!$B:$G,4,FALSE))</f>
        <v/>
      </c>
      <c r="H97" s="157" t="str">
        <f t="shared" ref="H97:H160" si="5">IF(OR(F97="",G97=""),"",F97*G97)</f>
        <v/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</row>
    <row r="98" spans="1:19" x14ac:dyDescent="0.25">
      <c r="A98" s="155"/>
      <c r="B98" s="72" t="str">
        <f t="shared" si="4"/>
        <v>PUR0097</v>
      </c>
      <c r="C98" s="50"/>
      <c r="D98" s="50"/>
      <c r="E98" s="50" t="str">
        <f>IF(D98="","",VLOOKUP(D98,'Product Master'!$B:$G,3,FALSE))</f>
        <v/>
      </c>
      <c r="F98" s="50"/>
      <c r="G98" s="50" t="str">
        <f>IF(D98="","",VLOOKUP(D98,'Product Master'!$B:$G,4,FALSE))</f>
        <v/>
      </c>
      <c r="H98" s="157" t="str">
        <f t="shared" si="5"/>
        <v/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</row>
    <row r="99" spans="1:19" x14ac:dyDescent="0.25">
      <c r="A99" s="155"/>
      <c r="B99" s="72" t="str">
        <f t="shared" si="4"/>
        <v>PUR0098</v>
      </c>
      <c r="C99" s="50"/>
      <c r="D99" s="50"/>
      <c r="E99" s="50" t="str">
        <f>IF(D99="","",VLOOKUP(D99,'Product Master'!$B:$G,3,FALSE))</f>
        <v/>
      </c>
      <c r="F99" s="50"/>
      <c r="G99" s="50" t="str">
        <f>IF(D99="","",VLOOKUP(D99,'Product Master'!$B:$G,4,FALSE))</f>
        <v/>
      </c>
      <c r="H99" s="157" t="str">
        <f t="shared" si="5"/>
        <v/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</row>
    <row r="100" spans="1:19" x14ac:dyDescent="0.25">
      <c r="A100" s="155"/>
      <c r="B100" s="72" t="str">
        <f t="shared" si="4"/>
        <v>PUR0099</v>
      </c>
      <c r="C100" s="50"/>
      <c r="D100" s="50"/>
      <c r="E100" s="50" t="str">
        <f>IF(D100="","",VLOOKUP(D100,'Product Master'!$B:$G,3,FALSE))</f>
        <v/>
      </c>
      <c r="F100" s="50"/>
      <c r="G100" s="50" t="str">
        <f>IF(D100="","",VLOOKUP(D100,'Product Master'!$B:$G,4,FALSE))</f>
        <v/>
      </c>
      <c r="H100" s="157" t="str">
        <f t="shared" si="5"/>
        <v/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</row>
    <row r="101" spans="1:19" x14ac:dyDescent="0.25">
      <c r="A101" s="155"/>
      <c r="B101" s="72" t="str">
        <f t="shared" si="4"/>
        <v>PUR0100</v>
      </c>
      <c r="C101" s="50"/>
      <c r="D101" s="50"/>
      <c r="E101" s="50" t="str">
        <f>IF(D101="","",VLOOKUP(D101,'Product Master'!$B:$G,3,FALSE))</f>
        <v/>
      </c>
      <c r="F101" s="50"/>
      <c r="G101" s="50" t="str">
        <f>IF(D101="","",VLOOKUP(D101,'Product Master'!$B:$G,4,FALSE))</f>
        <v/>
      </c>
      <c r="H101" s="157" t="str">
        <f t="shared" si="5"/>
        <v/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</row>
    <row r="102" spans="1:19" x14ac:dyDescent="0.25">
      <c r="A102" s="155"/>
      <c r="B102" s="72" t="str">
        <f t="shared" si="4"/>
        <v>PUR0101</v>
      </c>
      <c r="C102" s="50"/>
      <c r="D102" s="50"/>
      <c r="E102" s="50" t="str">
        <f>IF(D102="","",VLOOKUP(D102,'Product Master'!$B:$G,3,FALSE))</f>
        <v/>
      </c>
      <c r="F102" s="50"/>
      <c r="G102" s="50" t="str">
        <f>IF(D102="","",VLOOKUP(D102,'Product Master'!$B:$G,4,FALSE))</f>
        <v/>
      </c>
      <c r="H102" s="157" t="str">
        <f t="shared" si="5"/>
        <v/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</row>
    <row r="103" spans="1:19" x14ac:dyDescent="0.25">
      <c r="A103" s="155"/>
      <c r="B103" s="72" t="str">
        <f t="shared" si="4"/>
        <v>PUR0102</v>
      </c>
      <c r="C103" s="50"/>
      <c r="D103" s="50"/>
      <c r="E103" s="50" t="str">
        <f>IF(D103="","",VLOOKUP(D103,'Product Master'!$B:$G,3,FALSE))</f>
        <v/>
      </c>
      <c r="F103" s="50"/>
      <c r="G103" s="50" t="str">
        <f>IF(D103="","",VLOOKUP(D103,'Product Master'!$B:$G,4,FALSE))</f>
        <v/>
      </c>
      <c r="H103" s="157" t="str">
        <f t="shared" si="5"/>
        <v/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1:19" x14ac:dyDescent="0.25">
      <c r="A104" s="155"/>
      <c r="B104" s="72" t="str">
        <f t="shared" si="4"/>
        <v>PUR0103</v>
      </c>
      <c r="C104" s="50"/>
      <c r="D104" s="50"/>
      <c r="E104" s="50" t="str">
        <f>IF(D104="","",VLOOKUP(D104,'Product Master'!$B:$G,3,FALSE))</f>
        <v/>
      </c>
      <c r="F104" s="50"/>
      <c r="G104" s="50" t="str">
        <f>IF(D104="","",VLOOKUP(D104,'Product Master'!$B:$G,4,FALSE))</f>
        <v/>
      </c>
      <c r="H104" s="157" t="str">
        <f t="shared" si="5"/>
        <v/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</row>
    <row r="105" spans="1:19" x14ac:dyDescent="0.25">
      <c r="A105" s="155"/>
      <c r="B105" s="72" t="str">
        <f t="shared" si="4"/>
        <v>PUR0104</v>
      </c>
      <c r="C105" s="50"/>
      <c r="D105" s="50"/>
      <c r="E105" s="50" t="str">
        <f>IF(D105="","",VLOOKUP(D105,'Product Master'!$B:$G,3,FALSE))</f>
        <v/>
      </c>
      <c r="F105" s="50"/>
      <c r="G105" s="50" t="str">
        <f>IF(D105="","",VLOOKUP(D105,'Product Master'!$B:$G,4,FALSE))</f>
        <v/>
      </c>
      <c r="H105" s="157" t="str">
        <f t="shared" si="5"/>
        <v/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</row>
    <row r="106" spans="1:19" x14ac:dyDescent="0.25">
      <c r="A106" s="155"/>
      <c r="B106" s="72" t="str">
        <f t="shared" si="4"/>
        <v>PUR0105</v>
      </c>
      <c r="C106" s="50"/>
      <c r="D106" s="50"/>
      <c r="E106" s="50" t="str">
        <f>IF(D106="","",VLOOKUP(D106,'Product Master'!$B:$G,3,FALSE))</f>
        <v/>
      </c>
      <c r="F106" s="50"/>
      <c r="G106" s="50" t="str">
        <f>IF(D106="","",VLOOKUP(D106,'Product Master'!$B:$G,4,FALSE))</f>
        <v/>
      </c>
      <c r="H106" s="157" t="str">
        <f t="shared" si="5"/>
        <v/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</row>
    <row r="107" spans="1:19" x14ac:dyDescent="0.25">
      <c r="A107" s="155"/>
      <c r="B107" s="72" t="str">
        <f t="shared" si="4"/>
        <v>PUR0106</v>
      </c>
      <c r="C107" s="50"/>
      <c r="D107" s="50"/>
      <c r="E107" s="50" t="str">
        <f>IF(D107="","",VLOOKUP(D107,'Product Master'!$B:$G,3,FALSE))</f>
        <v/>
      </c>
      <c r="F107" s="50"/>
      <c r="G107" s="50" t="str">
        <f>IF(D107="","",VLOOKUP(D107,'Product Master'!$B:$G,4,FALSE))</f>
        <v/>
      </c>
      <c r="H107" s="157" t="str">
        <f t="shared" si="5"/>
        <v/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</row>
    <row r="108" spans="1:19" x14ac:dyDescent="0.25">
      <c r="A108" s="155"/>
      <c r="B108" s="72" t="str">
        <f t="shared" si="4"/>
        <v>PUR0107</v>
      </c>
      <c r="C108" s="50"/>
      <c r="D108" s="50"/>
      <c r="E108" s="50" t="str">
        <f>IF(D108="","",VLOOKUP(D108,'Product Master'!$B:$G,3,FALSE))</f>
        <v/>
      </c>
      <c r="F108" s="50"/>
      <c r="G108" s="50" t="str">
        <f>IF(D108="","",VLOOKUP(D108,'Product Master'!$B:$G,4,FALSE))</f>
        <v/>
      </c>
      <c r="H108" s="157" t="str">
        <f t="shared" si="5"/>
        <v/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</row>
    <row r="109" spans="1:19" x14ac:dyDescent="0.25">
      <c r="A109" s="155"/>
      <c r="B109" s="72" t="str">
        <f t="shared" si="4"/>
        <v>PUR0108</v>
      </c>
      <c r="C109" s="50"/>
      <c r="D109" s="50"/>
      <c r="E109" s="50" t="str">
        <f>IF(D109="","",VLOOKUP(D109,'Product Master'!$B:$G,3,FALSE))</f>
        <v/>
      </c>
      <c r="F109" s="50"/>
      <c r="G109" s="50" t="str">
        <f>IF(D109="","",VLOOKUP(D109,'Product Master'!$B:$G,4,FALSE))</f>
        <v/>
      </c>
      <c r="H109" s="157" t="str">
        <f t="shared" si="5"/>
        <v/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</row>
    <row r="110" spans="1:19" x14ac:dyDescent="0.25">
      <c r="A110" s="155"/>
      <c r="B110" s="72" t="str">
        <f t="shared" si="4"/>
        <v>PUR0109</v>
      </c>
      <c r="C110" s="50"/>
      <c r="D110" s="50"/>
      <c r="E110" s="50" t="str">
        <f>IF(D110="","",VLOOKUP(D110,'Product Master'!$B:$G,3,FALSE))</f>
        <v/>
      </c>
      <c r="F110" s="50"/>
      <c r="G110" s="50" t="str">
        <f>IF(D110="","",VLOOKUP(D110,'Product Master'!$B:$G,4,FALSE))</f>
        <v/>
      </c>
      <c r="H110" s="157" t="str">
        <f t="shared" si="5"/>
        <v/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</row>
    <row r="111" spans="1:19" x14ac:dyDescent="0.25">
      <c r="A111" s="155"/>
      <c r="B111" s="72" t="str">
        <f t="shared" si="4"/>
        <v>PUR0110</v>
      </c>
      <c r="C111" s="50"/>
      <c r="D111" s="50"/>
      <c r="E111" s="50" t="str">
        <f>IF(D111="","",VLOOKUP(D111,'Product Master'!$B:$G,3,FALSE))</f>
        <v/>
      </c>
      <c r="F111" s="50"/>
      <c r="G111" s="50" t="str">
        <f>IF(D111="","",VLOOKUP(D111,'Product Master'!$B:$G,4,FALSE))</f>
        <v/>
      </c>
      <c r="H111" s="157" t="str">
        <f t="shared" si="5"/>
        <v/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</row>
    <row r="112" spans="1:19" x14ac:dyDescent="0.25">
      <c r="A112" s="155"/>
      <c r="B112" s="72" t="str">
        <f t="shared" si="4"/>
        <v>PUR0111</v>
      </c>
      <c r="C112" s="50"/>
      <c r="D112" s="50"/>
      <c r="E112" s="50" t="str">
        <f>IF(D112="","",VLOOKUP(D112,'Product Master'!$B:$G,3,FALSE))</f>
        <v/>
      </c>
      <c r="F112" s="50"/>
      <c r="G112" s="50" t="str">
        <f>IF(D112="","",VLOOKUP(D112,'Product Master'!$B:$G,4,FALSE))</f>
        <v/>
      </c>
      <c r="H112" s="157" t="str">
        <f t="shared" si="5"/>
        <v/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</row>
    <row r="113" spans="1:19" x14ac:dyDescent="0.25">
      <c r="A113" s="155"/>
      <c r="B113" s="72" t="str">
        <f t="shared" si="4"/>
        <v>PUR0112</v>
      </c>
      <c r="C113" s="50"/>
      <c r="D113" s="50"/>
      <c r="E113" s="50" t="str">
        <f>IF(D113="","",VLOOKUP(D113,'Product Master'!$B:$G,3,FALSE))</f>
        <v/>
      </c>
      <c r="F113" s="50"/>
      <c r="G113" s="50" t="str">
        <f>IF(D113="","",VLOOKUP(D113,'Product Master'!$B:$G,4,FALSE))</f>
        <v/>
      </c>
      <c r="H113" s="157" t="str">
        <f t="shared" si="5"/>
        <v/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</row>
    <row r="114" spans="1:19" x14ac:dyDescent="0.25">
      <c r="A114" s="155"/>
      <c r="B114" s="72" t="str">
        <f t="shared" si="4"/>
        <v>PUR0113</v>
      </c>
      <c r="C114" s="50"/>
      <c r="D114" s="50"/>
      <c r="E114" s="50" t="str">
        <f>IF(D114="","",VLOOKUP(D114,'Product Master'!$B:$G,3,FALSE))</f>
        <v/>
      </c>
      <c r="F114" s="50"/>
      <c r="G114" s="50" t="str">
        <f>IF(D114="","",VLOOKUP(D114,'Product Master'!$B:$G,4,FALSE))</f>
        <v/>
      </c>
      <c r="H114" s="157" t="str">
        <f t="shared" si="5"/>
        <v/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1:19" x14ac:dyDescent="0.25">
      <c r="A115" s="155"/>
      <c r="B115" s="72" t="str">
        <f t="shared" si="4"/>
        <v>PUR0114</v>
      </c>
      <c r="C115" s="50"/>
      <c r="D115" s="50"/>
      <c r="E115" s="50" t="str">
        <f>IF(D115="","",VLOOKUP(D115,'Product Master'!$B:$G,3,FALSE))</f>
        <v/>
      </c>
      <c r="F115" s="50"/>
      <c r="G115" s="50" t="str">
        <f>IF(D115="","",VLOOKUP(D115,'Product Master'!$B:$G,4,FALSE))</f>
        <v/>
      </c>
      <c r="H115" s="157" t="str">
        <f t="shared" si="5"/>
        <v/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</row>
    <row r="116" spans="1:19" x14ac:dyDescent="0.25">
      <c r="A116" s="155"/>
      <c r="B116" s="72" t="str">
        <f t="shared" si="4"/>
        <v>PUR0115</v>
      </c>
      <c r="C116" s="50"/>
      <c r="D116" s="50"/>
      <c r="E116" s="50" t="str">
        <f>IF(D116="","",VLOOKUP(D116,'Product Master'!$B:$G,3,FALSE))</f>
        <v/>
      </c>
      <c r="F116" s="50"/>
      <c r="G116" s="50" t="str">
        <f>IF(D116="","",VLOOKUP(D116,'Product Master'!$B:$G,4,FALSE))</f>
        <v/>
      </c>
      <c r="H116" s="157" t="str">
        <f t="shared" si="5"/>
        <v/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</row>
    <row r="117" spans="1:19" x14ac:dyDescent="0.25">
      <c r="A117" s="155"/>
      <c r="B117" s="72" t="str">
        <f t="shared" si="4"/>
        <v>PUR0116</v>
      </c>
      <c r="C117" s="50"/>
      <c r="D117" s="50"/>
      <c r="E117" s="50" t="str">
        <f>IF(D117="","",VLOOKUP(D117,'Product Master'!$B:$G,3,FALSE))</f>
        <v/>
      </c>
      <c r="F117" s="50"/>
      <c r="G117" s="50" t="str">
        <f>IF(D117="","",VLOOKUP(D117,'Product Master'!$B:$G,4,FALSE))</f>
        <v/>
      </c>
      <c r="H117" s="157" t="str">
        <f t="shared" si="5"/>
        <v/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</row>
    <row r="118" spans="1:19" x14ac:dyDescent="0.25">
      <c r="A118" s="155"/>
      <c r="B118" s="72" t="str">
        <f t="shared" si="4"/>
        <v>PUR0117</v>
      </c>
      <c r="C118" s="50"/>
      <c r="D118" s="50"/>
      <c r="E118" s="50" t="str">
        <f>IF(D118="","",VLOOKUP(D118,'Product Master'!$B:$G,3,FALSE))</f>
        <v/>
      </c>
      <c r="F118" s="50"/>
      <c r="G118" s="50" t="str">
        <f>IF(D118="","",VLOOKUP(D118,'Product Master'!$B:$G,4,FALSE))</f>
        <v/>
      </c>
      <c r="H118" s="157" t="str">
        <f t="shared" si="5"/>
        <v/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</row>
    <row r="119" spans="1:19" x14ac:dyDescent="0.25">
      <c r="A119" s="155"/>
      <c r="B119" s="72" t="str">
        <f t="shared" si="4"/>
        <v>PUR0118</v>
      </c>
      <c r="C119" s="50"/>
      <c r="D119" s="50"/>
      <c r="E119" s="50" t="str">
        <f>IF(D119="","",VLOOKUP(D119,'Product Master'!$B:$G,3,FALSE))</f>
        <v/>
      </c>
      <c r="F119" s="50"/>
      <c r="G119" s="50" t="str">
        <f>IF(D119="","",VLOOKUP(D119,'Product Master'!$B:$G,4,FALSE))</f>
        <v/>
      </c>
      <c r="H119" s="157" t="str">
        <f t="shared" si="5"/>
        <v/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</row>
    <row r="120" spans="1:19" x14ac:dyDescent="0.25">
      <c r="A120" s="155"/>
      <c r="B120" s="72" t="str">
        <f t="shared" si="4"/>
        <v>PUR0119</v>
      </c>
      <c r="C120" s="50"/>
      <c r="D120" s="50"/>
      <c r="E120" s="50" t="str">
        <f>IF(D120="","",VLOOKUP(D120,'Product Master'!$B:$G,3,FALSE))</f>
        <v/>
      </c>
      <c r="F120" s="50"/>
      <c r="G120" s="50" t="str">
        <f>IF(D120="","",VLOOKUP(D120,'Product Master'!$B:$G,4,FALSE))</f>
        <v/>
      </c>
      <c r="H120" s="157" t="str">
        <f t="shared" si="5"/>
        <v/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</row>
    <row r="121" spans="1:19" x14ac:dyDescent="0.25">
      <c r="A121" s="155"/>
      <c r="B121" s="72" t="str">
        <f t="shared" si="4"/>
        <v>PUR0120</v>
      </c>
      <c r="C121" s="50"/>
      <c r="D121" s="50"/>
      <c r="E121" s="50" t="str">
        <f>IF(D121="","",VLOOKUP(D121,'Product Master'!$B:$G,3,FALSE))</f>
        <v/>
      </c>
      <c r="F121" s="50"/>
      <c r="G121" s="50" t="str">
        <f>IF(D121="","",VLOOKUP(D121,'Product Master'!$B:$G,4,FALSE))</f>
        <v/>
      </c>
      <c r="H121" s="157" t="str">
        <f t="shared" si="5"/>
        <v/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</row>
    <row r="122" spans="1:19" x14ac:dyDescent="0.25">
      <c r="A122" s="155"/>
      <c r="B122" s="72" t="str">
        <f t="shared" si="4"/>
        <v>PUR0121</v>
      </c>
      <c r="C122" s="50"/>
      <c r="D122" s="50"/>
      <c r="E122" s="50" t="str">
        <f>IF(D122="","",VLOOKUP(D122,'Product Master'!$B:$G,3,FALSE))</f>
        <v/>
      </c>
      <c r="F122" s="50"/>
      <c r="G122" s="50" t="str">
        <f>IF(D122="","",VLOOKUP(D122,'Product Master'!$B:$G,4,FALSE))</f>
        <v/>
      </c>
      <c r="H122" s="157" t="str">
        <f t="shared" si="5"/>
        <v/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</row>
    <row r="123" spans="1:19" x14ac:dyDescent="0.25">
      <c r="A123" s="155"/>
      <c r="B123" s="72" t="str">
        <f t="shared" si="4"/>
        <v>PUR0122</v>
      </c>
      <c r="C123" s="50"/>
      <c r="D123" s="50"/>
      <c r="E123" s="50" t="str">
        <f>IF(D123="","",VLOOKUP(D123,'Product Master'!$B:$G,3,FALSE))</f>
        <v/>
      </c>
      <c r="F123" s="50"/>
      <c r="G123" s="50" t="str">
        <f>IF(D123="","",VLOOKUP(D123,'Product Master'!$B:$G,4,FALSE))</f>
        <v/>
      </c>
      <c r="H123" s="157" t="str">
        <f t="shared" si="5"/>
        <v/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</row>
    <row r="124" spans="1:19" x14ac:dyDescent="0.25">
      <c r="A124" s="155"/>
      <c r="B124" s="72" t="str">
        <f t="shared" si="4"/>
        <v>PUR0123</v>
      </c>
      <c r="C124" s="50"/>
      <c r="D124" s="50"/>
      <c r="E124" s="50" t="str">
        <f>IF(D124="","",VLOOKUP(D124,'Product Master'!$B:$G,3,FALSE))</f>
        <v/>
      </c>
      <c r="F124" s="50"/>
      <c r="G124" s="50" t="str">
        <f>IF(D124="","",VLOOKUP(D124,'Product Master'!$B:$G,4,FALSE))</f>
        <v/>
      </c>
      <c r="H124" s="157" t="str">
        <f t="shared" si="5"/>
        <v/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</row>
    <row r="125" spans="1:19" x14ac:dyDescent="0.25">
      <c r="A125" s="155"/>
      <c r="B125" s="72" t="str">
        <f t="shared" si="4"/>
        <v>PUR0124</v>
      </c>
      <c r="C125" s="50"/>
      <c r="D125" s="50"/>
      <c r="E125" s="50" t="str">
        <f>IF(D125="","",VLOOKUP(D125,'Product Master'!$B:$G,3,FALSE))</f>
        <v/>
      </c>
      <c r="F125" s="50"/>
      <c r="G125" s="50" t="str">
        <f>IF(D125="","",VLOOKUP(D125,'Product Master'!$B:$G,4,FALSE))</f>
        <v/>
      </c>
      <c r="H125" s="157" t="str">
        <f t="shared" si="5"/>
        <v/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1:19" x14ac:dyDescent="0.25">
      <c r="A126" s="155"/>
      <c r="B126" s="72" t="str">
        <f t="shared" si="4"/>
        <v>PUR0125</v>
      </c>
      <c r="C126" s="50"/>
      <c r="D126" s="50"/>
      <c r="E126" s="50" t="str">
        <f>IF(D126="","",VLOOKUP(D126,'Product Master'!$B:$G,3,FALSE))</f>
        <v/>
      </c>
      <c r="F126" s="50"/>
      <c r="G126" s="50" t="str">
        <f>IF(D126="","",VLOOKUP(D126,'Product Master'!$B:$G,4,FALSE))</f>
        <v/>
      </c>
      <c r="H126" s="157" t="str">
        <f t="shared" si="5"/>
        <v/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</row>
    <row r="127" spans="1:19" x14ac:dyDescent="0.25">
      <c r="A127" s="155"/>
      <c r="B127" s="72" t="str">
        <f t="shared" si="4"/>
        <v>PUR0126</v>
      </c>
      <c r="C127" s="50"/>
      <c r="D127" s="50"/>
      <c r="E127" s="50" t="str">
        <f>IF(D127="","",VLOOKUP(D127,'Product Master'!$B:$G,3,FALSE))</f>
        <v/>
      </c>
      <c r="F127" s="50"/>
      <c r="G127" s="50" t="str">
        <f>IF(D127="","",VLOOKUP(D127,'Product Master'!$B:$G,4,FALSE))</f>
        <v/>
      </c>
      <c r="H127" s="157" t="str">
        <f t="shared" si="5"/>
        <v/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</row>
    <row r="128" spans="1:19" x14ac:dyDescent="0.25">
      <c r="A128" s="155"/>
      <c r="B128" s="72" t="str">
        <f t="shared" si="4"/>
        <v>PUR0127</v>
      </c>
      <c r="C128" s="50"/>
      <c r="D128" s="50"/>
      <c r="E128" s="50" t="str">
        <f>IF(D128="","",VLOOKUP(D128,'Product Master'!$B:$G,3,FALSE))</f>
        <v/>
      </c>
      <c r="F128" s="50"/>
      <c r="G128" s="50" t="str">
        <f>IF(D128="","",VLOOKUP(D128,'Product Master'!$B:$G,4,FALSE))</f>
        <v/>
      </c>
      <c r="H128" s="157" t="str">
        <f t="shared" si="5"/>
        <v/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</row>
    <row r="129" spans="1:19" x14ac:dyDescent="0.25">
      <c r="A129" s="155"/>
      <c r="B129" s="72" t="str">
        <f t="shared" si="4"/>
        <v>PUR0128</v>
      </c>
      <c r="C129" s="50"/>
      <c r="D129" s="50"/>
      <c r="E129" s="50" t="str">
        <f>IF(D129="","",VLOOKUP(D129,'Product Master'!$B:$G,3,FALSE))</f>
        <v/>
      </c>
      <c r="F129" s="50"/>
      <c r="G129" s="50" t="str">
        <f>IF(D129="","",VLOOKUP(D129,'Product Master'!$B:$G,4,FALSE))</f>
        <v/>
      </c>
      <c r="H129" s="157" t="str">
        <f t="shared" si="5"/>
        <v/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</row>
    <row r="130" spans="1:19" x14ac:dyDescent="0.25">
      <c r="A130" s="155"/>
      <c r="B130" s="72" t="str">
        <f t="shared" si="4"/>
        <v>PUR0129</v>
      </c>
      <c r="C130" s="50"/>
      <c r="D130" s="50"/>
      <c r="E130" s="50" t="str">
        <f>IF(D130="","",VLOOKUP(D130,'Product Master'!$B:$G,3,FALSE))</f>
        <v/>
      </c>
      <c r="F130" s="50"/>
      <c r="G130" s="50" t="str">
        <f>IF(D130="","",VLOOKUP(D130,'Product Master'!$B:$G,4,FALSE))</f>
        <v/>
      </c>
      <c r="H130" s="157" t="str">
        <f t="shared" si="5"/>
        <v/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</row>
    <row r="131" spans="1:19" x14ac:dyDescent="0.25">
      <c r="A131" s="155"/>
      <c r="B131" s="72" t="str">
        <f t="shared" si="4"/>
        <v>PUR0130</v>
      </c>
      <c r="C131" s="50"/>
      <c r="D131" s="50"/>
      <c r="E131" s="50" t="str">
        <f>IF(D131="","",VLOOKUP(D131,'Product Master'!$B:$G,3,FALSE))</f>
        <v/>
      </c>
      <c r="F131" s="50"/>
      <c r="G131" s="50" t="str">
        <f>IF(D131="","",VLOOKUP(D131,'Product Master'!$B:$G,4,FALSE))</f>
        <v/>
      </c>
      <c r="H131" s="157" t="str">
        <f t="shared" si="5"/>
        <v/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</row>
    <row r="132" spans="1:19" x14ac:dyDescent="0.25">
      <c r="A132" s="155"/>
      <c r="B132" s="72" t="str">
        <f t="shared" si="4"/>
        <v>PUR0131</v>
      </c>
      <c r="C132" s="50"/>
      <c r="D132" s="50"/>
      <c r="E132" s="50" t="str">
        <f>IF(D132="","",VLOOKUP(D132,'Product Master'!$B:$G,3,FALSE))</f>
        <v/>
      </c>
      <c r="F132" s="50"/>
      <c r="G132" s="50" t="str">
        <f>IF(D132="","",VLOOKUP(D132,'Product Master'!$B:$G,4,FALSE))</f>
        <v/>
      </c>
      <c r="H132" s="157" t="str">
        <f t="shared" si="5"/>
        <v/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</row>
    <row r="133" spans="1:19" x14ac:dyDescent="0.25">
      <c r="A133" s="155"/>
      <c r="B133" s="72" t="str">
        <f t="shared" si="4"/>
        <v>PUR0132</v>
      </c>
      <c r="C133" s="50"/>
      <c r="D133" s="50"/>
      <c r="E133" s="50" t="str">
        <f>IF(D133="","",VLOOKUP(D133,'Product Master'!$B:$G,3,FALSE))</f>
        <v/>
      </c>
      <c r="F133" s="50"/>
      <c r="G133" s="50" t="str">
        <f>IF(D133="","",VLOOKUP(D133,'Product Master'!$B:$G,4,FALSE))</f>
        <v/>
      </c>
      <c r="H133" s="157" t="str">
        <f t="shared" si="5"/>
        <v/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</row>
    <row r="134" spans="1:19" x14ac:dyDescent="0.25">
      <c r="A134" s="155"/>
      <c r="B134" s="72" t="str">
        <f t="shared" si="4"/>
        <v>PUR0133</v>
      </c>
      <c r="C134" s="50"/>
      <c r="D134" s="50"/>
      <c r="E134" s="50" t="str">
        <f>IF(D134="","",VLOOKUP(D134,'Product Master'!$B:$G,3,FALSE))</f>
        <v/>
      </c>
      <c r="F134" s="50"/>
      <c r="G134" s="50" t="str">
        <f>IF(D134="","",VLOOKUP(D134,'Product Master'!$B:$G,4,FALSE))</f>
        <v/>
      </c>
      <c r="H134" s="157" t="str">
        <f t="shared" si="5"/>
        <v/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</row>
    <row r="135" spans="1:19" x14ac:dyDescent="0.25">
      <c r="A135" s="155"/>
      <c r="B135" s="72" t="str">
        <f t="shared" si="4"/>
        <v>PUR0134</v>
      </c>
      <c r="C135" s="50"/>
      <c r="D135" s="50"/>
      <c r="E135" s="50" t="str">
        <f>IF(D135="","",VLOOKUP(D135,'Product Master'!$B:$G,3,FALSE))</f>
        <v/>
      </c>
      <c r="F135" s="50"/>
      <c r="G135" s="50" t="str">
        <f>IF(D135="","",VLOOKUP(D135,'Product Master'!$B:$G,4,FALSE))</f>
        <v/>
      </c>
      <c r="H135" s="157" t="str">
        <f t="shared" si="5"/>
        <v/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</row>
    <row r="136" spans="1:19" x14ac:dyDescent="0.25">
      <c r="A136" s="155"/>
      <c r="B136" s="72" t="str">
        <f t="shared" si="4"/>
        <v>PUR0135</v>
      </c>
      <c r="C136" s="50"/>
      <c r="D136" s="50"/>
      <c r="E136" s="50" t="str">
        <f>IF(D136="","",VLOOKUP(D136,'Product Master'!$B:$G,3,FALSE))</f>
        <v/>
      </c>
      <c r="F136" s="50"/>
      <c r="G136" s="50" t="str">
        <f>IF(D136="","",VLOOKUP(D136,'Product Master'!$B:$G,4,FALSE))</f>
        <v/>
      </c>
      <c r="H136" s="157" t="str">
        <f t="shared" si="5"/>
        <v/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1:19" x14ac:dyDescent="0.25">
      <c r="A137" s="155"/>
      <c r="B137" s="72" t="str">
        <f t="shared" si="4"/>
        <v>PUR0136</v>
      </c>
      <c r="C137" s="50"/>
      <c r="D137" s="50"/>
      <c r="E137" s="50" t="str">
        <f>IF(D137="","",VLOOKUP(D137,'Product Master'!$B:$G,3,FALSE))</f>
        <v/>
      </c>
      <c r="F137" s="50"/>
      <c r="G137" s="50" t="str">
        <f>IF(D137="","",VLOOKUP(D137,'Product Master'!$B:$G,4,FALSE))</f>
        <v/>
      </c>
      <c r="H137" s="157" t="str">
        <f t="shared" si="5"/>
        <v/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</row>
    <row r="138" spans="1:19" x14ac:dyDescent="0.25">
      <c r="A138" s="155"/>
      <c r="B138" s="72" t="str">
        <f t="shared" si="4"/>
        <v>PUR0137</v>
      </c>
      <c r="C138" s="50"/>
      <c r="D138" s="50"/>
      <c r="E138" s="50" t="str">
        <f>IF(D138="","",VLOOKUP(D138,'Product Master'!$B:$G,3,FALSE))</f>
        <v/>
      </c>
      <c r="F138" s="50"/>
      <c r="G138" s="50" t="str">
        <f>IF(D138="","",VLOOKUP(D138,'Product Master'!$B:$G,4,FALSE))</f>
        <v/>
      </c>
      <c r="H138" s="157" t="str">
        <f t="shared" si="5"/>
        <v/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</row>
    <row r="139" spans="1:19" x14ac:dyDescent="0.25">
      <c r="A139" s="155"/>
      <c r="B139" s="72" t="str">
        <f t="shared" si="4"/>
        <v>PUR0138</v>
      </c>
      <c r="C139" s="50"/>
      <c r="D139" s="50"/>
      <c r="E139" s="50" t="str">
        <f>IF(D139="","",VLOOKUP(D139,'Product Master'!$B:$G,3,FALSE))</f>
        <v/>
      </c>
      <c r="F139" s="50"/>
      <c r="G139" s="50" t="str">
        <f>IF(D139="","",VLOOKUP(D139,'Product Master'!$B:$G,4,FALSE))</f>
        <v/>
      </c>
      <c r="H139" s="157" t="str">
        <f t="shared" si="5"/>
        <v/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</row>
    <row r="140" spans="1:19" x14ac:dyDescent="0.25">
      <c r="A140" s="155"/>
      <c r="B140" s="72" t="str">
        <f t="shared" si="4"/>
        <v>PUR0139</v>
      </c>
      <c r="C140" s="50"/>
      <c r="D140" s="50"/>
      <c r="E140" s="50" t="str">
        <f>IF(D140="","",VLOOKUP(D140,'Product Master'!$B:$G,3,FALSE))</f>
        <v/>
      </c>
      <c r="F140" s="50"/>
      <c r="G140" s="50" t="str">
        <f>IF(D140="","",VLOOKUP(D140,'Product Master'!$B:$G,4,FALSE))</f>
        <v/>
      </c>
      <c r="H140" s="157" t="str">
        <f t="shared" si="5"/>
        <v/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</row>
    <row r="141" spans="1:19" x14ac:dyDescent="0.25">
      <c r="A141" s="155"/>
      <c r="B141" s="72" t="str">
        <f t="shared" si="4"/>
        <v>PUR0140</v>
      </c>
      <c r="C141" s="50"/>
      <c r="D141" s="50"/>
      <c r="E141" s="50" t="str">
        <f>IF(D141="","",VLOOKUP(D141,'Product Master'!$B:$G,3,FALSE))</f>
        <v/>
      </c>
      <c r="F141" s="50"/>
      <c r="G141" s="50" t="str">
        <f>IF(D141="","",VLOOKUP(D141,'Product Master'!$B:$G,4,FALSE))</f>
        <v/>
      </c>
      <c r="H141" s="157" t="str">
        <f t="shared" si="5"/>
        <v/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</row>
    <row r="142" spans="1:19" x14ac:dyDescent="0.25">
      <c r="A142" s="155"/>
      <c r="B142" s="72" t="str">
        <f t="shared" si="4"/>
        <v>PUR0141</v>
      </c>
      <c r="C142" s="50"/>
      <c r="D142" s="50"/>
      <c r="E142" s="50" t="str">
        <f>IF(D142="","",VLOOKUP(D142,'Product Master'!$B:$G,3,FALSE))</f>
        <v/>
      </c>
      <c r="F142" s="50"/>
      <c r="G142" s="50" t="str">
        <f>IF(D142="","",VLOOKUP(D142,'Product Master'!$B:$G,4,FALSE))</f>
        <v/>
      </c>
      <c r="H142" s="157" t="str">
        <f t="shared" si="5"/>
        <v/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</row>
    <row r="143" spans="1:19" x14ac:dyDescent="0.25">
      <c r="A143" s="155"/>
      <c r="B143" s="72" t="str">
        <f t="shared" si="4"/>
        <v>PUR0142</v>
      </c>
      <c r="C143" s="50"/>
      <c r="D143" s="50"/>
      <c r="E143" s="50" t="str">
        <f>IF(D143="","",VLOOKUP(D143,'Product Master'!$B:$G,3,FALSE))</f>
        <v/>
      </c>
      <c r="F143" s="50"/>
      <c r="G143" s="50" t="str">
        <f>IF(D143="","",VLOOKUP(D143,'Product Master'!$B:$G,4,FALSE))</f>
        <v/>
      </c>
      <c r="H143" s="157" t="str">
        <f t="shared" si="5"/>
        <v/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</row>
    <row r="144" spans="1:19" x14ac:dyDescent="0.25">
      <c r="A144" s="155"/>
      <c r="B144" s="72" t="str">
        <f t="shared" si="4"/>
        <v>PUR0143</v>
      </c>
      <c r="C144" s="50"/>
      <c r="D144" s="50"/>
      <c r="E144" s="50" t="str">
        <f>IF(D144="","",VLOOKUP(D144,'Product Master'!$B:$G,3,FALSE))</f>
        <v/>
      </c>
      <c r="F144" s="50"/>
      <c r="G144" s="50" t="str">
        <f>IF(D144="","",VLOOKUP(D144,'Product Master'!$B:$G,4,FALSE))</f>
        <v/>
      </c>
      <c r="H144" s="157" t="str">
        <f t="shared" si="5"/>
        <v/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</row>
    <row r="145" spans="1:19" x14ac:dyDescent="0.25">
      <c r="A145" s="155"/>
      <c r="B145" s="72" t="str">
        <f t="shared" si="4"/>
        <v>PUR0144</v>
      </c>
      <c r="C145" s="50"/>
      <c r="D145" s="50"/>
      <c r="E145" s="50" t="str">
        <f>IF(D145="","",VLOOKUP(D145,'Product Master'!$B:$G,3,FALSE))</f>
        <v/>
      </c>
      <c r="F145" s="50"/>
      <c r="G145" s="50" t="str">
        <f>IF(D145="","",VLOOKUP(D145,'Product Master'!$B:$G,4,FALSE))</f>
        <v/>
      </c>
      <c r="H145" s="157" t="str">
        <f t="shared" si="5"/>
        <v/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</row>
    <row r="146" spans="1:19" x14ac:dyDescent="0.25">
      <c r="A146" s="155"/>
      <c r="B146" s="72" t="str">
        <f t="shared" si="4"/>
        <v>PUR0145</v>
      </c>
      <c r="C146" s="50"/>
      <c r="D146" s="50"/>
      <c r="E146" s="50" t="str">
        <f>IF(D146="","",VLOOKUP(D146,'Product Master'!$B:$G,3,FALSE))</f>
        <v/>
      </c>
      <c r="F146" s="50"/>
      <c r="G146" s="50" t="str">
        <f>IF(D146="","",VLOOKUP(D146,'Product Master'!$B:$G,4,FALSE))</f>
        <v/>
      </c>
      <c r="H146" s="157" t="str">
        <f t="shared" si="5"/>
        <v/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</row>
    <row r="147" spans="1:19" x14ac:dyDescent="0.25">
      <c r="A147" s="155"/>
      <c r="B147" s="72" t="str">
        <f t="shared" si="4"/>
        <v>PUR0146</v>
      </c>
      <c r="C147" s="50"/>
      <c r="D147" s="50"/>
      <c r="E147" s="50" t="str">
        <f>IF(D147="","",VLOOKUP(D147,'Product Master'!$B:$G,3,FALSE))</f>
        <v/>
      </c>
      <c r="F147" s="50"/>
      <c r="G147" s="50" t="str">
        <f>IF(D147="","",VLOOKUP(D147,'Product Master'!$B:$G,4,FALSE))</f>
        <v/>
      </c>
      <c r="H147" s="157" t="str">
        <f t="shared" si="5"/>
        <v/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1:19" x14ac:dyDescent="0.25">
      <c r="A148" s="155"/>
      <c r="B148" s="72" t="str">
        <f t="shared" si="4"/>
        <v>PUR0147</v>
      </c>
      <c r="C148" s="50"/>
      <c r="D148" s="50"/>
      <c r="E148" s="50" t="str">
        <f>IF(D148="","",VLOOKUP(D148,'Product Master'!$B:$G,3,FALSE))</f>
        <v/>
      </c>
      <c r="F148" s="50"/>
      <c r="G148" s="50" t="str">
        <f>IF(D148="","",VLOOKUP(D148,'Product Master'!$B:$G,4,FALSE))</f>
        <v/>
      </c>
      <c r="H148" s="157" t="str">
        <f t="shared" si="5"/>
        <v/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</row>
    <row r="149" spans="1:19" x14ac:dyDescent="0.25">
      <c r="A149" s="155"/>
      <c r="B149" s="72" t="str">
        <f t="shared" si="4"/>
        <v>PUR0148</v>
      </c>
      <c r="C149" s="50"/>
      <c r="D149" s="50"/>
      <c r="E149" s="50" t="str">
        <f>IF(D149="","",VLOOKUP(D149,'Product Master'!$B:$G,3,FALSE))</f>
        <v/>
      </c>
      <c r="F149" s="50"/>
      <c r="G149" s="50" t="str">
        <f>IF(D149="","",VLOOKUP(D149,'Product Master'!$B:$G,4,FALSE))</f>
        <v/>
      </c>
      <c r="H149" s="157" t="str">
        <f t="shared" si="5"/>
        <v/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</row>
    <row r="150" spans="1:19" x14ac:dyDescent="0.25">
      <c r="A150" s="155"/>
      <c r="B150" s="72" t="str">
        <f t="shared" si="4"/>
        <v>PUR0149</v>
      </c>
      <c r="C150" s="50"/>
      <c r="D150" s="50"/>
      <c r="E150" s="50" t="str">
        <f>IF(D150="","",VLOOKUP(D150,'Product Master'!$B:$G,3,FALSE))</f>
        <v/>
      </c>
      <c r="F150" s="50"/>
      <c r="G150" s="50" t="str">
        <f>IF(D150="","",VLOOKUP(D150,'Product Master'!$B:$G,4,FALSE))</f>
        <v/>
      </c>
      <c r="H150" s="157" t="str">
        <f t="shared" si="5"/>
        <v/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</row>
    <row r="151" spans="1:19" x14ac:dyDescent="0.25">
      <c r="A151" s="155"/>
      <c r="B151" s="72" t="str">
        <f t="shared" si="4"/>
        <v>PUR0150</v>
      </c>
      <c r="C151" s="50"/>
      <c r="D151" s="50"/>
      <c r="E151" s="50" t="str">
        <f>IF(D151="","",VLOOKUP(D151,'Product Master'!$B:$G,3,FALSE))</f>
        <v/>
      </c>
      <c r="F151" s="50"/>
      <c r="G151" s="50" t="str">
        <f>IF(D151="","",VLOOKUP(D151,'Product Master'!$B:$G,4,FALSE))</f>
        <v/>
      </c>
      <c r="H151" s="157" t="str">
        <f t="shared" si="5"/>
        <v/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</row>
    <row r="152" spans="1:19" x14ac:dyDescent="0.25">
      <c r="A152" s="155"/>
      <c r="B152" s="72" t="str">
        <f t="shared" si="4"/>
        <v>PUR0151</v>
      </c>
      <c r="C152" s="50"/>
      <c r="D152" s="50"/>
      <c r="E152" s="50" t="str">
        <f>IF(D152="","",VLOOKUP(D152,'Product Master'!$B:$G,3,FALSE))</f>
        <v/>
      </c>
      <c r="F152" s="50"/>
      <c r="G152" s="50" t="str">
        <f>IF(D152="","",VLOOKUP(D152,'Product Master'!$B:$G,4,FALSE))</f>
        <v/>
      </c>
      <c r="H152" s="157" t="str">
        <f t="shared" si="5"/>
        <v/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</row>
    <row r="153" spans="1:19" x14ac:dyDescent="0.25">
      <c r="A153" s="155"/>
      <c r="B153" s="72" t="str">
        <f t="shared" si="4"/>
        <v>PUR0152</v>
      </c>
      <c r="C153" s="50"/>
      <c r="D153" s="50"/>
      <c r="E153" s="50" t="str">
        <f>IF(D153="","",VLOOKUP(D153,'Product Master'!$B:$G,3,FALSE))</f>
        <v/>
      </c>
      <c r="F153" s="50"/>
      <c r="G153" s="50" t="str">
        <f>IF(D153="","",VLOOKUP(D153,'Product Master'!$B:$G,4,FALSE))</f>
        <v/>
      </c>
      <c r="H153" s="157" t="str">
        <f t="shared" si="5"/>
        <v/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</row>
    <row r="154" spans="1:19" x14ac:dyDescent="0.25">
      <c r="A154" s="155"/>
      <c r="B154" s="72" t="str">
        <f t="shared" si="4"/>
        <v>PUR0153</v>
      </c>
      <c r="C154" s="50"/>
      <c r="D154" s="50"/>
      <c r="E154" s="50" t="str">
        <f>IF(D154="","",VLOOKUP(D154,'Product Master'!$B:$G,3,FALSE))</f>
        <v/>
      </c>
      <c r="F154" s="50"/>
      <c r="G154" s="50" t="str">
        <f>IF(D154="","",VLOOKUP(D154,'Product Master'!$B:$G,4,FALSE))</f>
        <v/>
      </c>
      <c r="H154" s="157" t="str">
        <f t="shared" si="5"/>
        <v/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</row>
    <row r="155" spans="1:19" x14ac:dyDescent="0.25">
      <c r="A155" s="155"/>
      <c r="B155" s="72" t="str">
        <f t="shared" si="4"/>
        <v>PUR0154</v>
      </c>
      <c r="C155" s="50"/>
      <c r="D155" s="50"/>
      <c r="E155" s="50" t="str">
        <f>IF(D155="","",VLOOKUP(D155,'Product Master'!$B:$G,3,FALSE))</f>
        <v/>
      </c>
      <c r="F155" s="50"/>
      <c r="G155" s="50" t="str">
        <f>IF(D155="","",VLOOKUP(D155,'Product Master'!$B:$G,4,FALSE))</f>
        <v/>
      </c>
      <c r="H155" s="157" t="str">
        <f t="shared" si="5"/>
        <v/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</row>
    <row r="156" spans="1:19" x14ac:dyDescent="0.25">
      <c r="A156" s="155"/>
      <c r="B156" s="72" t="str">
        <f t="shared" si="4"/>
        <v>PUR0155</v>
      </c>
      <c r="C156" s="50"/>
      <c r="D156" s="50"/>
      <c r="E156" s="50" t="str">
        <f>IF(D156="","",VLOOKUP(D156,'Product Master'!$B:$G,3,FALSE))</f>
        <v/>
      </c>
      <c r="F156" s="50"/>
      <c r="G156" s="50" t="str">
        <f>IF(D156="","",VLOOKUP(D156,'Product Master'!$B:$G,4,FALSE))</f>
        <v/>
      </c>
      <c r="H156" s="157" t="str">
        <f t="shared" si="5"/>
        <v/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</row>
    <row r="157" spans="1:19" x14ac:dyDescent="0.25">
      <c r="A157" s="155"/>
      <c r="B157" s="72" t="str">
        <f t="shared" si="4"/>
        <v>PUR0156</v>
      </c>
      <c r="C157" s="50"/>
      <c r="D157" s="50"/>
      <c r="E157" s="50" t="str">
        <f>IF(D157="","",VLOOKUP(D157,'Product Master'!$B:$G,3,FALSE))</f>
        <v/>
      </c>
      <c r="F157" s="50"/>
      <c r="G157" s="50" t="str">
        <f>IF(D157="","",VLOOKUP(D157,'Product Master'!$B:$G,4,FALSE))</f>
        <v/>
      </c>
      <c r="H157" s="157" t="str">
        <f t="shared" si="5"/>
        <v/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</row>
    <row r="158" spans="1:19" x14ac:dyDescent="0.25">
      <c r="A158" s="155"/>
      <c r="B158" s="72" t="str">
        <f t="shared" si="4"/>
        <v>PUR0157</v>
      </c>
      <c r="C158" s="50"/>
      <c r="D158" s="50"/>
      <c r="E158" s="50" t="str">
        <f>IF(D158="","",VLOOKUP(D158,'Product Master'!$B:$G,3,FALSE))</f>
        <v/>
      </c>
      <c r="F158" s="50"/>
      <c r="G158" s="50" t="str">
        <f>IF(D158="","",VLOOKUP(D158,'Product Master'!$B:$G,4,FALSE))</f>
        <v/>
      </c>
      <c r="H158" s="157" t="str">
        <f t="shared" si="5"/>
        <v/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1:19" x14ac:dyDescent="0.25">
      <c r="A159" s="155"/>
      <c r="B159" s="72" t="str">
        <f t="shared" si="4"/>
        <v>PUR0158</v>
      </c>
      <c r="C159" s="50"/>
      <c r="D159" s="50"/>
      <c r="E159" s="50" t="str">
        <f>IF(D159="","",VLOOKUP(D159,'Product Master'!$B:$G,3,FALSE))</f>
        <v/>
      </c>
      <c r="F159" s="50"/>
      <c r="G159" s="50" t="str">
        <f>IF(D159="","",VLOOKUP(D159,'Product Master'!$B:$G,4,FALSE))</f>
        <v/>
      </c>
      <c r="H159" s="157" t="str">
        <f t="shared" si="5"/>
        <v/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</row>
    <row r="160" spans="1:19" x14ac:dyDescent="0.25">
      <c r="A160" s="155"/>
      <c r="B160" s="72" t="str">
        <f t="shared" si="4"/>
        <v>PUR0159</v>
      </c>
      <c r="C160" s="50"/>
      <c r="D160" s="50"/>
      <c r="E160" s="50" t="str">
        <f>IF(D160="","",VLOOKUP(D160,'Product Master'!$B:$G,3,FALSE))</f>
        <v/>
      </c>
      <c r="F160" s="50"/>
      <c r="G160" s="50" t="str">
        <f>IF(D160="","",VLOOKUP(D160,'Product Master'!$B:$G,4,FALSE))</f>
        <v/>
      </c>
      <c r="H160" s="157" t="str">
        <f t="shared" si="5"/>
        <v/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</row>
    <row r="161" spans="1:19" x14ac:dyDescent="0.25">
      <c r="A161" s="155"/>
      <c r="B161" s="72" t="str">
        <f t="shared" ref="B161:B224" si="6">"PUR"&amp;TEXT(ROW()-1,"0000")</f>
        <v>PUR0160</v>
      </c>
      <c r="C161" s="50"/>
      <c r="D161" s="50"/>
      <c r="E161" s="50" t="str">
        <f>IF(D161="","",VLOOKUP(D161,'Product Master'!$B:$G,3,FALSE))</f>
        <v/>
      </c>
      <c r="F161" s="50"/>
      <c r="G161" s="50" t="str">
        <f>IF(D161="","",VLOOKUP(D161,'Product Master'!$B:$G,4,FALSE))</f>
        <v/>
      </c>
      <c r="H161" s="157" t="str">
        <f t="shared" ref="H161:H224" si="7">IF(OR(F161="",G161=""),"",F161*G161)</f>
        <v/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</row>
    <row r="162" spans="1:19" x14ac:dyDescent="0.25">
      <c r="A162" s="155"/>
      <c r="B162" s="72" t="str">
        <f t="shared" si="6"/>
        <v>PUR0161</v>
      </c>
      <c r="C162" s="50"/>
      <c r="D162" s="50"/>
      <c r="E162" s="50" t="str">
        <f>IF(D162="","",VLOOKUP(D162,'Product Master'!$B:$G,3,FALSE))</f>
        <v/>
      </c>
      <c r="F162" s="50"/>
      <c r="G162" s="50" t="str">
        <f>IF(D162="","",VLOOKUP(D162,'Product Master'!$B:$G,4,FALSE))</f>
        <v/>
      </c>
      <c r="H162" s="157" t="str">
        <f t="shared" si="7"/>
        <v/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</row>
    <row r="163" spans="1:19" x14ac:dyDescent="0.25">
      <c r="A163" s="155"/>
      <c r="B163" s="72" t="str">
        <f t="shared" si="6"/>
        <v>PUR0162</v>
      </c>
      <c r="C163" s="50"/>
      <c r="D163" s="50"/>
      <c r="E163" s="50" t="str">
        <f>IF(D163="","",VLOOKUP(D163,'Product Master'!$B:$G,3,FALSE))</f>
        <v/>
      </c>
      <c r="F163" s="50"/>
      <c r="G163" s="50" t="str">
        <f>IF(D163="","",VLOOKUP(D163,'Product Master'!$B:$G,4,FALSE))</f>
        <v/>
      </c>
      <c r="H163" s="157" t="str">
        <f t="shared" si="7"/>
        <v/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</row>
    <row r="164" spans="1:19" x14ac:dyDescent="0.25">
      <c r="A164" s="155"/>
      <c r="B164" s="72" t="str">
        <f t="shared" si="6"/>
        <v>PUR0163</v>
      </c>
      <c r="C164" s="50"/>
      <c r="D164" s="50"/>
      <c r="E164" s="50" t="str">
        <f>IF(D164="","",VLOOKUP(D164,'Product Master'!$B:$G,3,FALSE))</f>
        <v/>
      </c>
      <c r="F164" s="50"/>
      <c r="G164" s="50" t="str">
        <f>IF(D164="","",VLOOKUP(D164,'Product Master'!$B:$G,4,FALSE))</f>
        <v/>
      </c>
      <c r="H164" s="157" t="str">
        <f t="shared" si="7"/>
        <v/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</row>
    <row r="165" spans="1:19" x14ac:dyDescent="0.25">
      <c r="A165" s="155"/>
      <c r="B165" s="72" t="str">
        <f t="shared" si="6"/>
        <v>PUR0164</v>
      </c>
      <c r="C165" s="50"/>
      <c r="D165" s="50"/>
      <c r="E165" s="50" t="str">
        <f>IF(D165="","",VLOOKUP(D165,'Product Master'!$B:$G,3,FALSE))</f>
        <v/>
      </c>
      <c r="F165" s="50"/>
      <c r="G165" s="50" t="str">
        <f>IF(D165="","",VLOOKUP(D165,'Product Master'!$B:$G,4,FALSE))</f>
        <v/>
      </c>
      <c r="H165" s="157" t="str">
        <f t="shared" si="7"/>
        <v/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</row>
    <row r="166" spans="1:19" x14ac:dyDescent="0.25">
      <c r="A166" s="155"/>
      <c r="B166" s="72" t="str">
        <f t="shared" si="6"/>
        <v>PUR0165</v>
      </c>
      <c r="C166" s="50"/>
      <c r="D166" s="50"/>
      <c r="E166" s="50" t="str">
        <f>IF(D166="","",VLOOKUP(D166,'Product Master'!$B:$G,3,FALSE))</f>
        <v/>
      </c>
      <c r="F166" s="50"/>
      <c r="G166" s="50" t="str">
        <f>IF(D166="","",VLOOKUP(D166,'Product Master'!$B:$G,4,FALSE))</f>
        <v/>
      </c>
      <c r="H166" s="157" t="str">
        <f t="shared" si="7"/>
        <v/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</row>
    <row r="167" spans="1:19" x14ac:dyDescent="0.25">
      <c r="A167" s="155"/>
      <c r="B167" s="72" t="str">
        <f t="shared" si="6"/>
        <v>PUR0166</v>
      </c>
      <c r="C167" s="50"/>
      <c r="D167" s="50"/>
      <c r="E167" s="50" t="str">
        <f>IF(D167="","",VLOOKUP(D167,'Product Master'!$B:$G,3,FALSE))</f>
        <v/>
      </c>
      <c r="F167" s="50"/>
      <c r="G167" s="50" t="str">
        <f>IF(D167="","",VLOOKUP(D167,'Product Master'!$B:$G,4,FALSE))</f>
        <v/>
      </c>
      <c r="H167" s="157" t="str">
        <f t="shared" si="7"/>
        <v/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</row>
    <row r="168" spans="1:19" x14ac:dyDescent="0.25">
      <c r="A168" s="155"/>
      <c r="B168" s="72" t="str">
        <f t="shared" si="6"/>
        <v>PUR0167</v>
      </c>
      <c r="C168" s="50"/>
      <c r="D168" s="50"/>
      <c r="E168" s="50" t="str">
        <f>IF(D168="","",VLOOKUP(D168,'Product Master'!$B:$G,3,FALSE))</f>
        <v/>
      </c>
      <c r="F168" s="50"/>
      <c r="G168" s="50" t="str">
        <f>IF(D168="","",VLOOKUP(D168,'Product Master'!$B:$G,4,FALSE))</f>
        <v/>
      </c>
      <c r="H168" s="157" t="str">
        <f t="shared" si="7"/>
        <v/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</row>
    <row r="169" spans="1:19" x14ac:dyDescent="0.25">
      <c r="A169" s="155"/>
      <c r="B169" s="72" t="str">
        <f t="shared" si="6"/>
        <v>PUR0168</v>
      </c>
      <c r="C169" s="50"/>
      <c r="D169" s="50"/>
      <c r="E169" s="50" t="str">
        <f>IF(D169="","",VLOOKUP(D169,'Product Master'!$B:$G,3,FALSE))</f>
        <v/>
      </c>
      <c r="F169" s="50"/>
      <c r="G169" s="50" t="str">
        <f>IF(D169="","",VLOOKUP(D169,'Product Master'!$B:$G,4,FALSE))</f>
        <v/>
      </c>
      <c r="H169" s="157" t="str">
        <f t="shared" si="7"/>
        <v/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1:19" x14ac:dyDescent="0.25">
      <c r="A170" s="155"/>
      <c r="B170" s="72" t="str">
        <f t="shared" si="6"/>
        <v>PUR0169</v>
      </c>
      <c r="C170" s="50"/>
      <c r="D170" s="50"/>
      <c r="E170" s="50" t="str">
        <f>IF(D170="","",VLOOKUP(D170,'Product Master'!$B:$G,3,FALSE))</f>
        <v/>
      </c>
      <c r="F170" s="50"/>
      <c r="G170" s="50" t="str">
        <f>IF(D170="","",VLOOKUP(D170,'Product Master'!$B:$G,4,FALSE))</f>
        <v/>
      </c>
      <c r="H170" s="157" t="str">
        <f t="shared" si="7"/>
        <v/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</row>
    <row r="171" spans="1:19" x14ac:dyDescent="0.25">
      <c r="A171" s="155"/>
      <c r="B171" s="72" t="str">
        <f t="shared" si="6"/>
        <v>PUR0170</v>
      </c>
      <c r="C171" s="50"/>
      <c r="D171" s="50"/>
      <c r="E171" s="50" t="str">
        <f>IF(D171="","",VLOOKUP(D171,'Product Master'!$B:$G,3,FALSE))</f>
        <v/>
      </c>
      <c r="F171" s="50"/>
      <c r="G171" s="50" t="str">
        <f>IF(D171="","",VLOOKUP(D171,'Product Master'!$B:$G,4,FALSE))</f>
        <v/>
      </c>
      <c r="H171" s="157" t="str">
        <f t="shared" si="7"/>
        <v/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</row>
    <row r="172" spans="1:19" x14ac:dyDescent="0.25">
      <c r="A172" s="155"/>
      <c r="B172" s="72" t="str">
        <f t="shared" si="6"/>
        <v>PUR0171</v>
      </c>
      <c r="C172" s="50"/>
      <c r="D172" s="50"/>
      <c r="E172" s="50" t="str">
        <f>IF(D172="","",VLOOKUP(D172,'Product Master'!$B:$G,3,FALSE))</f>
        <v/>
      </c>
      <c r="F172" s="50"/>
      <c r="G172" s="50" t="str">
        <f>IF(D172="","",VLOOKUP(D172,'Product Master'!$B:$G,4,FALSE))</f>
        <v/>
      </c>
      <c r="H172" s="157" t="str">
        <f t="shared" si="7"/>
        <v/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</row>
    <row r="173" spans="1:19" x14ac:dyDescent="0.25">
      <c r="A173" s="155"/>
      <c r="B173" s="72" t="str">
        <f t="shared" si="6"/>
        <v>PUR0172</v>
      </c>
      <c r="C173" s="50"/>
      <c r="D173" s="50"/>
      <c r="E173" s="50" t="str">
        <f>IF(D173="","",VLOOKUP(D173,'Product Master'!$B:$G,3,FALSE))</f>
        <v/>
      </c>
      <c r="F173" s="50"/>
      <c r="G173" s="50" t="str">
        <f>IF(D173="","",VLOOKUP(D173,'Product Master'!$B:$G,4,FALSE))</f>
        <v/>
      </c>
      <c r="H173" s="157" t="str">
        <f t="shared" si="7"/>
        <v/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</row>
    <row r="174" spans="1:19" x14ac:dyDescent="0.25">
      <c r="A174" s="155"/>
      <c r="B174" s="72" t="str">
        <f t="shared" si="6"/>
        <v>PUR0173</v>
      </c>
      <c r="C174" s="50"/>
      <c r="D174" s="50"/>
      <c r="E174" s="50" t="str">
        <f>IF(D174="","",VLOOKUP(D174,'Product Master'!$B:$G,3,FALSE))</f>
        <v/>
      </c>
      <c r="F174" s="50"/>
      <c r="G174" s="50" t="str">
        <f>IF(D174="","",VLOOKUP(D174,'Product Master'!$B:$G,4,FALSE))</f>
        <v/>
      </c>
      <c r="H174" s="157" t="str">
        <f t="shared" si="7"/>
        <v/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</row>
    <row r="175" spans="1:19" x14ac:dyDescent="0.25">
      <c r="A175" s="155"/>
      <c r="B175" s="72" t="str">
        <f t="shared" si="6"/>
        <v>PUR0174</v>
      </c>
      <c r="C175" s="50"/>
      <c r="D175" s="50"/>
      <c r="E175" s="50" t="str">
        <f>IF(D175="","",VLOOKUP(D175,'Product Master'!$B:$G,3,FALSE))</f>
        <v/>
      </c>
      <c r="F175" s="50"/>
      <c r="G175" s="50" t="str">
        <f>IF(D175="","",VLOOKUP(D175,'Product Master'!$B:$G,4,FALSE))</f>
        <v/>
      </c>
      <c r="H175" s="157" t="str">
        <f t="shared" si="7"/>
        <v/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</row>
    <row r="176" spans="1:19" x14ac:dyDescent="0.25">
      <c r="A176" s="155"/>
      <c r="B176" s="72" t="str">
        <f t="shared" si="6"/>
        <v>PUR0175</v>
      </c>
      <c r="C176" s="50"/>
      <c r="D176" s="50"/>
      <c r="E176" s="50" t="str">
        <f>IF(D176="","",VLOOKUP(D176,'Product Master'!$B:$G,3,FALSE))</f>
        <v/>
      </c>
      <c r="F176" s="50"/>
      <c r="G176" s="50" t="str">
        <f>IF(D176="","",VLOOKUP(D176,'Product Master'!$B:$G,4,FALSE))</f>
        <v/>
      </c>
      <c r="H176" s="157" t="str">
        <f t="shared" si="7"/>
        <v/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</row>
    <row r="177" spans="1:19" x14ac:dyDescent="0.25">
      <c r="A177" s="155"/>
      <c r="B177" s="72" t="str">
        <f t="shared" si="6"/>
        <v>PUR0176</v>
      </c>
      <c r="C177" s="50"/>
      <c r="D177" s="50"/>
      <c r="E177" s="50" t="str">
        <f>IF(D177="","",VLOOKUP(D177,'Product Master'!$B:$G,3,FALSE))</f>
        <v/>
      </c>
      <c r="F177" s="50"/>
      <c r="G177" s="50" t="str">
        <f>IF(D177="","",VLOOKUP(D177,'Product Master'!$B:$G,4,FALSE))</f>
        <v/>
      </c>
      <c r="H177" s="157" t="str">
        <f t="shared" si="7"/>
        <v/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</row>
    <row r="178" spans="1:19" x14ac:dyDescent="0.25">
      <c r="A178" s="155"/>
      <c r="B178" s="72" t="str">
        <f t="shared" si="6"/>
        <v>PUR0177</v>
      </c>
      <c r="C178" s="50"/>
      <c r="D178" s="50"/>
      <c r="E178" s="50" t="str">
        <f>IF(D178="","",VLOOKUP(D178,'Product Master'!$B:$G,3,FALSE))</f>
        <v/>
      </c>
      <c r="F178" s="50"/>
      <c r="G178" s="50" t="str">
        <f>IF(D178="","",VLOOKUP(D178,'Product Master'!$B:$G,4,FALSE))</f>
        <v/>
      </c>
      <c r="H178" s="157" t="str">
        <f t="shared" si="7"/>
        <v/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</row>
    <row r="179" spans="1:19" x14ac:dyDescent="0.25">
      <c r="A179" s="155"/>
      <c r="B179" s="72" t="str">
        <f t="shared" si="6"/>
        <v>PUR0178</v>
      </c>
      <c r="C179" s="50"/>
      <c r="D179" s="50"/>
      <c r="E179" s="50" t="str">
        <f>IF(D179="","",VLOOKUP(D179,'Product Master'!$B:$G,3,FALSE))</f>
        <v/>
      </c>
      <c r="F179" s="50"/>
      <c r="G179" s="50" t="str">
        <f>IF(D179="","",VLOOKUP(D179,'Product Master'!$B:$G,4,FALSE))</f>
        <v/>
      </c>
      <c r="H179" s="157" t="str">
        <f t="shared" si="7"/>
        <v/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</row>
    <row r="180" spans="1:19" x14ac:dyDescent="0.25">
      <c r="A180" s="155"/>
      <c r="B180" s="72" t="str">
        <f t="shared" si="6"/>
        <v>PUR0179</v>
      </c>
      <c r="C180" s="50"/>
      <c r="D180" s="50"/>
      <c r="E180" s="50" t="str">
        <f>IF(D180="","",VLOOKUP(D180,'Product Master'!$B:$G,3,FALSE))</f>
        <v/>
      </c>
      <c r="F180" s="50"/>
      <c r="G180" s="50" t="str">
        <f>IF(D180="","",VLOOKUP(D180,'Product Master'!$B:$G,4,FALSE))</f>
        <v/>
      </c>
      <c r="H180" s="157" t="str">
        <f t="shared" si="7"/>
        <v/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</row>
    <row r="181" spans="1:19" x14ac:dyDescent="0.25">
      <c r="A181" s="155"/>
      <c r="B181" s="72" t="str">
        <f t="shared" si="6"/>
        <v>PUR0180</v>
      </c>
      <c r="C181" s="50"/>
      <c r="D181" s="50"/>
      <c r="E181" s="50" t="str">
        <f>IF(D181="","",VLOOKUP(D181,'Product Master'!$B:$G,3,FALSE))</f>
        <v/>
      </c>
      <c r="F181" s="50"/>
      <c r="G181" s="50" t="str">
        <f>IF(D181="","",VLOOKUP(D181,'Product Master'!$B:$G,4,FALSE))</f>
        <v/>
      </c>
      <c r="H181" s="157" t="str">
        <f t="shared" si="7"/>
        <v/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</row>
    <row r="182" spans="1:19" x14ac:dyDescent="0.25">
      <c r="A182" s="155"/>
      <c r="B182" s="72" t="str">
        <f t="shared" si="6"/>
        <v>PUR0181</v>
      </c>
      <c r="C182" s="50"/>
      <c r="D182" s="50"/>
      <c r="E182" s="50" t="str">
        <f>IF(D182="","",VLOOKUP(D182,'Product Master'!$B:$G,3,FALSE))</f>
        <v/>
      </c>
      <c r="F182" s="50"/>
      <c r="G182" s="50" t="str">
        <f>IF(D182="","",VLOOKUP(D182,'Product Master'!$B:$G,4,FALSE))</f>
        <v/>
      </c>
      <c r="H182" s="157" t="str">
        <f t="shared" si="7"/>
        <v/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</row>
    <row r="183" spans="1:19" x14ac:dyDescent="0.25">
      <c r="A183" s="155"/>
      <c r="B183" s="72" t="str">
        <f t="shared" si="6"/>
        <v>PUR0182</v>
      </c>
      <c r="C183" s="50"/>
      <c r="D183" s="50"/>
      <c r="E183" s="50" t="str">
        <f>IF(D183="","",VLOOKUP(D183,'Product Master'!$B:$G,3,FALSE))</f>
        <v/>
      </c>
      <c r="F183" s="50"/>
      <c r="G183" s="50" t="str">
        <f>IF(D183="","",VLOOKUP(D183,'Product Master'!$B:$G,4,FALSE))</f>
        <v/>
      </c>
      <c r="H183" s="157" t="str">
        <f t="shared" si="7"/>
        <v/>
      </c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</row>
    <row r="184" spans="1:19" x14ac:dyDescent="0.25">
      <c r="A184" s="155"/>
      <c r="B184" s="72" t="str">
        <f t="shared" si="6"/>
        <v>PUR0183</v>
      </c>
      <c r="C184" s="50"/>
      <c r="D184" s="50"/>
      <c r="E184" s="50" t="str">
        <f>IF(D184="","",VLOOKUP(D184,'Product Master'!$B:$G,3,FALSE))</f>
        <v/>
      </c>
      <c r="F184" s="50"/>
      <c r="G184" s="50" t="str">
        <f>IF(D184="","",VLOOKUP(D184,'Product Master'!$B:$G,4,FALSE))</f>
        <v/>
      </c>
      <c r="H184" s="157" t="str">
        <f t="shared" si="7"/>
        <v/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</row>
    <row r="185" spans="1:19" x14ac:dyDescent="0.25">
      <c r="A185" s="155"/>
      <c r="B185" s="72" t="str">
        <f t="shared" si="6"/>
        <v>PUR0184</v>
      </c>
      <c r="C185" s="50"/>
      <c r="D185" s="50"/>
      <c r="E185" s="50" t="str">
        <f>IF(D185="","",VLOOKUP(D185,'Product Master'!$B:$G,3,FALSE))</f>
        <v/>
      </c>
      <c r="F185" s="50"/>
      <c r="G185" s="50" t="str">
        <f>IF(D185="","",VLOOKUP(D185,'Product Master'!$B:$G,4,FALSE))</f>
        <v/>
      </c>
      <c r="H185" s="157" t="str">
        <f t="shared" si="7"/>
        <v/>
      </c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</row>
    <row r="186" spans="1:19" x14ac:dyDescent="0.25">
      <c r="A186" s="155"/>
      <c r="B186" s="72" t="str">
        <f t="shared" si="6"/>
        <v>PUR0185</v>
      </c>
      <c r="C186" s="50"/>
      <c r="D186" s="50"/>
      <c r="E186" s="50" t="str">
        <f>IF(D186="","",VLOOKUP(D186,'Product Master'!$B:$G,3,FALSE))</f>
        <v/>
      </c>
      <c r="F186" s="50"/>
      <c r="G186" s="50" t="str">
        <f>IF(D186="","",VLOOKUP(D186,'Product Master'!$B:$G,4,FALSE))</f>
        <v/>
      </c>
      <c r="H186" s="157" t="str">
        <f t="shared" si="7"/>
        <v/>
      </c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</row>
    <row r="187" spans="1:19" x14ac:dyDescent="0.25">
      <c r="A187" s="155"/>
      <c r="B187" s="72" t="str">
        <f t="shared" si="6"/>
        <v>PUR0186</v>
      </c>
      <c r="C187" s="50"/>
      <c r="D187" s="50"/>
      <c r="E187" s="50" t="str">
        <f>IF(D187="","",VLOOKUP(D187,'Product Master'!$B:$G,3,FALSE))</f>
        <v/>
      </c>
      <c r="F187" s="50"/>
      <c r="G187" s="50" t="str">
        <f>IF(D187="","",VLOOKUP(D187,'Product Master'!$B:$G,4,FALSE))</f>
        <v/>
      </c>
      <c r="H187" s="157" t="str">
        <f t="shared" si="7"/>
        <v/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</row>
    <row r="188" spans="1:19" x14ac:dyDescent="0.25">
      <c r="A188" s="155"/>
      <c r="B188" s="72" t="str">
        <f t="shared" si="6"/>
        <v>PUR0187</v>
      </c>
      <c r="C188" s="50"/>
      <c r="D188" s="50"/>
      <c r="E188" s="50" t="str">
        <f>IF(D188="","",VLOOKUP(D188,'Product Master'!$B:$G,3,FALSE))</f>
        <v/>
      </c>
      <c r="F188" s="50"/>
      <c r="G188" s="50" t="str">
        <f>IF(D188="","",VLOOKUP(D188,'Product Master'!$B:$G,4,FALSE))</f>
        <v/>
      </c>
      <c r="H188" s="157" t="str">
        <f t="shared" si="7"/>
        <v/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</row>
    <row r="189" spans="1:19" x14ac:dyDescent="0.25">
      <c r="A189" s="155"/>
      <c r="B189" s="72" t="str">
        <f t="shared" si="6"/>
        <v>PUR0188</v>
      </c>
      <c r="C189" s="50"/>
      <c r="D189" s="50"/>
      <c r="E189" s="50" t="str">
        <f>IF(D189="","",VLOOKUP(D189,'Product Master'!$B:$G,3,FALSE))</f>
        <v/>
      </c>
      <c r="F189" s="50"/>
      <c r="G189" s="50" t="str">
        <f>IF(D189="","",VLOOKUP(D189,'Product Master'!$B:$G,4,FALSE))</f>
        <v/>
      </c>
      <c r="H189" s="157" t="str">
        <f t="shared" si="7"/>
        <v/>
      </c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</row>
    <row r="190" spans="1:19" x14ac:dyDescent="0.25">
      <c r="A190" s="155"/>
      <c r="B190" s="72" t="str">
        <f t="shared" si="6"/>
        <v>PUR0189</v>
      </c>
      <c r="C190" s="50"/>
      <c r="D190" s="50"/>
      <c r="E190" s="50" t="str">
        <f>IF(D190="","",VLOOKUP(D190,'Product Master'!$B:$G,3,FALSE))</f>
        <v/>
      </c>
      <c r="F190" s="50"/>
      <c r="G190" s="50" t="str">
        <f>IF(D190="","",VLOOKUP(D190,'Product Master'!$B:$G,4,FALSE))</f>
        <v/>
      </c>
      <c r="H190" s="157" t="str">
        <f t="shared" si="7"/>
        <v/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</row>
    <row r="191" spans="1:19" x14ac:dyDescent="0.25">
      <c r="A191" s="155"/>
      <c r="B191" s="72" t="str">
        <f t="shared" si="6"/>
        <v>PUR0190</v>
      </c>
      <c r="C191" s="50"/>
      <c r="D191" s="50"/>
      <c r="E191" s="50" t="str">
        <f>IF(D191="","",VLOOKUP(D191,'Product Master'!$B:$G,3,FALSE))</f>
        <v/>
      </c>
      <c r="F191" s="50"/>
      <c r="G191" s="50" t="str">
        <f>IF(D191="","",VLOOKUP(D191,'Product Master'!$B:$G,4,FALSE))</f>
        <v/>
      </c>
      <c r="H191" s="157" t="str">
        <f t="shared" si="7"/>
        <v/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1:19" x14ac:dyDescent="0.25">
      <c r="A192" s="155"/>
      <c r="B192" s="72" t="str">
        <f t="shared" si="6"/>
        <v>PUR0191</v>
      </c>
      <c r="C192" s="50"/>
      <c r="D192" s="50"/>
      <c r="E192" s="50" t="str">
        <f>IF(D192="","",VLOOKUP(D192,'Product Master'!$B:$G,3,FALSE))</f>
        <v/>
      </c>
      <c r="F192" s="50"/>
      <c r="G192" s="50" t="str">
        <f>IF(D192="","",VLOOKUP(D192,'Product Master'!$B:$G,4,FALSE))</f>
        <v/>
      </c>
      <c r="H192" s="157" t="str">
        <f t="shared" si="7"/>
        <v/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</row>
    <row r="193" spans="1:19" x14ac:dyDescent="0.25">
      <c r="A193" s="155"/>
      <c r="B193" s="72" t="str">
        <f t="shared" si="6"/>
        <v>PUR0192</v>
      </c>
      <c r="C193" s="50"/>
      <c r="D193" s="50"/>
      <c r="E193" s="50" t="str">
        <f>IF(D193="","",VLOOKUP(D193,'Product Master'!$B:$G,3,FALSE))</f>
        <v/>
      </c>
      <c r="F193" s="50"/>
      <c r="G193" s="50" t="str">
        <f>IF(D193="","",VLOOKUP(D193,'Product Master'!$B:$G,4,FALSE))</f>
        <v/>
      </c>
      <c r="H193" s="157" t="str">
        <f t="shared" si="7"/>
        <v/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</row>
    <row r="194" spans="1:19" x14ac:dyDescent="0.25">
      <c r="A194" s="155"/>
      <c r="B194" s="72" t="str">
        <f t="shared" si="6"/>
        <v>PUR0193</v>
      </c>
      <c r="C194" s="50"/>
      <c r="D194" s="50"/>
      <c r="E194" s="50" t="str">
        <f>IF(D194="","",VLOOKUP(D194,'Product Master'!$B:$G,3,FALSE))</f>
        <v/>
      </c>
      <c r="F194" s="50"/>
      <c r="G194" s="50" t="str">
        <f>IF(D194="","",VLOOKUP(D194,'Product Master'!$B:$G,4,FALSE))</f>
        <v/>
      </c>
      <c r="H194" s="157" t="str">
        <f t="shared" si="7"/>
        <v/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</row>
    <row r="195" spans="1:19" x14ac:dyDescent="0.25">
      <c r="A195" s="155"/>
      <c r="B195" s="72" t="str">
        <f t="shared" si="6"/>
        <v>PUR0194</v>
      </c>
      <c r="C195" s="50"/>
      <c r="D195" s="50"/>
      <c r="E195" s="50" t="str">
        <f>IF(D195="","",VLOOKUP(D195,'Product Master'!$B:$G,3,FALSE))</f>
        <v/>
      </c>
      <c r="F195" s="50"/>
      <c r="G195" s="50" t="str">
        <f>IF(D195="","",VLOOKUP(D195,'Product Master'!$B:$G,4,FALSE))</f>
        <v/>
      </c>
      <c r="H195" s="157" t="str">
        <f t="shared" si="7"/>
        <v/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</row>
    <row r="196" spans="1:19" x14ac:dyDescent="0.25">
      <c r="A196" s="155"/>
      <c r="B196" s="72" t="str">
        <f t="shared" si="6"/>
        <v>PUR0195</v>
      </c>
      <c r="C196" s="50"/>
      <c r="D196" s="50"/>
      <c r="E196" s="50" t="str">
        <f>IF(D196="","",VLOOKUP(D196,'Product Master'!$B:$G,3,FALSE))</f>
        <v/>
      </c>
      <c r="F196" s="50"/>
      <c r="G196" s="50" t="str">
        <f>IF(D196="","",VLOOKUP(D196,'Product Master'!$B:$G,4,FALSE))</f>
        <v/>
      </c>
      <c r="H196" s="157" t="str">
        <f t="shared" si="7"/>
        <v/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</row>
    <row r="197" spans="1:19" x14ac:dyDescent="0.25">
      <c r="A197" s="155"/>
      <c r="B197" s="72" t="str">
        <f t="shared" si="6"/>
        <v>PUR0196</v>
      </c>
      <c r="C197" s="50"/>
      <c r="D197" s="50"/>
      <c r="E197" s="50" t="str">
        <f>IF(D197="","",VLOOKUP(D197,'Product Master'!$B:$G,3,FALSE))</f>
        <v/>
      </c>
      <c r="F197" s="50"/>
      <c r="G197" s="50" t="str">
        <f>IF(D197="","",VLOOKUP(D197,'Product Master'!$B:$G,4,FALSE))</f>
        <v/>
      </c>
      <c r="H197" s="157" t="str">
        <f t="shared" si="7"/>
        <v/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</row>
    <row r="198" spans="1:19" x14ac:dyDescent="0.25">
      <c r="A198" s="155"/>
      <c r="B198" s="72" t="str">
        <f t="shared" si="6"/>
        <v>PUR0197</v>
      </c>
      <c r="C198" s="50"/>
      <c r="D198" s="50"/>
      <c r="E198" s="50" t="str">
        <f>IF(D198="","",VLOOKUP(D198,'Product Master'!$B:$G,3,FALSE))</f>
        <v/>
      </c>
      <c r="F198" s="50"/>
      <c r="G198" s="50" t="str">
        <f>IF(D198="","",VLOOKUP(D198,'Product Master'!$B:$G,4,FALSE))</f>
        <v/>
      </c>
      <c r="H198" s="157" t="str">
        <f t="shared" si="7"/>
        <v/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</row>
    <row r="199" spans="1:19" x14ac:dyDescent="0.25">
      <c r="A199" s="155"/>
      <c r="B199" s="72" t="str">
        <f t="shared" si="6"/>
        <v>PUR0198</v>
      </c>
      <c r="C199" s="50"/>
      <c r="D199" s="50"/>
      <c r="E199" s="50" t="str">
        <f>IF(D199="","",VLOOKUP(D199,'Product Master'!$B:$G,3,FALSE))</f>
        <v/>
      </c>
      <c r="F199" s="50"/>
      <c r="G199" s="50" t="str">
        <f>IF(D199="","",VLOOKUP(D199,'Product Master'!$B:$G,4,FALSE))</f>
        <v/>
      </c>
      <c r="H199" s="157" t="str">
        <f t="shared" si="7"/>
        <v/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</row>
    <row r="200" spans="1:19" x14ac:dyDescent="0.25">
      <c r="A200" s="155"/>
      <c r="B200" s="72" t="str">
        <f t="shared" si="6"/>
        <v>PUR0199</v>
      </c>
      <c r="C200" s="50"/>
      <c r="D200" s="50"/>
      <c r="E200" s="50" t="str">
        <f>IF(D200="","",VLOOKUP(D200,'Product Master'!$B:$G,3,FALSE))</f>
        <v/>
      </c>
      <c r="F200" s="50"/>
      <c r="G200" s="50" t="str">
        <f>IF(D200="","",VLOOKUP(D200,'Product Master'!$B:$G,4,FALSE))</f>
        <v/>
      </c>
      <c r="H200" s="157" t="str">
        <f t="shared" si="7"/>
        <v/>
      </c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</row>
    <row r="201" spans="1:19" x14ac:dyDescent="0.25">
      <c r="A201" s="155"/>
      <c r="B201" s="72" t="str">
        <f t="shared" si="6"/>
        <v>PUR0200</v>
      </c>
      <c r="C201" s="50"/>
      <c r="D201" s="50"/>
      <c r="E201" s="50" t="str">
        <f>IF(D201="","",VLOOKUP(D201,'Product Master'!$B:$G,3,FALSE))</f>
        <v/>
      </c>
      <c r="F201" s="50"/>
      <c r="G201" s="50" t="str">
        <f>IF(D201="","",VLOOKUP(D201,'Product Master'!$B:$G,4,FALSE))</f>
        <v/>
      </c>
      <c r="H201" s="157" t="str">
        <f t="shared" si="7"/>
        <v/>
      </c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</row>
    <row r="202" spans="1:19" x14ac:dyDescent="0.25">
      <c r="A202" s="155"/>
      <c r="B202" s="72" t="str">
        <f t="shared" si="6"/>
        <v>PUR0201</v>
      </c>
      <c r="C202" s="50"/>
      <c r="D202" s="50"/>
      <c r="E202" s="50" t="str">
        <f>IF(D202="","",VLOOKUP(D202,'Product Master'!$B:$G,3,FALSE))</f>
        <v/>
      </c>
      <c r="F202" s="50"/>
      <c r="G202" s="50" t="str">
        <f>IF(D202="","",VLOOKUP(D202,'Product Master'!$B:$G,4,FALSE))</f>
        <v/>
      </c>
      <c r="H202" s="157" t="str">
        <f t="shared" si="7"/>
        <v/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</row>
    <row r="203" spans="1:19" x14ac:dyDescent="0.25">
      <c r="A203" s="155"/>
      <c r="B203" s="72" t="str">
        <f t="shared" si="6"/>
        <v>PUR0202</v>
      </c>
      <c r="C203" s="50"/>
      <c r="D203" s="50"/>
      <c r="E203" s="50" t="str">
        <f>IF(D203="","",VLOOKUP(D203,'Product Master'!$B:$G,3,FALSE))</f>
        <v/>
      </c>
      <c r="F203" s="50"/>
      <c r="G203" s="50" t="str">
        <f>IF(D203="","",VLOOKUP(D203,'Product Master'!$B:$G,4,FALSE))</f>
        <v/>
      </c>
      <c r="H203" s="157" t="str">
        <f t="shared" si="7"/>
        <v/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</row>
    <row r="204" spans="1:19" x14ac:dyDescent="0.25">
      <c r="A204" s="155"/>
      <c r="B204" s="72" t="str">
        <f t="shared" si="6"/>
        <v>PUR0203</v>
      </c>
      <c r="C204" s="50"/>
      <c r="D204" s="50"/>
      <c r="E204" s="50" t="str">
        <f>IF(D204="","",VLOOKUP(D204,'Product Master'!$B:$G,3,FALSE))</f>
        <v/>
      </c>
      <c r="F204" s="50"/>
      <c r="G204" s="50" t="str">
        <f>IF(D204="","",VLOOKUP(D204,'Product Master'!$B:$G,4,FALSE))</f>
        <v/>
      </c>
      <c r="H204" s="157" t="str">
        <f t="shared" si="7"/>
        <v/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</row>
    <row r="205" spans="1:19" x14ac:dyDescent="0.25">
      <c r="A205" s="155"/>
      <c r="B205" s="72" t="str">
        <f t="shared" si="6"/>
        <v>PUR0204</v>
      </c>
      <c r="C205" s="50"/>
      <c r="D205" s="50"/>
      <c r="E205" s="50" t="str">
        <f>IF(D205="","",VLOOKUP(D205,'Product Master'!$B:$G,3,FALSE))</f>
        <v/>
      </c>
      <c r="F205" s="50"/>
      <c r="G205" s="50" t="str">
        <f>IF(D205="","",VLOOKUP(D205,'Product Master'!$B:$G,4,FALSE))</f>
        <v/>
      </c>
      <c r="H205" s="157" t="str">
        <f t="shared" si="7"/>
        <v/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</row>
    <row r="206" spans="1:19" x14ac:dyDescent="0.25">
      <c r="A206" s="155"/>
      <c r="B206" s="72" t="str">
        <f t="shared" si="6"/>
        <v>PUR0205</v>
      </c>
      <c r="C206" s="50"/>
      <c r="D206" s="50"/>
      <c r="E206" s="50" t="str">
        <f>IF(D206="","",VLOOKUP(D206,'Product Master'!$B:$G,3,FALSE))</f>
        <v/>
      </c>
      <c r="F206" s="50"/>
      <c r="G206" s="50" t="str">
        <f>IF(D206="","",VLOOKUP(D206,'Product Master'!$B:$G,4,FALSE))</f>
        <v/>
      </c>
      <c r="H206" s="157" t="str">
        <f t="shared" si="7"/>
        <v/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</row>
    <row r="207" spans="1:19" x14ac:dyDescent="0.25">
      <c r="A207" s="155"/>
      <c r="B207" s="72" t="str">
        <f t="shared" si="6"/>
        <v>PUR0206</v>
      </c>
      <c r="C207" s="50"/>
      <c r="D207" s="50"/>
      <c r="E207" s="50" t="str">
        <f>IF(D207="","",VLOOKUP(D207,'Product Master'!$B:$G,3,FALSE))</f>
        <v/>
      </c>
      <c r="F207" s="50"/>
      <c r="G207" s="50" t="str">
        <f>IF(D207="","",VLOOKUP(D207,'Product Master'!$B:$G,4,FALSE))</f>
        <v/>
      </c>
      <c r="H207" s="157" t="str">
        <f t="shared" si="7"/>
        <v/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</row>
    <row r="208" spans="1:19" x14ac:dyDescent="0.25">
      <c r="A208" s="155"/>
      <c r="B208" s="72" t="str">
        <f t="shared" si="6"/>
        <v>PUR0207</v>
      </c>
      <c r="C208" s="50"/>
      <c r="D208" s="50"/>
      <c r="E208" s="50" t="str">
        <f>IF(D208="","",VLOOKUP(D208,'Product Master'!$B:$G,3,FALSE))</f>
        <v/>
      </c>
      <c r="F208" s="50"/>
      <c r="G208" s="50" t="str">
        <f>IF(D208="","",VLOOKUP(D208,'Product Master'!$B:$G,4,FALSE))</f>
        <v/>
      </c>
      <c r="H208" s="157" t="str">
        <f t="shared" si="7"/>
        <v/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</row>
    <row r="209" spans="1:19" x14ac:dyDescent="0.25">
      <c r="A209" s="155"/>
      <c r="B209" s="72" t="str">
        <f t="shared" si="6"/>
        <v>PUR0208</v>
      </c>
      <c r="C209" s="50"/>
      <c r="D209" s="50"/>
      <c r="E209" s="50" t="str">
        <f>IF(D209="","",VLOOKUP(D209,'Product Master'!$B:$G,3,FALSE))</f>
        <v/>
      </c>
      <c r="F209" s="50"/>
      <c r="G209" s="50" t="str">
        <f>IF(D209="","",VLOOKUP(D209,'Product Master'!$B:$G,4,FALSE))</f>
        <v/>
      </c>
      <c r="H209" s="157" t="str">
        <f t="shared" si="7"/>
        <v/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</row>
    <row r="210" spans="1:19" x14ac:dyDescent="0.25">
      <c r="A210" s="155"/>
      <c r="B210" s="72" t="str">
        <f t="shared" si="6"/>
        <v>PUR0209</v>
      </c>
      <c r="C210" s="50"/>
      <c r="D210" s="50"/>
      <c r="E210" s="50" t="str">
        <f>IF(D210="","",VLOOKUP(D210,'Product Master'!$B:$G,3,FALSE))</f>
        <v/>
      </c>
      <c r="F210" s="50"/>
      <c r="G210" s="50" t="str">
        <f>IF(D210="","",VLOOKUP(D210,'Product Master'!$B:$G,4,FALSE))</f>
        <v/>
      </c>
      <c r="H210" s="157" t="str">
        <f t="shared" si="7"/>
        <v/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</row>
    <row r="211" spans="1:19" x14ac:dyDescent="0.25">
      <c r="A211" s="155"/>
      <c r="B211" s="72" t="str">
        <f t="shared" si="6"/>
        <v>PUR0210</v>
      </c>
      <c r="C211" s="50"/>
      <c r="D211" s="50"/>
      <c r="E211" s="50" t="str">
        <f>IF(D211="","",VLOOKUP(D211,'Product Master'!$B:$G,3,FALSE))</f>
        <v/>
      </c>
      <c r="F211" s="50"/>
      <c r="G211" s="50" t="str">
        <f>IF(D211="","",VLOOKUP(D211,'Product Master'!$B:$G,4,FALSE))</f>
        <v/>
      </c>
      <c r="H211" s="157" t="str">
        <f t="shared" si="7"/>
        <v/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</row>
    <row r="212" spans="1:19" x14ac:dyDescent="0.25">
      <c r="A212" s="155"/>
      <c r="B212" s="72" t="str">
        <f t="shared" si="6"/>
        <v>PUR0211</v>
      </c>
      <c r="C212" s="50"/>
      <c r="D212" s="50"/>
      <c r="E212" s="50" t="str">
        <f>IF(D212="","",VLOOKUP(D212,'Product Master'!$B:$G,3,FALSE))</f>
        <v/>
      </c>
      <c r="F212" s="50"/>
      <c r="G212" s="50" t="str">
        <f>IF(D212="","",VLOOKUP(D212,'Product Master'!$B:$G,4,FALSE))</f>
        <v/>
      </c>
      <c r="H212" s="157" t="str">
        <f t="shared" si="7"/>
        <v/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</row>
    <row r="213" spans="1:19" x14ac:dyDescent="0.25">
      <c r="A213" s="155"/>
      <c r="B213" s="72" t="str">
        <f t="shared" si="6"/>
        <v>PUR0212</v>
      </c>
      <c r="C213" s="50"/>
      <c r="D213" s="50"/>
      <c r="E213" s="50" t="str">
        <f>IF(D213="","",VLOOKUP(D213,'Product Master'!$B:$G,3,FALSE))</f>
        <v/>
      </c>
      <c r="F213" s="50"/>
      <c r="G213" s="50" t="str">
        <f>IF(D213="","",VLOOKUP(D213,'Product Master'!$B:$G,4,FALSE))</f>
        <v/>
      </c>
      <c r="H213" s="157" t="str">
        <f t="shared" si="7"/>
        <v/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1:19" x14ac:dyDescent="0.25">
      <c r="A214" s="155"/>
      <c r="B214" s="72" t="str">
        <f t="shared" si="6"/>
        <v>PUR0213</v>
      </c>
      <c r="C214" s="50"/>
      <c r="D214" s="50"/>
      <c r="E214" s="50" t="str">
        <f>IF(D214="","",VLOOKUP(D214,'Product Master'!$B:$G,3,FALSE))</f>
        <v/>
      </c>
      <c r="F214" s="50"/>
      <c r="G214" s="50" t="str">
        <f>IF(D214="","",VLOOKUP(D214,'Product Master'!$B:$G,4,FALSE))</f>
        <v/>
      </c>
      <c r="H214" s="157" t="str">
        <f t="shared" si="7"/>
        <v/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</row>
    <row r="215" spans="1:19" x14ac:dyDescent="0.25">
      <c r="A215" s="155"/>
      <c r="B215" s="72" t="str">
        <f t="shared" si="6"/>
        <v>PUR0214</v>
      </c>
      <c r="C215" s="50"/>
      <c r="D215" s="50"/>
      <c r="E215" s="50" t="str">
        <f>IF(D215="","",VLOOKUP(D215,'Product Master'!$B:$G,3,FALSE))</f>
        <v/>
      </c>
      <c r="F215" s="50"/>
      <c r="G215" s="50" t="str">
        <f>IF(D215="","",VLOOKUP(D215,'Product Master'!$B:$G,4,FALSE))</f>
        <v/>
      </c>
      <c r="H215" s="157" t="str">
        <f t="shared" si="7"/>
        <v/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</row>
    <row r="216" spans="1:19" x14ac:dyDescent="0.25">
      <c r="A216" s="155"/>
      <c r="B216" s="72" t="str">
        <f t="shared" si="6"/>
        <v>PUR0215</v>
      </c>
      <c r="C216" s="50"/>
      <c r="D216" s="50"/>
      <c r="E216" s="50" t="str">
        <f>IF(D216="","",VLOOKUP(D216,'Product Master'!$B:$G,3,FALSE))</f>
        <v/>
      </c>
      <c r="F216" s="50"/>
      <c r="G216" s="50" t="str">
        <f>IF(D216="","",VLOOKUP(D216,'Product Master'!$B:$G,4,FALSE))</f>
        <v/>
      </c>
      <c r="H216" s="157" t="str">
        <f t="shared" si="7"/>
        <v/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</row>
    <row r="217" spans="1:19" x14ac:dyDescent="0.25">
      <c r="A217" s="155"/>
      <c r="B217" s="72" t="str">
        <f t="shared" si="6"/>
        <v>PUR0216</v>
      </c>
      <c r="C217" s="50"/>
      <c r="D217" s="50"/>
      <c r="E217" s="50" t="str">
        <f>IF(D217="","",VLOOKUP(D217,'Product Master'!$B:$G,3,FALSE))</f>
        <v/>
      </c>
      <c r="F217" s="50"/>
      <c r="G217" s="50" t="str">
        <f>IF(D217="","",VLOOKUP(D217,'Product Master'!$B:$G,4,FALSE))</f>
        <v/>
      </c>
      <c r="H217" s="157" t="str">
        <f t="shared" si="7"/>
        <v/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</row>
    <row r="218" spans="1:19" x14ac:dyDescent="0.25">
      <c r="A218" s="155"/>
      <c r="B218" s="72" t="str">
        <f t="shared" si="6"/>
        <v>PUR0217</v>
      </c>
      <c r="C218" s="50"/>
      <c r="D218" s="50"/>
      <c r="E218" s="50" t="str">
        <f>IF(D218="","",VLOOKUP(D218,'Product Master'!$B:$G,3,FALSE))</f>
        <v/>
      </c>
      <c r="F218" s="50"/>
      <c r="G218" s="50" t="str">
        <f>IF(D218="","",VLOOKUP(D218,'Product Master'!$B:$G,4,FALSE))</f>
        <v/>
      </c>
      <c r="H218" s="157" t="str">
        <f t="shared" si="7"/>
        <v/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</row>
    <row r="219" spans="1:19" x14ac:dyDescent="0.25">
      <c r="A219" s="155"/>
      <c r="B219" s="72" t="str">
        <f t="shared" si="6"/>
        <v>PUR0218</v>
      </c>
      <c r="C219" s="50"/>
      <c r="D219" s="50"/>
      <c r="E219" s="50" t="str">
        <f>IF(D219="","",VLOOKUP(D219,'Product Master'!$B:$G,3,FALSE))</f>
        <v/>
      </c>
      <c r="F219" s="50"/>
      <c r="G219" s="50" t="str">
        <f>IF(D219="","",VLOOKUP(D219,'Product Master'!$B:$G,4,FALSE))</f>
        <v/>
      </c>
      <c r="H219" s="157" t="str">
        <f t="shared" si="7"/>
        <v/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</row>
    <row r="220" spans="1:19" x14ac:dyDescent="0.25">
      <c r="A220" s="155"/>
      <c r="B220" s="72" t="str">
        <f t="shared" si="6"/>
        <v>PUR0219</v>
      </c>
      <c r="C220" s="50"/>
      <c r="D220" s="50"/>
      <c r="E220" s="50" t="str">
        <f>IF(D220="","",VLOOKUP(D220,'Product Master'!$B:$G,3,FALSE))</f>
        <v/>
      </c>
      <c r="F220" s="50"/>
      <c r="G220" s="50" t="str">
        <f>IF(D220="","",VLOOKUP(D220,'Product Master'!$B:$G,4,FALSE))</f>
        <v/>
      </c>
      <c r="H220" s="157" t="str">
        <f t="shared" si="7"/>
        <v/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</row>
    <row r="221" spans="1:19" x14ac:dyDescent="0.25">
      <c r="A221" s="155"/>
      <c r="B221" s="72" t="str">
        <f t="shared" si="6"/>
        <v>PUR0220</v>
      </c>
      <c r="C221" s="50"/>
      <c r="D221" s="50"/>
      <c r="E221" s="50" t="str">
        <f>IF(D221="","",VLOOKUP(D221,'Product Master'!$B:$G,3,FALSE))</f>
        <v/>
      </c>
      <c r="F221" s="50"/>
      <c r="G221" s="50" t="str">
        <f>IF(D221="","",VLOOKUP(D221,'Product Master'!$B:$G,4,FALSE))</f>
        <v/>
      </c>
      <c r="H221" s="157" t="str">
        <f t="shared" si="7"/>
        <v/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</row>
    <row r="222" spans="1:19" x14ac:dyDescent="0.25">
      <c r="A222" s="155"/>
      <c r="B222" s="72" t="str">
        <f t="shared" si="6"/>
        <v>PUR0221</v>
      </c>
      <c r="C222" s="50"/>
      <c r="D222" s="50"/>
      <c r="E222" s="50" t="str">
        <f>IF(D222="","",VLOOKUP(D222,'Product Master'!$B:$G,3,FALSE))</f>
        <v/>
      </c>
      <c r="F222" s="50"/>
      <c r="G222" s="50" t="str">
        <f>IF(D222="","",VLOOKUP(D222,'Product Master'!$B:$G,4,FALSE))</f>
        <v/>
      </c>
      <c r="H222" s="157" t="str">
        <f t="shared" si="7"/>
        <v/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</row>
    <row r="223" spans="1:19" x14ac:dyDescent="0.25">
      <c r="A223" s="155"/>
      <c r="B223" s="72" t="str">
        <f t="shared" si="6"/>
        <v>PUR0222</v>
      </c>
      <c r="C223" s="50"/>
      <c r="D223" s="50"/>
      <c r="E223" s="50" t="str">
        <f>IF(D223="","",VLOOKUP(D223,'Product Master'!$B:$G,3,FALSE))</f>
        <v/>
      </c>
      <c r="F223" s="50"/>
      <c r="G223" s="50" t="str">
        <f>IF(D223="","",VLOOKUP(D223,'Product Master'!$B:$G,4,FALSE))</f>
        <v/>
      </c>
      <c r="H223" s="157" t="str">
        <f t="shared" si="7"/>
        <v/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</row>
    <row r="224" spans="1:19" x14ac:dyDescent="0.25">
      <c r="A224" s="155"/>
      <c r="B224" s="72" t="str">
        <f t="shared" si="6"/>
        <v>PUR0223</v>
      </c>
      <c r="C224" s="50"/>
      <c r="D224" s="50"/>
      <c r="E224" s="50" t="str">
        <f>IF(D224="","",VLOOKUP(D224,'Product Master'!$B:$G,3,FALSE))</f>
        <v/>
      </c>
      <c r="F224" s="50"/>
      <c r="G224" s="50" t="str">
        <f>IF(D224="","",VLOOKUP(D224,'Product Master'!$B:$G,4,FALSE))</f>
        <v/>
      </c>
      <c r="H224" s="157" t="str">
        <f t="shared" si="7"/>
        <v/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1:19" x14ac:dyDescent="0.25">
      <c r="A225" s="155"/>
      <c r="B225" s="72" t="str">
        <f t="shared" ref="B225:B288" si="8">"PUR"&amp;TEXT(ROW()-1,"0000")</f>
        <v>PUR0224</v>
      </c>
      <c r="C225" s="50"/>
      <c r="D225" s="50"/>
      <c r="E225" s="50" t="str">
        <f>IF(D225="","",VLOOKUP(D225,'Product Master'!$B:$G,3,FALSE))</f>
        <v/>
      </c>
      <c r="F225" s="50"/>
      <c r="G225" s="50" t="str">
        <f>IF(D225="","",VLOOKUP(D225,'Product Master'!$B:$G,4,FALSE))</f>
        <v/>
      </c>
      <c r="H225" s="157" t="str">
        <f t="shared" ref="H225:H288" si="9">IF(OR(F225="",G225=""),"",F225*G225)</f>
        <v/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</row>
    <row r="226" spans="1:19" x14ac:dyDescent="0.25">
      <c r="A226" s="155"/>
      <c r="B226" s="72" t="str">
        <f t="shared" si="8"/>
        <v>PUR0225</v>
      </c>
      <c r="C226" s="50"/>
      <c r="D226" s="50"/>
      <c r="E226" s="50" t="str">
        <f>IF(D226="","",VLOOKUP(D226,'Product Master'!$B:$G,3,FALSE))</f>
        <v/>
      </c>
      <c r="F226" s="50"/>
      <c r="G226" s="50" t="str">
        <f>IF(D226="","",VLOOKUP(D226,'Product Master'!$B:$G,4,FALSE))</f>
        <v/>
      </c>
      <c r="H226" s="157" t="str">
        <f t="shared" si="9"/>
        <v/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</row>
    <row r="227" spans="1:19" x14ac:dyDescent="0.25">
      <c r="A227" s="155"/>
      <c r="B227" s="72" t="str">
        <f t="shared" si="8"/>
        <v>PUR0226</v>
      </c>
      <c r="C227" s="50"/>
      <c r="D227" s="50"/>
      <c r="E227" s="50" t="str">
        <f>IF(D227="","",VLOOKUP(D227,'Product Master'!$B:$G,3,FALSE))</f>
        <v/>
      </c>
      <c r="F227" s="50"/>
      <c r="G227" s="50" t="str">
        <f>IF(D227="","",VLOOKUP(D227,'Product Master'!$B:$G,4,FALSE))</f>
        <v/>
      </c>
      <c r="H227" s="157" t="str">
        <f t="shared" si="9"/>
        <v/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</row>
    <row r="228" spans="1:19" x14ac:dyDescent="0.25">
      <c r="A228" s="155"/>
      <c r="B228" s="72" t="str">
        <f t="shared" si="8"/>
        <v>PUR0227</v>
      </c>
      <c r="C228" s="50"/>
      <c r="D228" s="50"/>
      <c r="E228" s="50" t="str">
        <f>IF(D228="","",VLOOKUP(D228,'Product Master'!$B:$G,3,FALSE))</f>
        <v/>
      </c>
      <c r="F228" s="50"/>
      <c r="G228" s="50" t="str">
        <f>IF(D228="","",VLOOKUP(D228,'Product Master'!$B:$G,4,FALSE))</f>
        <v/>
      </c>
      <c r="H228" s="157" t="str">
        <f t="shared" si="9"/>
        <v/>
      </c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</row>
    <row r="229" spans="1:19" x14ac:dyDescent="0.25">
      <c r="A229" s="155"/>
      <c r="B229" s="72" t="str">
        <f t="shared" si="8"/>
        <v>PUR0228</v>
      </c>
      <c r="C229" s="50"/>
      <c r="D229" s="50"/>
      <c r="E229" s="50" t="str">
        <f>IF(D229="","",VLOOKUP(D229,'Product Master'!$B:$G,3,FALSE))</f>
        <v/>
      </c>
      <c r="F229" s="50"/>
      <c r="G229" s="50" t="str">
        <f>IF(D229="","",VLOOKUP(D229,'Product Master'!$B:$G,4,FALSE))</f>
        <v/>
      </c>
      <c r="H229" s="157" t="str">
        <f t="shared" si="9"/>
        <v/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</row>
    <row r="230" spans="1:19" x14ac:dyDescent="0.25">
      <c r="A230" s="155"/>
      <c r="B230" s="72" t="str">
        <f t="shared" si="8"/>
        <v>PUR0229</v>
      </c>
      <c r="C230" s="50"/>
      <c r="D230" s="50"/>
      <c r="E230" s="50" t="str">
        <f>IF(D230="","",VLOOKUP(D230,'Product Master'!$B:$G,3,FALSE))</f>
        <v/>
      </c>
      <c r="F230" s="50"/>
      <c r="G230" s="50" t="str">
        <f>IF(D230="","",VLOOKUP(D230,'Product Master'!$B:$G,4,FALSE))</f>
        <v/>
      </c>
      <c r="H230" s="157" t="str">
        <f t="shared" si="9"/>
        <v/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</row>
    <row r="231" spans="1:19" x14ac:dyDescent="0.25">
      <c r="A231" s="155"/>
      <c r="B231" s="72" t="str">
        <f t="shared" si="8"/>
        <v>PUR0230</v>
      </c>
      <c r="C231" s="50"/>
      <c r="D231" s="50"/>
      <c r="E231" s="50" t="str">
        <f>IF(D231="","",VLOOKUP(D231,'Product Master'!$B:$G,3,FALSE))</f>
        <v/>
      </c>
      <c r="F231" s="50"/>
      <c r="G231" s="50" t="str">
        <f>IF(D231="","",VLOOKUP(D231,'Product Master'!$B:$G,4,FALSE))</f>
        <v/>
      </c>
      <c r="H231" s="157" t="str">
        <f t="shared" si="9"/>
        <v/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</row>
    <row r="232" spans="1:19" x14ac:dyDescent="0.25">
      <c r="A232" s="155"/>
      <c r="B232" s="72" t="str">
        <f t="shared" si="8"/>
        <v>PUR0231</v>
      </c>
      <c r="C232" s="50"/>
      <c r="D232" s="50"/>
      <c r="E232" s="50" t="str">
        <f>IF(D232="","",VLOOKUP(D232,'Product Master'!$B:$G,3,FALSE))</f>
        <v/>
      </c>
      <c r="F232" s="50"/>
      <c r="G232" s="50" t="str">
        <f>IF(D232="","",VLOOKUP(D232,'Product Master'!$B:$G,4,FALSE))</f>
        <v/>
      </c>
      <c r="H232" s="157" t="str">
        <f t="shared" si="9"/>
        <v/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</row>
    <row r="233" spans="1:19" x14ac:dyDescent="0.25">
      <c r="A233" s="155"/>
      <c r="B233" s="72" t="str">
        <f t="shared" si="8"/>
        <v>PUR0232</v>
      </c>
      <c r="C233" s="50"/>
      <c r="D233" s="50"/>
      <c r="E233" s="50" t="str">
        <f>IF(D233="","",VLOOKUP(D233,'Product Master'!$B:$G,3,FALSE))</f>
        <v/>
      </c>
      <c r="F233" s="50"/>
      <c r="G233" s="50" t="str">
        <f>IF(D233="","",VLOOKUP(D233,'Product Master'!$B:$G,4,FALSE))</f>
        <v/>
      </c>
      <c r="H233" s="157" t="str">
        <f t="shared" si="9"/>
        <v/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</row>
    <row r="234" spans="1:19" x14ac:dyDescent="0.25">
      <c r="A234" s="155"/>
      <c r="B234" s="72" t="str">
        <f t="shared" si="8"/>
        <v>PUR0233</v>
      </c>
      <c r="C234" s="50"/>
      <c r="D234" s="50"/>
      <c r="E234" s="50" t="str">
        <f>IF(D234="","",VLOOKUP(D234,'Product Master'!$B:$G,3,FALSE))</f>
        <v/>
      </c>
      <c r="F234" s="50"/>
      <c r="G234" s="50" t="str">
        <f>IF(D234="","",VLOOKUP(D234,'Product Master'!$B:$G,4,FALSE))</f>
        <v/>
      </c>
      <c r="H234" s="157" t="str">
        <f t="shared" si="9"/>
        <v/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</row>
    <row r="235" spans="1:19" x14ac:dyDescent="0.25">
      <c r="A235" s="155"/>
      <c r="B235" s="72" t="str">
        <f t="shared" si="8"/>
        <v>PUR0234</v>
      </c>
      <c r="C235" s="50"/>
      <c r="D235" s="50"/>
      <c r="E235" s="50" t="str">
        <f>IF(D235="","",VLOOKUP(D235,'Product Master'!$B:$G,3,FALSE))</f>
        <v/>
      </c>
      <c r="F235" s="50"/>
      <c r="G235" s="50" t="str">
        <f>IF(D235="","",VLOOKUP(D235,'Product Master'!$B:$G,4,FALSE))</f>
        <v/>
      </c>
      <c r="H235" s="157" t="str">
        <f t="shared" si="9"/>
        <v/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1:19" x14ac:dyDescent="0.25">
      <c r="A236" s="155"/>
      <c r="B236" s="72" t="str">
        <f t="shared" si="8"/>
        <v>PUR0235</v>
      </c>
      <c r="C236" s="50"/>
      <c r="D236" s="50"/>
      <c r="E236" s="50" t="str">
        <f>IF(D236="","",VLOOKUP(D236,'Product Master'!$B:$G,3,FALSE))</f>
        <v/>
      </c>
      <c r="F236" s="50"/>
      <c r="G236" s="50" t="str">
        <f>IF(D236="","",VLOOKUP(D236,'Product Master'!$B:$G,4,FALSE))</f>
        <v/>
      </c>
      <c r="H236" s="157" t="str">
        <f t="shared" si="9"/>
        <v/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</row>
    <row r="237" spans="1:19" x14ac:dyDescent="0.25">
      <c r="A237" s="155"/>
      <c r="B237" s="72" t="str">
        <f t="shared" si="8"/>
        <v>PUR0236</v>
      </c>
      <c r="C237" s="50"/>
      <c r="D237" s="50"/>
      <c r="E237" s="50" t="str">
        <f>IF(D237="","",VLOOKUP(D237,'Product Master'!$B:$G,3,FALSE))</f>
        <v/>
      </c>
      <c r="F237" s="50"/>
      <c r="G237" s="50" t="str">
        <f>IF(D237="","",VLOOKUP(D237,'Product Master'!$B:$G,4,FALSE))</f>
        <v/>
      </c>
      <c r="H237" s="157" t="str">
        <f t="shared" si="9"/>
        <v/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</row>
    <row r="238" spans="1:19" x14ac:dyDescent="0.25">
      <c r="A238" s="155"/>
      <c r="B238" s="72" t="str">
        <f t="shared" si="8"/>
        <v>PUR0237</v>
      </c>
      <c r="C238" s="50"/>
      <c r="D238" s="50"/>
      <c r="E238" s="50" t="str">
        <f>IF(D238="","",VLOOKUP(D238,'Product Master'!$B:$G,3,FALSE))</f>
        <v/>
      </c>
      <c r="F238" s="50"/>
      <c r="G238" s="50" t="str">
        <f>IF(D238="","",VLOOKUP(D238,'Product Master'!$B:$G,4,FALSE))</f>
        <v/>
      </c>
      <c r="H238" s="157" t="str">
        <f t="shared" si="9"/>
        <v/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</row>
    <row r="239" spans="1:19" x14ac:dyDescent="0.25">
      <c r="A239" s="155"/>
      <c r="B239" s="72" t="str">
        <f t="shared" si="8"/>
        <v>PUR0238</v>
      </c>
      <c r="C239" s="50"/>
      <c r="D239" s="50"/>
      <c r="E239" s="50" t="str">
        <f>IF(D239="","",VLOOKUP(D239,'Product Master'!$B:$G,3,FALSE))</f>
        <v/>
      </c>
      <c r="F239" s="50"/>
      <c r="G239" s="50" t="str">
        <f>IF(D239="","",VLOOKUP(D239,'Product Master'!$B:$G,4,FALSE))</f>
        <v/>
      </c>
      <c r="H239" s="157" t="str">
        <f t="shared" si="9"/>
        <v/>
      </c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</row>
    <row r="240" spans="1:19" x14ac:dyDescent="0.25">
      <c r="A240" s="155"/>
      <c r="B240" s="72" t="str">
        <f t="shared" si="8"/>
        <v>PUR0239</v>
      </c>
      <c r="C240" s="50"/>
      <c r="D240" s="50"/>
      <c r="E240" s="50" t="str">
        <f>IF(D240="","",VLOOKUP(D240,'Product Master'!$B:$G,3,FALSE))</f>
        <v/>
      </c>
      <c r="F240" s="50"/>
      <c r="G240" s="50" t="str">
        <f>IF(D240="","",VLOOKUP(D240,'Product Master'!$B:$G,4,FALSE))</f>
        <v/>
      </c>
      <c r="H240" s="157" t="str">
        <f t="shared" si="9"/>
        <v/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</row>
    <row r="241" spans="1:19" x14ac:dyDescent="0.25">
      <c r="A241" s="155"/>
      <c r="B241" s="72" t="str">
        <f t="shared" si="8"/>
        <v>PUR0240</v>
      </c>
      <c r="C241" s="50"/>
      <c r="D241" s="50"/>
      <c r="E241" s="50" t="str">
        <f>IF(D241="","",VLOOKUP(D241,'Product Master'!$B:$G,3,FALSE))</f>
        <v/>
      </c>
      <c r="F241" s="50"/>
      <c r="G241" s="50" t="str">
        <f>IF(D241="","",VLOOKUP(D241,'Product Master'!$B:$G,4,FALSE))</f>
        <v/>
      </c>
      <c r="H241" s="157" t="str">
        <f t="shared" si="9"/>
        <v/>
      </c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</row>
    <row r="242" spans="1:19" x14ac:dyDescent="0.25">
      <c r="A242" s="155"/>
      <c r="B242" s="72" t="str">
        <f t="shared" si="8"/>
        <v>PUR0241</v>
      </c>
      <c r="C242" s="50"/>
      <c r="D242" s="50"/>
      <c r="E242" s="50" t="str">
        <f>IF(D242="","",VLOOKUP(D242,'Product Master'!$B:$G,3,FALSE))</f>
        <v/>
      </c>
      <c r="F242" s="50"/>
      <c r="G242" s="50" t="str">
        <f>IF(D242="","",VLOOKUP(D242,'Product Master'!$B:$G,4,FALSE))</f>
        <v/>
      </c>
      <c r="H242" s="157" t="str">
        <f t="shared" si="9"/>
        <v/>
      </c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</row>
    <row r="243" spans="1:19" x14ac:dyDescent="0.25">
      <c r="A243" s="155"/>
      <c r="B243" s="72" t="str">
        <f t="shared" si="8"/>
        <v>PUR0242</v>
      </c>
      <c r="C243" s="50"/>
      <c r="D243" s="50"/>
      <c r="E243" s="50" t="str">
        <f>IF(D243="","",VLOOKUP(D243,'Product Master'!$B:$G,3,FALSE))</f>
        <v/>
      </c>
      <c r="F243" s="50"/>
      <c r="G243" s="50" t="str">
        <f>IF(D243="","",VLOOKUP(D243,'Product Master'!$B:$G,4,FALSE))</f>
        <v/>
      </c>
      <c r="H243" s="157" t="str">
        <f t="shared" si="9"/>
        <v/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</row>
    <row r="244" spans="1:19" x14ac:dyDescent="0.25">
      <c r="A244" s="155"/>
      <c r="B244" s="72" t="str">
        <f t="shared" si="8"/>
        <v>PUR0243</v>
      </c>
      <c r="C244" s="50"/>
      <c r="D244" s="50"/>
      <c r="E244" s="50" t="str">
        <f>IF(D244="","",VLOOKUP(D244,'Product Master'!$B:$G,3,FALSE))</f>
        <v/>
      </c>
      <c r="F244" s="50"/>
      <c r="G244" s="50" t="str">
        <f>IF(D244="","",VLOOKUP(D244,'Product Master'!$B:$G,4,FALSE))</f>
        <v/>
      </c>
      <c r="H244" s="157" t="str">
        <f t="shared" si="9"/>
        <v/>
      </c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</row>
    <row r="245" spans="1:19" x14ac:dyDescent="0.25">
      <c r="A245" s="155"/>
      <c r="B245" s="72" t="str">
        <f t="shared" si="8"/>
        <v>PUR0244</v>
      </c>
      <c r="C245" s="50"/>
      <c r="D245" s="50"/>
      <c r="E245" s="50" t="str">
        <f>IF(D245="","",VLOOKUP(D245,'Product Master'!$B:$G,3,FALSE))</f>
        <v/>
      </c>
      <c r="F245" s="50"/>
      <c r="G245" s="50" t="str">
        <f>IF(D245="","",VLOOKUP(D245,'Product Master'!$B:$G,4,FALSE))</f>
        <v/>
      </c>
      <c r="H245" s="157" t="str">
        <f t="shared" si="9"/>
        <v/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</row>
    <row r="246" spans="1:19" x14ac:dyDescent="0.25">
      <c r="A246" s="155"/>
      <c r="B246" s="72" t="str">
        <f t="shared" si="8"/>
        <v>PUR0245</v>
      </c>
      <c r="C246" s="50"/>
      <c r="D246" s="50"/>
      <c r="E246" s="50" t="str">
        <f>IF(D246="","",VLOOKUP(D246,'Product Master'!$B:$G,3,FALSE))</f>
        <v/>
      </c>
      <c r="F246" s="50"/>
      <c r="G246" s="50" t="str">
        <f>IF(D246="","",VLOOKUP(D246,'Product Master'!$B:$G,4,FALSE))</f>
        <v/>
      </c>
      <c r="H246" s="157" t="str">
        <f t="shared" si="9"/>
        <v/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1:19" x14ac:dyDescent="0.25">
      <c r="A247" s="155"/>
      <c r="B247" s="72" t="str">
        <f t="shared" si="8"/>
        <v>PUR0246</v>
      </c>
      <c r="C247" s="50"/>
      <c r="D247" s="50"/>
      <c r="E247" s="50" t="str">
        <f>IF(D247="","",VLOOKUP(D247,'Product Master'!$B:$G,3,FALSE))</f>
        <v/>
      </c>
      <c r="F247" s="50"/>
      <c r="G247" s="50" t="str">
        <f>IF(D247="","",VLOOKUP(D247,'Product Master'!$B:$G,4,FALSE))</f>
        <v/>
      </c>
      <c r="H247" s="157" t="str">
        <f t="shared" si="9"/>
        <v/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</row>
    <row r="248" spans="1:19" x14ac:dyDescent="0.25">
      <c r="A248" s="155"/>
      <c r="B248" s="72" t="str">
        <f t="shared" si="8"/>
        <v>PUR0247</v>
      </c>
      <c r="C248" s="50"/>
      <c r="D248" s="50"/>
      <c r="E248" s="50" t="str">
        <f>IF(D248="","",VLOOKUP(D248,'Product Master'!$B:$G,3,FALSE))</f>
        <v/>
      </c>
      <c r="F248" s="50"/>
      <c r="G248" s="50" t="str">
        <f>IF(D248="","",VLOOKUP(D248,'Product Master'!$B:$G,4,FALSE))</f>
        <v/>
      </c>
      <c r="H248" s="157" t="str">
        <f t="shared" si="9"/>
        <v/>
      </c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</row>
    <row r="249" spans="1:19" x14ac:dyDescent="0.25">
      <c r="A249" s="155"/>
      <c r="B249" s="72" t="str">
        <f t="shared" si="8"/>
        <v>PUR0248</v>
      </c>
      <c r="C249" s="50"/>
      <c r="D249" s="50"/>
      <c r="E249" s="50" t="str">
        <f>IF(D249="","",VLOOKUP(D249,'Product Master'!$B:$G,3,FALSE))</f>
        <v/>
      </c>
      <c r="F249" s="50"/>
      <c r="G249" s="50" t="str">
        <f>IF(D249="","",VLOOKUP(D249,'Product Master'!$B:$G,4,FALSE))</f>
        <v/>
      </c>
      <c r="H249" s="157" t="str">
        <f t="shared" si="9"/>
        <v/>
      </c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</row>
    <row r="250" spans="1:19" x14ac:dyDescent="0.25">
      <c r="A250" s="155"/>
      <c r="B250" s="72" t="str">
        <f t="shared" si="8"/>
        <v>PUR0249</v>
      </c>
      <c r="C250" s="50"/>
      <c r="D250" s="50"/>
      <c r="E250" s="50" t="str">
        <f>IF(D250="","",VLOOKUP(D250,'Product Master'!$B:$G,3,FALSE))</f>
        <v/>
      </c>
      <c r="F250" s="50"/>
      <c r="G250" s="50" t="str">
        <f>IF(D250="","",VLOOKUP(D250,'Product Master'!$B:$G,4,FALSE))</f>
        <v/>
      </c>
      <c r="H250" s="157" t="str">
        <f t="shared" si="9"/>
        <v/>
      </c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</row>
    <row r="251" spans="1:19" x14ac:dyDescent="0.25">
      <c r="A251" s="155"/>
      <c r="B251" s="72" t="str">
        <f t="shared" si="8"/>
        <v>PUR0250</v>
      </c>
      <c r="C251" s="50"/>
      <c r="D251" s="50"/>
      <c r="E251" s="50" t="str">
        <f>IF(D251="","",VLOOKUP(D251,'Product Master'!$B:$G,3,FALSE))</f>
        <v/>
      </c>
      <c r="F251" s="50"/>
      <c r="G251" s="50" t="str">
        <f>IF(D251="","",VLOOKUP(D251,'Product Master'!$B:$G,4,FALSE))</f>
        <v/>
      </c>
      <c r="H251" s="157" t="str">
        <f t="shared" si="9"/>
        <v/>
      </c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</row>
    <row r="252" spans="1:19" x14ac:dyDescent="0.25">
      <c r="A252" s="155"/>
      <c r="B252" s="72" t="str">
        <f t="shared" si="8"/>
        <v>PUR0251</v>
      </c>
      <c r="C252" s="50"/>
      <c r="D252" s="50"/>
      <c r="E252" s="50" t="str">
        <f>IF(D252="","",VLOOKUP(D252,'Product Master'!$B:$G,3,FALSE))</f>
        <v/>
      </c>
      <c r="F252" s="50"/>
      <c r="G252" s="50" t="str">
        <f>IF(D252="","",VLOOKUP(D252,'Product Master'!$B:$G,4,FALSE))</f>
        <v/>
      </c>
      <c r="H252" s="157" t="str">
        <f t="shared" si="9"/>
        <v/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</row>
    <row r="253" spans="1:19" x14ac:dyDescent="0.25">
      <c r="A253" s="155"/>
      <c r="B253" s="72" t="str">
        <f t="shared" si="8"/>
        <v>PUR0252</v>
      </c>
      <c r="C253" s="50"/>
      <c r="D253" s="50"/>
      <c r="E253" s="50" t="str">
        <f>IF(D253="","",VLOOKUP(D253,'Product Master'!$B:$G,3,FALSE))</f>
        <v/>
      </c>
      <c r="F253" s="50"/>
      <c r="G253" s="50" t="str">
        <f>IF(D253="","",VLOOKUP(D253,'Product Master'!$B:$G,4,FALSE))</f>
        <v/>
      </c>
      <c r="H253" s="157" t="str">
        <f t="shared" si="9"/>
        <v/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</row>
    <row r="254" spans="1:19" x14ac:dyDescent="0.25">
      <c r="A254" s="155"/>
      <c r="B254" s="72" t="str">
        <f t="shared" si="8"/>
        <v>PUR0253</v>
      </c>
      <c r="C254" s="50"/>
      <c r="D254" s="50"/>
      <c r="E254" s="50" t="str">
        <f>IF(D254="","",VLOOKUP(D254,'Product Master'!$B:$G,3,FALSE))</f>
        <v/>
      </c>
      <c r="F254" s="50"/>
      <c r="G254" s="50" t="str">
        <f>IF(D254="","",VLOOKUP(D254,'Product Master'!$B:$G,4,FALSE))</f>
        <v/>
      </c>
      <c r="H254" s="157" t="str">
        <f t="shared" si="9"/>
        <v/>
      </c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</row>
    <row r="255" spans="1:19" x14ac:dyDescent="0.25">
      <c r="A255" s="155"/>
      <c r="B255" s="72" t="str">
        <f t="shared" si="8"/>
        <v>PUR0254</v>
      </c>
      <c r="C255" s="50"/>
      <c r="D255" s="50"/>
      <c r="E255" s="50" t="str">
        <f>IF(D255="","",VLOOKUP(D255,'Product Master'!$B:$G,3,FALSE))</f>
        <v/>
      </c>
      <c r="F255" s="50"/>
      <c r="G255" s="50" t="str">
        <f>IF(D255="","",VLOOKUP(D255,'Product Master'!$B:$G,4,FALSE))</f>
        <v/>
      </c>
      <c r="H255" s="157" t="str">
        <f t="shared" si="9"/>
        <v/>
      </c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</row>
    <row r="256" spans="1:19" x14ac:dyDescent="0.25">
      <c r="A256" s="155"/>
      <c r="B256" s="72" t="str">
        <f t="shared" si="8"/>
        <v>PUR0255</v>
      </c>
      <c r="C256" s="50"/>
      <c r="D256" s="50"/>
      <c r="E256" s="50" t="str">
        <f>IF(D256="","",VLOOKUP(D256,'Product Master'!$B:$G,3,FALSE))</f>
        <v/>
      </c>
      <c r="F256" s="50"/>
      <c r="G256" s="50" t="str">
        <f>IF(D256="","",VLOOKUP(D256,'Product Master'!$B:$G,4,FALSE))</f>
        <v/>
      </c>
      <c r="H256" s="157" t="str">
        <f t="shared" si="9"/>
        <v/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</row>
    <row r="257" spans="1:19" x14ac:dyDescent="0.25">
      <c r="A257" s="155"/>
      <c r="B257" s="72" t="str">
        <f t="shared" si="8"/>
        <v>PUR0256</v>
      </c>
      <c r="C257" s="50"/>
      <c r="D257" s="50"/>
      <c r="E257" s="50" t="str">
        <f>IF(D257="","",VLOOKUP(D257,'Product Master'!$B:$G,3,FALSE))</f>
        <v/>
      </c>
      <c r="F257" s="50"/>
      <c r="G257" s="50" t="str">
        <f>IF(D257="","",VLOOKUP(D257,'Product Master'!$B:$G,4,FALSE))</f>
        <v/>
      </c>
      <c r="H257" s="157" t="str">
        <f t="shared" si="9"/>
        <v/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1:19" x14ac:dyDescent="0.25">
      <c r="A258" s="155"/>
      <c r="B258" s="72" t="str">
        <f t="shared" si="8"/>
        <v>PUR0257</v>
      </c>
      <c r="C258" s="50"/>
      <c r="D258" s="50"/>
      <c r="E258" s="50" t="str">
        <f>IF(D258="","",VLOOKUP(D258,'Product Master'!$B:$G,3,FALSE))</f>
        <v/>
      </c>
      <c r="F258" s="50"/>
      <c r="G258" s="50" t="str">
        <f>IF(D258="","",VLOOKUP(D258,'Product Master'!$B:$G,4,FALSE))</f>
        <v/>
      </c>
      <c r="H258" s="157" t="str">
        <f t="shared" si="9"/>
        <v/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</row>
    <row r="259" spans="1:19" x14ac:dyDescent="0.25">
      <c r="A259" s="155"/>
      <c r="B259" s="72" t="str">
        <f t="shared" si="8"/>
        <v>PUR0258</v>
      </c>
      <c r="C259" s="50"/>
      <c r="D259" s="50"/>
      <c r="E259" s="50" t="str">
        <f>IF(D259="","",VLOOKUP(D259,'Product Master'!$B:$G,3,FALSE))</f>
        <v/>
      </c>
      <c r="F259" s="50"/>
      <c r="G259" s="50" t="str">
        <f>IF(D259="","",VLOOKUP(D259,'Product Master'!$B:$G,4,FALSE))</f>
        <v/>
      </c>
      <c r="H259" s="157" t="str">
        <f t="shared" si="9"/>
        <v/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</row>
    <row r="260" spans="1:19" x14ac:dyDescent="0.25">
      <c r="A260" s="155"/>
      <c r="B260" s="72" t="str">
        <f t="shared" si="8"/>
        <v>PUR0259</v>
      </c>
      <c r="C260" s="50"/>
      <c r="D260" s="50"/>
      <c r="E260" s="50" t="str">
        <f>IF(D260="","",VLOOKUP(D260,'Product Master'!$B:$G,3,FALSE))</f>
        <v/>
      </c>
      <c r="F260" s="50"/>
      <c r="G260" s="50" t="str">
        <f>IF(D260="","",VLOOKUP(D260,'Product Master'!$B:$G,4,FALSE))</f>
        <v/>
      </c>
      <c r="H260" s="157" t="str">
        <f t="shared" si="9"/>
        <v/>
      </c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</row>
    <row r="261" spans="1:19" x14ac:dyDescent="0.25">
      <c r="A261" s="155"/>
      <c r="B261" s="72" t="str">
        <f t="shared" si="8"/>
        <v>PUR0260</v>
      </c>
      <c r="C261" s="50"/>
      <c r="D261" s="50"/>
      <c r="E261" s="50" t="str">
        <f>IF(D261="","",VLOOKUP(D261,'Product Master'!$B:$G,3,FALSE))</f>
        <v/>
      </c>
      <c r="F261" s="50"/>
      <c r="G261" s="50" t="str">
        <f>IF(D261="","",VLOOKUP(D261,'Product Master'!$B:$G,4,FALSE))</f>
        <v/>
      </c>
      <c r="H261" s="157" t="str">
        <f t="shared" si="9"/>
        <v/>
      </c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</row>
    <row r="262" spans="1:19" x14ac:dyDescent="0.25">
      <c r="A262" s="155"/>
      <c r="B262" s="72" t="str">
        <f t="shared" si="8"/>
        <v>PUR0261</v>
      </c>
      <c r="C262" s="50"/>
      <c r="D262" s="50"/>
      <c r="E262" s="50" t="str">
        <f>IF(D262="","",VLOOKUP(D262,'Product Master'!$B:$G,3,FALSE))</f>
        <v/>
      </c>
      <c r="F262" s="50"/>
      <c r="G262" s="50" t="str">
        <f>IF(D262="","",VLOOKUP(D262,'Product Master'!$B:$G,4,FALSE))</f>
        <v/>
      </c>
      <c r="H262" s="157" t="str">
        <f t="shared" si="9"/>
        <v/>
      </c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</row>
    <row r="263" spans="1:19" x14ac:dyDescent="0.25">
      <c r="A263" s="155"/>
      <c r="B263" s="72" t="str">
        <f t="shared" si="8"/>
        <v>PUR0262</v>
      </c>
      <c r="C263" s="50"/>
      <c r="D263" s="50"/>
      <c r="E263" s="50" t="str">
        <f>IF(D263="","",VLOOKUP(D263,'Product Master'!$B:$G,3,FALSE))</f>
        <v/>
      </c>
      <c r="F263" s="50"/>
      <c r="G263" s="50" t="str">
        <f>IF(D263="","",VLOOKUP(D263,'Product Master'!$B:$G,4,FALSE))</f>
        <v/>
      </c>
      <c r="H263" s="157" t="str">
        <f t="shared" si="9"/>
        <v/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</row>
    <row r="264" spans="1:19" x14ac:dyDescent="0.25">
      <c r="A264" s="155"/>
      <c r="B264" s="72" t="str">
        <f t="shared" si="8"/>
        <v>PUR0263</v>
      </c>
      <c r="C264" s="50"/>
      <c r="D264" s="50"/>
      <c r="E264" s="50" t="str">
        <f>IF(D264="","",VLOOKUP(D264,'Product Master'!$B:$G,3,FALSE))</f>
        <v/>
      </c>
      <c r="F264" s="50"/>
      <c r="G264" s="50" t="str">
        <f>IF(D264="","",VLOOKUP(D264,'Product Master'!$B:$G,4,FALSE))</f>
        <v/>
      </c>
      <c r="H264" s="157" t="str">
        <f t="shared" si="9"/>
        <v/>
      </c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</row>
    <row r="265" spans="1:19" x14ac:dyDescent="0.25">
      <c r="A265" s="155"/>
      <c r="B265" s="72" t="str">
        <f t="shared" si="8"/>
        <v>PUR0264</v>
      </c>
      <c r="C265" s="50"/>
      <c r="D265" s="50"/>
      <c r="E265" s="50" t="str">
        <f>IF(D265="","",VLOOKUP(D265,'Product Master'!$B:$G,3,FALSE))</f>
        <v/>
      </c>
      <c r="F265" s="50"/>
      <c r="G265" s="50" t="str">
        <f>IF(D265="","",VLOOKUP(D265,'Product Master'!$B:$G,4,FALSE))</f>
        <v/>
      </c>
      <c r="H265" s="157" t="str">
        <f t="shared" si="9"/>
        <v/>
      </c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</row>
    <row r="266" spans="1:19" x14ac:dyDescent="0.25">
      <c r="A266" s="155"/>
      <c r="B266" s="72" t="str">
        <f t="shared" si="8"/>
        <v>PUR0265</v>
      </c>
      <c r="C266" s="50"/>
      <c r="D266" s="50"/>
      <c r="E266" s="50" t="str">
        <f>IF(D266="","",VLOOKUP(D266,'Product Master'!$B:$G,3,FALSE))</f>
        <v/>
      </c>
      <c r="F266" s="50"/>
      <c r="G266" s="50" t="str">
        <f>IF(D266="","",VLOOKUP(D266,'Product Master'!$B:$G,4,FALSE))</f>
        <v/>
      </c>
      <c r="H266" s="157" t="str">
        <f t="shared" si="9"/>
        <v/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</row>
    <row r="267" spans="1:19" x14ac:dyDescent="0.25">
      <c r="A267" s="155"/>
      <c r="B267" s="72" t="str">
        <f t="shared" si="8"/>
        <v>PUR0266</v>
      </c>
      <c r="C267" s="50"/>
      <c r="D267" s="50"/>
      <c r="E267" s="50" t="str">
        <f>IF(D267="","",VLOOKUP(D267,'Product Master'!$B:$G,3,FALSE))</f>
        <v/>
      </c>
      <c r="F267" s="50"/>
      <c r="G267" s="50" t="str">
        <f>IF(D267="","",VLOOKUP(D267,'Product Master'!$B:$G,4,FALSE))</f>
        <v/>
      </c>
      <c r="H267" s="157" t="str">
        <f t="shared" si="9"/>
        <v/>
      </c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</row>
    <row r="268" spans="1:19" x14ac:dyDescent="0.25">
      <c r="A268" s="155"/>
      <c r="B268" s="72" t="str">
        <f t="shared" si="8"/>
        <v>PUR0267</v>
      </c>
      <c r="C268" s="50"/>
      <c r="D268" s="50"/>
      <c r="E268" s="50" t="str">
        <f>IF(D268="","",VLOOKUP(D268,'Product Master'!$B:$G,3,FALSE))</f>
        <v/>
      </c>
      <c r="F268" s="50"/>
      <c r="G268" s="50" t="str">
        <f>IF(D268="","",VLOOKUP(D268,'Product Master'!$B:$G,4,FALSE))</f>
        <v/>
      </c>
      <c r="H268" s="157" t="str">
        <f t="shared" si="9"/>
        <v/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</row>
    <row r="269" spans="1:19" x14ac:dyDescent="0.25">
      <c r="A269" s="155"/>
      <c r="B269" s="72" t="str">
        <f t="shared" si="8"/>
        <v>PUR0268</v>
      </c>
      <c r="C269" s="50"/>
      <c r="D269" s="50"/>
      <c r="E269" s="50" t="str">
        <f>IF(D269="","",VLOOKUP(D269,'Product Master'!$B:$G,3,FALSE))</f>
        <v/>
      </c>
      <c r="F269" s="50"/>
      <c r="G269" s="50" t="str">
        <f>IF(D269="","",VLOOKUP(D269,'Product Master'!$B:$G,4,FALSE))</f>
        <v/>
      </c>
      <c r="H269" s="157" t="str">
        <f t="shared" si="9"/>
        <v/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</row>
    <row r="270" spans="1:19" x14ac:dyDescent="0.25">
      <c r="A270" s="155"/>
      <c r="B270" s="72" t="str">
        <f t="shared" si="8"/>
        <v>PUR0269</v>
      </c>
      <c r="C270" s="50"/>
      <c r="D270" s="50"/>
      <c r="E270" s="50" t="str">
        <f>IF(D270="","",VLOOKUP(D270,'Product Master'!$B:$G,3,FALSE))</f>
        <v/>
      </c>
      <c r="F270" s="50"/>
      <c r="G270" s="50" t="str">
        <f>IF(D270="","",VLOOKUP(D270,'Product Master'!$B:$G,4,FALSE))</f>
        <v/>
      </c>
      <c r="H270" s="157" t="str">
        <f t="shared" si="9"/>
        <v/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</row>
    <row r="271" spans="1:19" x14ac:dyDescent="0.25">
      <c r="A271" s="155"/>
      <c r="B271" s="72" t="str">
        <f t="shared" si="8"/>
        <v>PUR0270</v>
      </c>
      <c r="C271" s="50"/>
      <c r="D271" s="50"/>
      <c r="E271" s="50" t="str">
        <f>IF(D271="","",VLOOKUP(D271,'Product Master'!$B:$G,3,FALSE))</f>
        <v/>
      </c>
      <c r="F271" s="50"/>
      <c r="G271" s="50" t="str">
        <f>IF(D271="","",VLOOKUP(D271,'Product Master'!$B:$G,4,FALSE))</f>
        <v/>
      </c>
      <c r="H271" s="157" t="str">
        <f t="shared" si="9"/>
        <v/>
      </c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</row>
    <row r="272" spans="1:19" x14ac:dyDescent="0.25">
      <c r="A272" s="155"/>
      <c r="B272" s="72" t="str">
        <f t="shared" si="8"/>
        <v>PUR0271</v>
      </c>
      <c r="C272" s="50"/>
      <c r="D272" s="50"/>
      <c r="E272" s="50" t="str">
        <f>IF(D272="","",VLOOKUP(D272,'Product Master'!$B:$G,3,FALSE))</f>
        <v/>
      </c>
      <c r="F272" s="50"/>
      <c r="G272" s="50" t="str">
        <f>IF(D272="","",VLOOKUP(D272,'Product Master'!$B:$G,4,FALSE))</f>
        <v/>
      </c>
      <c r="H272" s="157" t="str">
        <f t="shared" si="9"/>
        <v/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</row>
    <row r="273" spans="1:19" x14ac:dyDescent="0.25">
      <c r="A273" s="155"/>
      <c r="B273" s="72" t="str">
        <f t="shared" si="8"/>
        <v>PUR0272</v>
      </c>
      <c r="C273" s="50"/>
      <c r="D273" s="50"/>
      <c r="E273" s="50" t="str">
        <f>IF(D273="","",VLOOKUP(D273,'Product Master'!$B:$G,3,FALSE))</f>
        <v/>
      </c>
      <c r="F273" s="50"/>
      <c r="G273" s="50" t="str">
        <f>IF(D273="","",VLOOKUP(D273,'Product Master'!$B:$G,4,FALSE))</f>
        <v/>
      </c>
      <c r="H273" s="157" t="str">
        <f t="shared" si="9"/>
        <v/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</row>
    <row r="274" spans="1:19" x14ac:dyDescent="0.25">
      <c r="A274" s="155"/>
      <c r="B274" s="72" t="str">
        <f t="shared" si="8"/>
        <v>PUR0273</v>
      </c>
      <c r="C274" s="50"/>
      <c r="D274" s="50"/>
      <c r="E274" s="50" t="str">
        <f>IF(D274="","",VLOOKUP(D274,'Product Master'!$B:$G,3,FALSE))</f>
        <v/>
      </c>
      <c r="F274" s="50"/>
      <c r="G274" s="50" t="str">
        <f>IF(D274="","",VLOOKUP(D274,'Product Master'!$B:$G,4,FALSE))</f>
        <v/>
      </c>
      <c r="H274" s="157" t="str">
        <f t="shared" si="9"/>
        <v/>
      </c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</row>
    <row r="275" spans="1:19" x14ac:dyDescent="0.25">
      <c r="A275" s="155"/>
      <c r="B275" s="72" t="str">
        <f t="shared" si="8"/>
        <v>PUR0274</v>
      </c>
      <c r="C275" s="50"/>
      <c r="D275" s="50"/>
      <c r="E275" s="50" t="str">
        <f>IF(D275="","",VLOOKUP(D275,'Product Master'!$B:$G,3,FALSE))</f>
        <v/>
      </c>
      <c r="F275" s="50"/>
      <c r="G275" s="50" t="str">
        <f>IF(D275="","",VLOOKUP(D275,'Product Master'!$B:$G,4,FALSE))</f>
        <v/>
      </c>
      <c r="H275" s="157" t="str">
        <f t="shared" si="9"/>
        <v/>
      </c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</row>
    <row r="276" spans="1:19" x14ac:dyDescent="0.25">
      <c r="A276" s="155"/>
      <c r="B276" s="72" t="str">
        <f t="shared" si="8"/>
        <v>PUR0275</v>
      </c>
      <c r="C276" s="50"/>
      <c r="D276" s="50"/>
      <c r="E276" s="50" t="str">
        <f>IF(D276="","",VLOOKUP(D276,'Product Master'!$B:$G,3,FALSE))</f>
        <v/>
      </c>
      <c r="F276" s="50"/>
      <c r="G276" s="50" t="str">
        <f>IF(D276="","",VLOOKUP(D276,'Product Master'!$B:$G,4,FALSE))</f>
        <v/>
      </c>
      <c r="H276" s="157" t="str">
        <f t="shared" si="9"/>
        <v/>
      </c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</row>
    <row r="277" spans="1:19" x14ac:dyDescent="0.25">
      <c r="A277" s="155"/>
      <c r="B277" s="72" t="str">
        <f t="shared" si="8"/>
        <v>PUR0276</v>
      </c>
      <c r="C277" s="50"/>
      <c r="D277" s="50"/>
      <c r="E277" s="50" t="str">
        <f>IF(D277="","",VLOOKUP(D277,'Product Master'!$B:$G,3,FALSE))</f>
        <v/>
      </c>
      <c r="F277" s="50"/>
      <c r="G277" s="50" t="str">
        <f>IF(D277="","",VLOOKUP(D277,'Product Master'!$B:$G,4,FALSE))</f>
        <v/>
      </c>
      <c r="H277" s="157" t="str">
        <f t="shared" si="9"/>
        <v/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</row>
    <row r="278" spans="1:19" x14ac:dyDescent="0.25">
      <c r="A278" s="155"/>
      <c r="B278" s="72" t="str">
        <f t="shared" si="8"/>
        <v>PUR0277</v>
      </c>
      <c r="C278" s="50"/>
      <c r="D278" s="50"/>
      <c r="E278" s="50" t="str">
        <f>IF(D278="","",VLOOKUP(D278,'Product Master'!$B:$G,3,FALSE))</f>
        <v/>
      </c>
      <c r="F278" s="50"/>
      <c r="G278" s="50" t="str">
        <f>IF(D278="","",VLOOKUP(D278,'Product Master'!$B:$G,4,FALSE))</f>
        <v/>
      </c>
      <c r="H278" s="157" t="str">
        <f t="shared" si="9"/>
        <v/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</row>
    <row r="279" spans="1:19" x14ac:dyDescent="0.25">
      <c r="A279" s="155"/>
      <c r="B279" s="72" t="str">
        <f t="shared" si="8"/>
        <v>PUR0278</v>
      </c>
      <c r="C279" s="50"/>
      <c r="D279" s="50"/>
      <c r="E279" s="50" t="str">
        <f>IF(D279="","",VLOOKUP(D279,'Product Master'!$B:$G,3,FALSE))</f>
        <v/>
      </c>
      <c r="F279" s="50"/>
      <c r="G279" s="50" t="str">
        <f>IF(D279="","",VLOOKUP(D279,'Product Master'!$B:$G,4,FALSE))</f>
        <v/>
      </c>
      <c r="H279" s="157" t="str">
        <f t="shared" si="9"/>
        <v/>
      </c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1:19" x14ac:dyDescent="0.25">
      <c r="A280" s="155"/>
      <c r="B280" s="72" t="str">
        <f t="shared" si="8"/>
        <v>PUR0279</v>
      </c>
      <c r="C280" s="50"/>
      <c r="D280" s="50"/>
      <c r="E280" s="50" t="str">
        <f>IF(D280="","",VLOOKUP(D280,'Product Master'!$B:$G,3,FALSE))</f>
        <v/>
      </c>
      <c r="F280" s="50"/>
      <c r="G280" s="50" t="str">
        <f>IF(D280="","",VLOOKUP(D280,'Product Master'!$B:$G,4,FALSE))</f>
        <v/>
      </c>
      <c r="H280" s="157" t="str">
        <f t="shared" si="9"/>
        <v/>
      </c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</row>
    <row r="281" spans="1:19" x14ac:dyDescent="0.25">
      <c r="A281" s="155"/>
      <c r="B281" s="72" t="str">
        <f t="shared" si="8"/>
        <v>PUR0280</v>
      </c>
      <c r="C281" s="50"/>
      <c r="D281" s="50"/>
      <c r="E281" s="50" t="str">
        <f>IF(D281="","",VLOOKUP(D281,'Product Master'!$B:$G,3,FALSE))</f>
        <v/>
      </c>
      <c r="F281" s="50"/>
      <c r="G281" s="50" t="str">
        <f>IF(D281="","",VLOOKUP(D281,'Product Master'!$B:$G,4,FALSE))</f>
        <v/>
      </c>
      <c r="H281" s="157" t="str">
        <f t="shared" si="9"/>
        <v/>
      </c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</row>
    <row r="282" spans="1:19" x14ac:dyDescent="0.25">
      <c r="A282" s="155"/>
      <c r="B282" s="72" t="str">
        <f t="shared" si="8"/>
        <v>PUR0281</v>
      </c>
      <c r="C282" s="50"/>
      <c r="D282" s="50"/>
      <c r="E282" s="50" t="str">
        <f>IF(D282="","",VLOOKUP(D282,'Product Master'!$B:$G,3,FALSE))</f>
        <v/>
      </c>
      <c r="F282" s="50"/>
      <c r="G282" s="50" t="str">
        <f>IF(D282="","",VLOOKUP(D282,'Product Master'!$B:$G,4,FALSE))</f>
        <v/>
      </c>
      <c r="H282" s="157" t="str">
        <f t="shared" si="9"/>
        <v/>
      </c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</row>
    <row r="283" spans="1:19" x14ac:dyDescent="0.25">
      <c r="A283" s="155"/>
      <c r="B283" s="72" t="str">
        <f t="shared" si="8"/>
        <v>PUR0282</v>
      </c>
      <c r="C283" s="50"/>
      <c r="D283" s="50"/>
      <c r="E283" s="50" t="str">
        <f>IF(D283="","",VLOOKUP(D283,'Product Master'!$B:$G,3,FALSE))</f>
        <v/>
      </c>
      <c r="F283" s="50"/>
      <c r="G283" s="50" t="str">
        <f>IF(D283="","",VLOOKUP(D283,'Product Master'!$B:$G,4,FALSE))</f>
        <v/>
      </c>
      <c r="H283" s="157" t="str">
        <f t="shared" si="9"/>
        <v/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</row>
    <row r="284" spans="1:19" x14ac:dyDescent="0.25">
      <c r="A284" s="155"/>
      <c r="B284" s="72" t="str">
        <f t="shared" si="8"/>
        <v>PUR0283</v>
      </c>
      <c r="C284" s="50"/>
      <c r="D284" s="50"/>
      <c r="E284" s="50" t="str">
        <f>IF(D284="","",VLOOKUP(D284,'Product Master'!$B:$G,3,FALSE))</f>
        <v/>
      </c>
      <c r="F284" s="50"/>
      <c r="G284" s="50" t="str">
        <f>IF(D284="","",VLOOKUP(D284,'Product Master'!$B:$G,4,FALSE))</f>
        <v/>
      </c>
      <c r="H284" s="157" t="str">
        <f t="shared" si="9"/>
        <v/>
      </c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</row>
    <row r="285" spans="1:19" x14ac:dyDescent="0.25">
      <c r="A285" s="155"/>
      <c r="B285" s="72" t="str">
        <f t="shared" si="8"/>
        <v>PUR0284</v>
      </c>
      <c r="C285" s="50"/>
      <c r="D285" s="50"/>
      <c r="E285" s="50" t="str">
        <f>IF(D285="","",VLOOKUP(D285,'Product Master'!$B:$G,3,FALSE))</f>
        <v/>
      </c>
      <c r="F285" s="50"/>
      <c r="G285" s="50" t="str">
        <f>IF(D285="","",VLOOKUP(D285,'Product Master'!$B:$G,4,FALSE))</f>
        <v/>
      </c>
      <c r="H285" s="157" t="str">
        <f t="shared" si="9"/>
        <v/>
      </c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</row>
    <row r="286" spans="1:19" x14ac:dyDescent="0.25">
      <c r="A286" s="155"/>
      <c r="B286" s="72" t="str">
        <f t="shared" si="8"/>
        <v>PUR0285</v>
      </c>
      <c r="C286" s="50"/>
      <c r="D286" s="50"/>
      <c r="E286" s="50" t="str">
        <f>IF(D286="","",VLOOKUP(D286,'Product Master'!$B:$G,3,FALSE))</f>
        <v/>
      </c>
      <c r="F286" s="50"/>
      <c r="G286" s="50" t="str">
        <f>IF(D286="","",VLOOKUP(D286,'Product Master'!$B:$G,4,FALSE))</f>
        <v/>
      </c>
      <c r="H286" s="157" t="str">
        <f t="shared" si="9"/>
        <v/>
      </c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</row>
    <row r="287" spans="1:19" x14ac:dyDescent="0.25">
      <c r="A287" s="155"/>
      <c r="B287" s="72" t="str">
        <f t="shared" si="8"/>
        <v>PUR0286</v>
      </c>
      <c r="C287" s="50"/>
      <c r="D287" s="50"/>
      <c r="E287" s="50" t="str">
        <f>IF(D287="","",VLOOKUP(D287,'Product Master'!$B:$G,3,FALSE))</f>
        <v/>
      </c>
      <c r="F287" s="50"/>
      <c r="G287" s="50" t="str">
        <f>IF(D287="","",VLOOKUP(D287,'Product Master'!$B:$G,4,FALSE))</f>
        <v/>
      </c>
      <c r="H287" s="157" t="str">
        <f t="shared" si="9"/>
        <v/>
      </c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</row>
    <row r="288" spans="1:19" x14ac:dyDescent="0.25">
      <c r="A288" s="155"/>
      <c r="B288" s="72" t="str">
        <f t="shared" si="8"/>
        <v>PUR0287</v>
      </c>
      <c r="C288" s="50"/>
      <c r="D288" s="50"/>
      <c r="E288" s="50" t="str">
        <f>IF(D288="","",VLOOKUP(D288,'Product Master'!$B:$G,3,FALSE))</f>
        <v/>
      </c>
      <c r="F288" s="50"/>
      <c r="G288" s="50" t="str">
        <f>IF(D288="","",VLOOKUP(D288,'Product Master'!$B:$G,4,FALSE))</f>
        <v/>
      </c>
      <c r="H288" s="157" t="str">
        <f t="shared" si="9"/>
        <v/>
      </c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</row>
    <row r="289" spans="1:19" x14ac:dyDescent="0.25">
      <c r="A289" s="155"/>
      <c r="B289" s="72" t="str">
        <f t="shared" ref="B289:B352" si="10">"PUR"&amp;TEXT(ROW()-1,"0000")</f>
        <v>PUR0288</v>
      </c>
      <c r="C289" s="50"/>
      <c r="D289" s="50"/>
      <c r="E289" s="50" t="str">
        <f>IF(D289="","",VLOOKUP(D289,'Product Master'!$B:$G,3,FALSE))</f>
        <v/>
      </c>
      <c r="F289" s="50"/>
      <c r="G289" s="50" t="str">
        <f>IF(D289="","",VLOOKUP(D289,'Product Master'!$B:$G,4,FALSE))</f>
        <v/>
      </c>
      <c r="H289" s="157" t="str">
        <f t="shared" ref="H289:H352" si="11">IF(OR(F289="",G289=""),"",F289*G289)</f>
        <v/>
      </c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</row>
    <row r="290" spans="1:19" x14ac:dyDescent="0.25">
      <c r="A290" s="155"/>
      <c r="B290" s="72" t="str">
        <f t="shared" si="10"/>
        <v>PUR0289</v>
      </c>
      <c r="C290" s="50"/>
      <c r="D290" s="50"/>
      <c r="E290" s="50" t="str">
        <f>IF(D290="","",VLOOKUP(D290,'Product Master'!$B:$G,3,FALSE))</f>
        <v/>
      </c>
      <c r="F290" s="50"/>
      <c r="G290" s="50" t="str">
        <f>IF(D290="","",VLOOKUP(D290,'Product Master'!$B:$G,4,FALSE))</f>
        <v/>
      </c>
      <c r="H290" s="157" t="str">
        <f t="shared" si="11"/>
        <v/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</row>
    <row r="291" spans="1:19" x14ac:dyDescent="0.25">
      <c r="A291" s="155"/>
      <c r="B291" s="72" t="str">
        <f t="shared" si="10"/>
        <v>PUR0290</v>
      </c>
      <c r="C291" s="50"/>
      <c r="D291" s="50"/>
      <c r="E291" s="50" t="str">
        <f>IF(D291="","",VLOOKUP(D291,'Product Master'!$B:$G,3,FALSE))</f>
        <v/>
      </c>
      <c r="F291" s="50"/>
      <c r="G291" s="50" t="str">
        <f>IF(D291="","",VLOOKUP(D291,'Product Master'!$B:$G,4,FALSE))</f>
        <v/>
      </c>
      <c r="H291" s="157" t="str">
        <f t="shared" si="11"/>
        <v/>
      </c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</row>
    <row r="292" spans="1:19" x14ac:dyDescent="0.25">
      <c r="A292" s="155"/>
      <c r="B292" s="72" t="str">
        <f t="shared" si="10"/>
        <v>PUR0291</v>
      </c>
      <c r="C292" s="50"/>
      <c r="D292" s="50"/>
      <c r="E292" s="50" t="str">
        <f>IF(D292="","",VLOOKUP(D292,'Product Master'!$B:$G,3,FALSE))</f>
        <v/>
      </c>
      <c r="F292" s="50"/>
      <c r="G292" s="50" t="str">
        <f>IF(D292="","",VLOOKUP(D292,'Product Master'!$B:$G,4,FALSE))</f>
        <v/>
      </c>
      <c r="H292" s="157" t="str">
        <f t="shared" si="11"/>
        <v/>
      </c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</row>
    <row r="293" spans="1:19" x14ac:dyDescent="0.25">
      <c r="A293" s="155"/>
      <c r="B293" s="72" t="str">
        <f t="shared" si="10"/>
        <v>PUR0292</v>
      </c>
      <c r="C293" s="50"/>
      <c r="D293" s="50"/>
      <c r="E293" s="50" t="str">
        <f>IF(D293="","",VLOOKUP(D293,'Product Master'!$B:$G,3,FALSE))</f>
        <v/>
      </c>
      <c r="F293" s="50"/>
      <c r="G293" s="50" t="str">
        <f>IF(D293="","",VLOOKUP(D293,'Product Master'!$B:$G,4,FALSE))</f>
        <v/>
      </c>
      <c r="H293" s="157" t="str">
        <f t="shared" si="11"/>
        <v/>
      </c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</row>
    <row r="294" spans="1:19" x14ac:dyDescent="0.25">
      <c r="A294" s="155"/>
      <c r="B294" s="72" t="str">
        <f t="shared" si="10"/>
        <v>PUR0293</v>
      </c>
      <c r="C294" s="50"/>
      <c r="D294" s="50"/>
      <c r="E294" s="50" t="str">
        <f>IF(D294="","",VLOOKUP(D294,'Product Master'!$B:$G,3,FALSE))</f>
        <v/>
      </c>
      <c r="F294" s="50"/>
      <c r="G294" s="50" t="str">
        <f>IF(D294="","",VLOOKUP(D294,'Product Master'!$B:$G,4,FALSE))</f>
        <v/>
      </c>
      <c r="H294" s="157" t="str">
        <f t="shared" si="11"/>
        <v/>
      </c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</row>
    <row r="295" spans="1:19" x14ac:dyDescent="0.25">
      <c r="A295" s="155"/>
      <c r="B295" s="72" t="str">
        <f t="shared" si="10"/>
        <v>PUR0294</v>
      </c>
      <c r="C295" s="50"/>
      <c r="D295" s="50"/>
      <c r="E295" s="50" t="str">
        <f>IF(D295="","",VLOOKUP(D295,'Product Master'!$B:$G,3,FALSE))</f>
        <v/>
      </c>
      <c r="F295" s="50"/>
      <c r="G295" s="50" t="str">
        <f>IF(D295="","",VLOOKUP(D295,'Product Master'!$B:$G,4,FALSE))</f>
        <v/>
      </c>
      <c r="H295" s="157" t="str">
        <f t="shared" si="11"/>
        <v/>
      </c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</row>
    <row r="296" spans="1:19" x14ac:dyDescent="0.25">
      <c r="A296" s="155"/>
      <c r="B296" s="72" t="str">
        <f t="shared" si="10"/>
        <v>PUR0295</v>
      </c>
      <c r="C296" s="50"/>
      <c r="D296" s="50"/>
      <c r="E296" s="50" t="str">
        <f>IF(D296="","",VLOOKUP(D296,'Product Master'!$B:$G,3,FALSE))</f>
        <v/>
      </c>
      <c r="F296" s="50"/>
      <c r="G296" s="50" t="str">
        <f>IF(D296="","",VLOOKUP(D296,'Product Master'!$B:$G,4,FALSE))</f>
        <v/>
      </c>
      <c r="H296" s="157" t="str">
        <f t="shared" si="11"/>
        <v/>
      </c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</row>
    <row r="297" spans="1:19" x14ac:dyDescent="0.25">
      <c r="A297" s="155"/>
      <c r="B297" s="72" t="str">
        <f t="shared" si="10"/>
        <v>PUR0296</v>
      </c>
      <c r="C297" s="50"/>
      <c r="D297" s="50"/>
      <c r="E297" s="50" t="str">
        <f>IF(D297="","",VLOOKUP(D297,'Product Master'!$B:$G,3,FALSE))</f>
        <v/>
      </c>
      <c r="F297" s="50"/>
      <c r="G297" s="50" t="str">
        <f>IF(D297="","",VLOOKUP(D297,'Product Master'!$B:$G,4,FALSE))</f>
        <v/>
      </c>
      <c r="H297" s="157" t="str">
        <f t="shared" si="11"/>
        <v/>
      </c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</row>
    <row r="298" spans="1:19" x14ac:dyDescent="0.25">
      <c r="A298" s="155"/>
      <c r="B298" s="72" t="str">
        <f t="shared" si="10"/>
        <v>PUR0297</v>
      </c>
      <c r="C298" s="50"/>
      <c r="D298" s="50"/>
      <c r="E298" s="50" t="str">
        <f>IF(D298="","",VLOOKUP(D298,'Product Master'!$B:$G,3,FALSE))</f>
        <v/>
      </c>
      <c r="F298" s="50"/>
      <c r="G298" s="50" t="str">
        <f>IF(D298="","",VLOOKUP(D298,'Product Master'!$B:$G,4,FALSE))</f>
        <v/>
      </c>
      <c r="H298" s="157" t="str">
        <f t="shared" si="11"/>
        <v/>
      </c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</row>
    <row r="299" spans="1:19" x14ac:dyDescent="0.25">
      <c r="A299" s="155"/>
      <c r="B299" s="72" t="str">
        <f t="shared" si="10"/>
        <v>PUR0298</v>
      </c>
      <c r="C299" s="50"/>
      <c r="D299" s="50"/>
      <c r="E299" s="50" t="str">
        <f>IF(D299="","",VLOOKUP(D299,'Product Master'!$B:$G,3,FALSE))</f>
        <v/>
      </c>
      <c r="F299" s="50"/>
      <c r="G299" s="50" t="str">
        <f>IF(D299="","",VLOOKUP(D299,'Product Master'!$B:$G,4,FALSE))</f>
        <v/>
      </c>
      <c r="H299" s="157" t="str">
        <f t="shared" si="11"/>
        <v/>
      </c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</row>
    <row r="300" spans="1:19" x14ac:dyDescent="0.25">
      <c r="A300" s="155"/>
      <c r="B300" s="72" t="str">
        <f t="shared" si="10"/>
        <v>PUR0299</v>
      </c>
      <c r="C300" s="50"/>
      <c r="D300" s="50"/>
      <c r="E300" s="50" t="str">
        <f>IF(D300="","",VLOOKUP(D300,'Product Master'!$B:$G,3,FALSE))</f>
        <v/>
      </c>
      <c r="F300" s="50"/>
      <c r="G300" s="50" t="str">
        <f>IF(D300="","",VLOOKUP(D300,'Product Master'!$B:$G,4,FALSE))</f>
        <v/>
      </c>
      <c r="H300" s="157" t="str">
        <f t="shared" si="11"/>
        <v/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</row>
    <row r="301" spans="1:19" x14ac:dyDescent="0.25">
      <c r="A301" s="155"/>
      <c r="B301" s="72" t="str">
        <f t="shared" si="10"/>
        <v>PUR0300</v>
      </c>
      <c r="C301" s="50"/>
      <c r="D301" s="50"/>
      <c r="E301" s="50" t="str">
        <f>IF(D301="","",VLOOKUP(D301,'Product Master'!$B:$G,3,FALSE))</f>
        <v/>
      </c>
      <c r="F301" s="50"/>
      <c r="G301" s="50" t="str">
        <f>IF(D301="","",VLOOKUP(D301,'Product Master'!$B:$G,4,FALSE))</f>
        <v/>
      </c>
      <c r="H301" s="157" t="str">
        <f t="shared" si="11"/>
        <v/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</row>
    <row r="302" spans="1:19" x14ac:dyDescent="0.25">
      <c r="A302" s="155"/>
      <c r="B302" s="72" t="str">
        <f t="shared" si="10"/>
        <v>PUR0301</v>
      </c>
      <c r="C302" s="50"/>
      <c r="D302" s="50"/>
      <c r="E302" s="50" t="str">
        <f>IF(D302="","",VLOOKUP(D302,'Product Master'!$B:$G,3,FALSE))</f>
        <v/>
      </c>
      <c r="F302" s="50"/>
      <c r="G302" s="50" t="str">
        <f>IF(D302="","",VLOOKUP(D302,'Product Master'!$B:$G,4,FALSE))</f>
        <v/>
      </c>
      <c r="H302" s="157" t="str">
        <f t="shared" si="11"/>
        <v/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</row>
    <row r="303" spans="1:19" x14ac:dyDescent="0.25">
      <c r="A303" s="155"/>
      <c r="B303" s="72" t="str">
        <f t="shared" si="10"/>
        <v>PUR0302</v>
      </c>
      <c r="C303" s="50"/>
      <c r="D303" s="50"/>
      <c r="E303" s="50" t="str">
        <f>IF(D303="","",VLOOKUP(D303,'Product Master'!$B:$G,3,FALSE))</f>
        <v/>
      </c>
      <c r="F303" s="50"/>
      <c r="G303" s="50" t="str">
        <f>IF(D303="","",VLOOKUP(D303,'Product Master'!$B:$G,4,FALSE))</f>
        <v/>
      </c>
      <c r="H303" s="157" t="str">
        <f t="shared" si="11"/>
        <v/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</row>
    <row r="304" spans="1:19" x14ac:dyDescent="0.25">
      <c r="A304" s="155"/>
      <c r="B304" s="72" t="str">
        <f t="shared" si="10"/>
        <v>PUR0303</v>
      </c>
      <c r="C304" s="50"/>
      <c r="D304" s="50"/>
      <c r="E304" s="50" t="str">
        <f>IF(D304="","",VLOOKUP(D304,'Product Master'!$B:$G,3,FALSE))</f>
        <v/>
      </c>
      <c r="F304" s="50"/>
      <c r="G304" s="50" t="str">
        <f>IF(D304="","",VLOOKUP(D304,'Product Master'!$B:$G,4,FALSE))</f>
        <v/>
      </c>
      <c r="H304" s="157" t="str">
        <f t="shared" si="11"/>
        <v/>
      </c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</row>
    <row r="305" spans="1:19" x14ac:dyDescent="0.25">
      <c r="A305" s="155"/>
      <c r="B305" s="72" t="str">
        <f t="shared" si="10"/>
        <v>PUR0304</v>
      </c>
      <c r="C305" s="50"/>
      <c r="D305" s="50"/>
      <c r="E305" s="50" t="str">
        <f>IF(D305="","",VLOOKUP(D305,'Product Master'!$B:$G,3,FALSE))</f>
        <v/>
      </c>
      <c r="F305" s="50"/>
      <c r="G305" s="50" t="str">
        <f>IF(D305="","",VLOOKUP(D305,'Product Master'!$B:$G,4,FALSE))</f>
        <v/>
      </c>
      <c r="H305" s="157" t="str">
        <f t="shared" si="11"/>
        <v/>
      </c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</row>
    <row r="306" spans="1:19" x14ac:dyDescent="0.25">
      <c r="A306" s="155"/>
      <c r="B306" s="72" t="str">
        <f t="shared" si="10"/>
        <v>PUR0305</v>
      </c>
      <c r="C306" s="50"/>
      <c r="D306" s="50"/>
      <c r="E306" s="50" t="str">
        <f>IF(D306="","",VLOOKUP(D306,'Product Master'!$B:$G,3,FALSE))</f>
        <v/>
      </c>
      <c r="F306" s="50"/>
      <c r="G306" s="50" t="str">
        <f>IF(D306="","",VLOOKUP(D306,'Product Master'!$B:$G,4,FALSE))</f>
        <v/>
      </c>
      <c r="H306" s="157" t="str">
        <f t="shared" si="11"/>
        <v/>
      </c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</row>
    <row r="307" spans="1:19" x14ac:dyDescent="0.25">
      <c r="A307" s="155"/>
      <c r="B307" s="72" t="str">
        <f t="shared" si="10"/>
        <v>PUR0306</v>
      </c>
      <c r="C307" s="50"/>
      <c r="D307" s="50"/>
      <c r="E307" s="50" t="str">
        <f>IF(D307="","",VLOOKUP(D307,'Product Master'!$B:$G,3,FALSE))</f>
        <v/>
      </c>
      <c r="F307" s="50"/>
      <c r="G307" s="50" t="str">
        <f>IF(D307="","",VLOOKUP(D307,'Product Master'!$B:$G,4,FALSE))</f>
        <v/>
      </c>
      <c r="H307" s="157" t="str">
        <f t="shared" si="11"/>
        <v/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</row>
    <row r="308" spans="1:19" x14ac:dyDescent="0.25">
      <c r="A308" s="155"/>
      <c r="B308" s="72" t="str">
        <f t="shared" si="10"/>
        <v>PUR0307</v>
      </c>
      <c r="C308" s="50"/>
      <c r="D308" s="50"/>
      <c r="E308" s="50" t="str">
        <f>IF(D308="","",VLOOKUP(D308,'Product Master'!$B:$G,3,FALSE))</f>
        <v/>
      </c>
      <c r="F308" s="50"/>
      <c r="G308" s="50" t="str">
        <f>IF(D308="","",VLOOKUP(D308,'Product Master'!$B:$G,4,FALSE))</f>
        <v/>
      </c>
      <c r="H308" s="157" t="str">
        <f t="shared" si="11"/>
        <v/>
      </c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</row>
    <row r="309" spans="1:19" x14ac:dyDescent="0.25">
      <c r="A309" s="155"/>
      <c r="B309" s="72" t="str">
        <f t="shared" si="10"/>
        <v>PUR0308</v>
      </c>
      <c r="C309" s="50"/>
      <c r="D309" s="50"/>
      <c r="E309" s="50" t="str">
        <f>IF(D309="","",VLOOKUP(D309,'Product Master'!$B:$G,3,FALSE))</f>
        <v/>
      </c>
      <c r="F309" s="50"/>
      <c r="G309" s="50" t="str">
        <f>IF(D309="","",VLOOKUP(D309,'Product Master'!$B:$G,4,FALSE))</f>
        <v/>
      </c>
      <c r="H309" s="157" t="str">
        <f t="shared" si="11"/>
        <v/>
      </c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</row>
    <row r="310" spans="1:19" x14ac:dyDescent="0.25">
      <c r="A310" s="155"/>
      <c r="B310" s="72" t="str">
        <f t="shared" si="10"/>
        <v>PUR0309</v>
      </c>
      <c r="C310" s="50"/>
      <c r="D310" s="50"/>
      <c r="E310" s="50" t="str">
        <f>IF(D310="","",VLOOKUP(D310,'Product Master'!$B:$G,3,FALSE))</f>
        <v/>
      </c>
      <c r="F310" s="50"/>
      <c r="G310" s="50" t="str">
        <f>IF(D310="","",VLOOKUP(D310,'Product Master'!$B:$G,4,FALSE))</f>
        <v/>
      </c>
      <c r="H310" s="157" t="str">
        <f t="shared" si="11"/>
        <v/>
      </c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</row>
    <row r="311" spans="1:19" x14ac:dyDescent="0.25">
      <c r="A311" s="155"/>
      <c r="B311" s="72" t="str">
        <f t="shared" si="10"/>
        <v>PUR0310</v>
      </c>
      <c r="C311" s="50"/>
      <c r="D311" s="50"/>
      <c r="E311" s="50" t="str">
        <f>IF(D311="","",VLOOKUP(D311,'Product Master'!$B:$G,3,FALSE))</f>
        <v/>
      </c>
      <c r="F311" s="50"/>
      <c r="G311" s="50" t="str">
        <f>IF(D311="","",VLOOKUP(D311,'Product Master'!$B:$G,4,FALSE))</f>
        <v/>
      </c>
      <c r="H311" s="157" t="str">
        <f t="shared" si="11"/>
        <v/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</row>
    <row r="312" spans="1:19" x14ac:dyDescent="0.25">
      <c r="A312" s="155"/>
      <c r="B312" s="72" t="str">
        <f t="shared" si="10"/>
        <v>PUR0311</v>
      </c>
      <c r="C312" s="50"/>
      <c r="D312" s="50"/>
      <c r="E312" s="50" t="str">
        <f>IF(D312="","",VLOOKUP(D312,'Product Master'!$B:$G,3,FALSE))</f>
        <v/>
      </c>
      <c r="F312" s="50"/>
      <c r="G312" s="50" t="str">
        <f>IF(D312="","",VLOOKUP(D312,'Product Master'!$B:$G,4,FALSE))</f>
        <v/>
      </c>
      <c r="H312" s="157" t="str">
        <f t="shared" si="11"/>
        <v/>
      </c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</row>
    <row r="313" spans="1:19" x14ac:dyDescent="0.25">
      <c r="A313" s="155"/>
      <c r="B313" s="72" t="str">
        <f t="shared" si="10"/>
        <v>PUR0312</v>
      </c>
      <c r="C313" s="50"/>
      <c r="D313" s="50"/>
      <c r="E313" s="50" t="str">
        <f>IF(D313="","",VLOOKUP(D313,'Product Master'!$B:$G,3,FALSE))</f>
        <v/>
      </c>
      <c r="F313" s="50"/>
      <c r="G313" s="50" t="str">
        <f>IF(D313="","",VLOOKUP(D313,'Product Master'!$B:$G,4,FALSE))</f>
        <v/>
      </c>
      <c r="H313" s="157" t="str">
        <f t="shared" si="11"/>
        <v/>
      </c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</row>
    <row r="314" spans="1:19" x14ac:dyDescent="0.25">
      <c r="A314" s="155"/>
      <c r="B314" s="72" t="str">
        <f t="shared" si="10"/>
        <v>PUR0313</v>
      </c>
      <c r="C314" s="50"/>
      <c r="D314" s="50"/>
      <c r="E314" s="50" t="str">
        <f>IF(D314="","",VLOOKUP(D314,'Product Master'!$B:$G,3,FALSE))</f>
        <v/>
      </c>
      <c r="F314" s="50"/>
      <c r="G314" s="50" t="str">
        <f>IF(D314="","",VLOOKUP(D314,'Product Master'!$B:$G,4,FALSE))</f>
        <v/>
      </c>
      <c r="H314" s="157" t="str">
        <f t="shared" si="11"/>
        <v/>
      </c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</row>
    <row r="315" spans="1:19" x14ac:dyDescent="0.25">
      <c r="A315" s="155"/>
      <c r="B315" s="72" t="str">
        <f t="shared" si="10"/>
        <v>PUR0314</v>
      </c>
      <c r="C315" s="50"/>
      <c r="D315" s="50"/>
      <c r="E315" s="50" t="str">
        <f>IF(D315="","",VLOOKUP(D315,'Product Master'!$B:$G,3,FALSE))</f>
        <v/>
      </c>
      <c r="F315" s="50"/>
      <c r="G315" s="50" t="str">
        <f>IF(D315="","",VLOOKUP(D315,'Product Master'!$B:$G,4,FALSE))</f>
        <v/>
      </c>
      <c r="H315" s="157" t="str">
        <f t="shared" si="11"/>
        <v/>
      </c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</row>
    <row r="316" spans="1:19" x14ac:dyDescent="0.25">
      <c r="A316" s="155"/>
      <c r="B316" s="72" t="str">
        <f t="shared" si="10"/>
        <v>PUR0315</v>
      </c>
      <c r="C316" s="50"/>
      <c r="D316" s="50"/>
      <c r="E316" s="50" t="str">
        <f>IF(D316="","",VLOOKUP(D316,'Product Master'!$B:$G,3,FALSE))</f>
        <v/>
      </c>
      <c r="F316" s="50"/>
      <c r="G316" s="50" t="str">
        <f>IF(D316="","",VLOOKUP(D316,'Product Master'!$B:$G,4,FALSE))</f>
        <v/>
      </c>
      <c r="H316" s="157" t="str">
        <f t="shared" si="11"/>
        <v/>
      </c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</row>
    <row r="317" spans="1:19" x14ac:dyDescent="0.25">
      <c r="A317" s="155"/>
      <c r="B317" s="72" t="str">
        <f t="shared" si="10"/>
        <v>PUR0316</v>
      </c>
      <c r="C317" s="50"/>
      <c r="D317" s="50"/>
      <c r="E317" s="50" t="str">
        <f>IF(D317="","",VLOOKUP(D317,'Product Master'!$B:$G,3,FALSE))</f>
        <v/>
      </c>
      <c r="F317" s="50"/>
      <c r="G317" s="50" t="str">
        <f>IF(D317="","",VLOOKUP(D317,'Product Master'!$B:$G,4,FALSE))</f>
        <v/>
      </c>
      <c r="H317" s="157" t="str">
        <f t="shared" si="11"/>
        <v/>
      </c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</row>
    <row r="318" spans="1:19" x14ac:dyDescent="0.25">
      <c r="A318" s="155"/>
      <c r="B318" s="72" t="str">
        <f t="shared" si="10"/>
        <v>PUR0317</v>
      </c>
      <c r="C318" s="50"/>
      <c r="D318" s="50"/>
      <c r="E318" s="50" t="str">
        <f>IF(D318="","",VLOOKUP(D318,'Product Master'!$B:$G,3,FALSE))</f>
        <v/>
      </c>
      <c r="F318" s="50"/>
      <c r="G318" s="50" t="str">
        <f>IF(D318="","",VLOOKUP(D318,'Product Master'!$B:$G,4,FALSE))</f>
        <v/>
      </c>
      <c r="H318" s="157" t="str">
        <f t="shared" si="11"/>
        <v/>
      </c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</row>
    <row r="319" spans="1:19" x14ac:dyDescent="0.25">
      <c r="A319" s="155"/>
      <c r="B319" s="72" t="str">
        <f t="shared" si="10"/>
        <v>PUR0318</v>
      </c>
      <c r="C319" s="50"/>
      <c r="D319" s="50"/>
      <c r="E319" s="50" t="str">
        <f>IF(D319="","",VLOOKUP(D319,'Product Master'!$B:$G,3,FALSE))</f>
        <v/>
      </c>
      <c r="F319" s="50"/>
      <c r="G319" s="50" t="str">
        <f>IF(D319="","",VLOOKUP(D319,'Product Master'!$B:$G,4,FALSE))</f>
        <v/>
      </c>
      <c r="H319" s="157" t="str">
        <f t="shared" si="11"/>
        <v/>
      </c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</row>
    <row r="320" spans="1:19" x14ac:dyDescent="0.25">
      <c r="A320" s="155"/>
      <c r="B320" s="72" t="str">
        <f t="shared" si="10"/>
        <v>PUR0319</v>
      </c>
      <c r="C320" s="50"/>
      <c r="D320" s="50"/>
      <c r="E320" s="50" t="str">
        <f>IF(D320="","",VLOOKUP(D320,'Product Master'!$B:$G,3,FALSE))</f>
        <v/>
      </c>
      <c r="F320" s="50"/>
      <c r="G320" s="50" t="str">
        <f>IF(D320="","",VLOOKUP(D320,'Product Master'!$B:$G,4,FALSE))</f>
        <v/>
      </c>
      <c r="H320" s="157" t="str">
        <f t="shared" si="11"/>
        <v/>
      </c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</row>
    <row r="321" spans="1:19" x14ac:dyDescent="0.25">
      <c r="A321" s="155"/>
      <c r="B321" s="72" t="str">
        <f t="shared" si="10"/>
        <v>PUR0320</v>
      </c>
      <c r="C321" s="50"/>
      <c r="D321" s="50"/>
      <c r="E321" s="50" t="str">
        <f>IF(D321="","",VLOOKUP(D321,'Product Master'!$B:$G,3,FALSE))</f>
        <v/>
      </c>
      <c r="F321" s="50"/>
      <c r="G321" s="50" t="str">
        <f>IF(D321="","",VLOOKUP(D321,'Product Master'!$B:$G,4,FALSE))</f>
        <v/>
      </c>
      <c r="H321" s="157" t="str">
        <f t="shared" si="11"/>
        <v/>
      </c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</row>
    <row r="322" spans="1:19" x14ac:dyDescent="0.25">
      <c r="A322" s="155"/>
      <c r="B322" s="72" t="str">
        <f t="shared" si="10"/>
        <v>PUR0321</v>
      </c>
      <c r="C322" s="50"/>
      <c r="D322" s="50"/>
      <c r="E322" s="50" t="str">
        <f>IF(D322="","",VLOOKUP(D322,'Product Master'!$B:$G,3,FALSE))</f>
        <v/>
      </c>
      <c r="F322" s="50"/>
      <c r="G322" s="50" t="str">
        <f>IF(D322="","",VLOOKUP(D322,'Product Master'!$B:$G,4,FALSE))</f>
        <v/>
      </c>
      <c r="H322" s="157" t="str">
        <f t="shared" si="11"/>
        <v/>
      </c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</row>
    <row r="323" spans="1:19" x14ac:dyDescent="0.25">
      <c r="A323" s="155"/>
      <c r="B323" s="72" t="str">
        <f t="shared" si="10"/>
        <v>PUR0322</v>
      </c>
      <c r="C323" s="50"/>
      <c r="D323" s="50"/>
      <c r="E323" s="50" t="str">
        <f>IF(D323="","",VLOOKUP(D323,'Product Master'!$B:$G,3,FALSE))</f>
        <v/>
      </c>
      <c r="F323" s="50"/>
      <c r="G323" s="50" t="str">
        <f>IF(D323="","",VLOOKUP(D323,'Product Master'!$B:$G,4,FALSE))</f>
        <v/>
      </c>
      <c r="H323" s="157" t="str">
        <f t="shared" si="11"/>
        <v/>
      </c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</row>
    <row r="324" spans="1:19" x14ac:dyDescent="0.25">
      <c r="A324" s="155"/>
      <c r="B324" s="72" t="str">
        <f t="shared" si="10"/>
        <v>PUR0323</v>
      </c>
      <c r="C324" s="50"/>
      <c r="D324" s="50"/>
      <c r="E324" s="50" t="str">
        <f>IF(D324="","",VLOOKUP(D324,'Product Master'!$B:$G,3,FALSE))</f>
        <v/>
      </c>
      <c r="F324" s="50"/>
      <c r="G324" s="50" t="str">
        <f>IF(D324="","",VLOOKUP(D324,'Product Master'!$B:$G,4,FALSE))</f>
        <v/>
      </c>
      <c r="H324" s="157" t="str">
        <f t="shared" si="11"/>
        <v/>
      </c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</row>
    <row r="325" spans="1:19" x14ac:dyDescent="0.25">
      <c r="A325" s="155"/>
      <c r="B325" s="72" t="str">
        <f t="shared" si="10"/>
        <v>PUR0324</v>
      </c>
      <c r="C325" s="50"/>
      <c r="D325" s="50"/>
      <c r="E325" s="50" t="str">
        <f>IF(D325="","",VLOOKUP(D325,'Product Master'!$B:$G,3,FALSE))</f>
        <v/>
      </c>
      <c r="F325" s="50"/>
      <c r="G325" s="50" t="str">
        <f>IF(D325="","",VLOOKUP(D325,'Product Master'!$B:$G,4,FALSE))</f>
        <v/>
      </c>
      <c r="H325" s="157" t="str">
        <f t="shared" si="11"/>
        <v/>
      </c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</row>
    <row r="326" spans="1:19" x14ac:dyDescent="0.25">
      <c r="A326" s="155"/>
      <c r="B326" s="72" t="str">
        <f t="shared" si="10"/>
        <v>PUR0325</v>
      </c>
      <c r="C326" s="50"/>
      <c r="D326" s="50"/>
      <c r="E326" s="50" t="str">
        <f>IF(D326="","",VLOOKUP(D326,'Product Master'!$B:$G,3,FALSE))</f>
        <v/>
      </c>
      <c r="F326" s="50"/>
      <c r="G326" s="50" t="str">
        <f>IF(D326="","",VLOOKUP(D326,'Product Master'!$B:$G,4,FALSE))</f>
        <v/>
      </c>
      <c r="H326" s="157" t="str">
        <f t="shared" si="11"/>
        <v/>
      </c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</row>
    <row r="327" spans="1:19" x14ac:dyDescent="0.25">
      <c r="A327" s="155"/>
      <c r="B327" s="72" t="str">
        <f t="shared" si="10"/>
        <v>PUR0326</v>
      </c>
      <c r="C327" s="50"/>
      <c r="D327" s="50"/>
      <c r="E327" s="50" t="str">
        <f>IF(D327="","",VLOOKUP(D327,'Product Master'!$B:$G,3,FALSE))</f>
        <v/>
      </c>
      <c r="F327" s="50"/>
      <c r="G327" s="50" t="str">
        <f>IF(D327="","",VLOOKUP(D327,'Product Master'!$B:$G,4,FALSE))</f>
        <v/>
      </c>
      <c r="H327" s="157" t="str">
        <f t="shared" si="11"/>
        <v/>
      </c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</row>
    <row r="328" spans="1:19" x14ac:dyDescent="0.25">
      <c r="A328" s="155"/>
      <c r="B328" s="72" t="str">
        <f t="shared" si="10"/>
        <v>PUR0327</v>
      </c>
      <c r="C328" s="50"/>
      <c r="D328" s="50"/>
      <c r="E328" s="50" t="str">
        <f>IF(D328="","",VLOOKUP(D328,'Product Master'!$B:$G,3,FALSE))</f>
        <v/>
      </c>
      <c r="F328" s="50"/>
      <c r="G328" s="50" t="str">
        <f>IF(D328="","",VLOOKUP(D328,'Product Master'!$B:$G,4,FALSE))</f>
        <v/>
      </c>
      <c r="H328" s="157" t="str">
        <f t="shared" si="11"/>
        <v/>
      </c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</row>
    <row r="329" spans="1:19" x14ac:dyDescent="0.25">
      <c r="A329" s="155"/>
      <c r="B329" s="72" t="str">
        <f t="shared" si="10"/>
        <v>PUR0328</v>
      </c>
      <c r="C329" s="50"/>
      <c r="D329" s="50"/>
      <c r="E329" s="50" t="str">
        <f>IF(D329="","",VLOOKUP(D329,'Product Master'!$B:$G,3,FALSE))</f>
        <v/>
      </c>
      <c r="F329" s="50"/>
      <c r="G329" s="50" t="str">
        <f>IF(D329="","",VLOOKUP(D329,'Product Master'!$B:$G,4,FALSE))</f>
        <v/>
      </c>
      <c r="H329" s="157" t="str">
        <f t="shared" si="11"/>
        <v/>
      </c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</row>
    <row r="330" spans="1:19" x14ac:dyDescent="0.25">
      <c r="A330" s="155"/>
      <c r="B330" s="72" t="str">
        <f t="shared" si="10"/>
        <v>PUR0329</v>
      </c>
      <c r="C330" s="50"/>
      <c r="D330" s="50"/>
      <c r="E330" s="50" t="str">
        <f>IF(D330="","",VLOOKUP(D330,'Product Master'!$B:$G,3,FALSE))</f>
        <v/>
      </c>
      <c r="F330" s="50"/>
      <c r="G330" s="50" t="str">
        <f>IF(D330="","",VLOOKUP(D330,'Product Master'!$B:$G,4,FALSE))</f>
        <v/>
      </c>
      <c r="H330" s="157" t="str">
        <f t="shared" si="11"/>
        <v/>
      </c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</row>
    <row r="331" spans="1:19" x14ac:dyDescent="0.25">
      <c r="A331" s="155"/>
      <c r="B331" s="72" t="str">
        <f t="shared" si="10"/>
        <v>PUR0330</v>
      </c>
      <c r="C331" s="50"/>
      <c r="D331" s="50"/>
      <c r="E331" s="50" t="str">
        <f>IF(D331="","",VLOOKUP(D331,'Product Master'!$B:$G,3,FALSE))</f>
        <v/>
      </c>
      <c r="F331" s="50"/>
      <c r="G331" s="50" t="str">
        <f>IF(D331="","",VLOOKUP(D331,'Product Master'!$B:$G,4,FALSE))</f>
        <v/>
      </c>
      <c r="H331" s="157" t="str">
        <f t="shared" si="11"/>
        <v/>
      </c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</row>
    <row r="332" spans="1:19" x14ac:dyDescent="0.25">
      <c r="A332" s="155"/>
      <c r="B332" s="72" t="str">
        <f t="shared" si="10"/>
        <v>PUR0331</v>
      </c>
      <c r="C332" s="50"/>
      <c r="D332" s="50"/>
      <c r="E332" s="50" t="str">
        <f>IF(D332="","",VLOOKUP(D332,'Product Master'!$B:$G,3,FALSE))</f>
        <v/>
      </c>
      <c r="F332" s="50"/>
      <c r="G332" s="50" t="str">
        <f>IF(D332="","",VLOOKUP(D332,'Product Master'!$B:$G,4,FALSE))</f>
        <v/>
      </c>
      <c r="H332" s="157" t="str">
        <f t="shared" si="11"/>
        <v/>
      </c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</row>
    <row r="333" spans="1:19" x14ac:dyDescent="0.25">
      <c r="A333" s="155"/>
      <c r="B333" s="72" t="str">
        <f t="shared" si="10"/>
        <v>PUR0332</v>
      </c>
      <c r="C333" s="50"/>
      <c r="D333" s="50"/>
      <c r="E333" s="50" t="str">
        <f>IF(D333="","",VLOOKUP(D333,'Product Master'!$B:$G,3,FALSE))</f>
        <v/>
      </c>
      <c r="F333" s="50"/>
      <c r="G333" s="50" t="str">
        <f>IF(D333="","",VLOOKUP(D333,'Product Master'!$B:$G,4,FALSE))</f>
        <v/>
      </c>
      <c r="H333" s="157" t="str">
        <f t="shared" si="11"/>
        <v/>
      </c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</row>
    <row r="334" spans="1:19" x14ac:dyDescent="0.25">
      <c r="A334" s="155"/>
      <c r="B334" s="72" t="str">
        <f t="shared" si="10"/>
        <v>PUR0333</v>
      </c>
      <c r="C334" s="50"/>
      <c r="D334" s="50"/>
      <c r="E334" s="50" t="str">
        <f>IF(D334="","",VLOOKUP(D334,'Product Master'!$B:$G,3,FALSE))</f>
        <v/>
      </c>
      <c r="F334" s="50"/>
      <c r="G334" s="50" t="str">
        <f>IF(D334="","",VLOOKUP(D334,'Product Master'!$B:$G,4,FALSE))</f>
        <v/>
      </c>
      <c r="H334" s="157" t="str">
        <f t="shared" si="11"/>
        <v/>
      </c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</row>
    <row r="335" spans="1:19" x14ac:dyDescent="0.25">
      <c r="A335" s="155"/>
      <c r="B335" s="72" t="str">
        <f t="shared" si="10"/>
        <v>PUR0334</v>
      </c>
      <c r="C335" s="50"/>
      <c r="D335" s="50"/>
      <c r="E335" s="50" t="str">
        <f>IF(D335="","",VLOOKUP(D335,'Product Master'!$B:$G,3,FALSE))</f>
        <v/>
      </c>
      <c r="F335" s="50"/>
      <c r="G335" s="50" t="str">
        <f>IF(D335="","",VLOOKUP(D335,'Product Master'!$B:$G,4,FALSE))</f>
        <v/>
      </c>
      <c r="H335" s="157" t="str">
        <f t="shared" si="11"/>
        <v/>
      </c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</row>
    <row r="336" spans="1:19" x14ac:dyDescent="0.25">
      <c r="A336" s="155"/>
      <c r="B336" s="72" t="str">
        <f t="shared" si="10"/>
        <v>PUR0335</v>
      </c>
      <c r="C336" s="50"/>
      <c r="D336" s="50"/>
      <c r="E336" s="50" t="str">
        <f>IF(D336="","",VLOOKUP(D336,'Product Master'!$B:$G,3,FALSE))</f>
        <v/>
      </c>
      <c r="F336" s="50"/>
      <c r="G336" s="50" t="str">
        <f>IF(D336="","",VLOOKUP(D336,'Product Master'!$B:$G,4,FALSE))</f>
        <v/>
      </c>
      <c r="H336" s="157" t="str">
        <f t="shared" si="11"/>
        <v/>
      </c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</row>
    <row r="337" spans="1:19" x14ac:dyDescent="0.25">
      <c r="A337" s="155"/>
      <c r="B337" s="72" t="str">
        <f t="shared" si="10"/>
        <v>PUR0336</v>
      </c>
      <c r="C337" s="50"/>
      <c r="D337" s="50"/>
      <c r="E337" s="50" t="str">
        <f>IF(D337="","",VLOOKUP(D337,'Product Master'!$B:$G,3,FALSE))</f>
        <v/>
      </c>
      <c r="F337" s="50"/>
      <c r="G337" s="50" t="str">
        <f>IF(D337="","",VLOOKUP(D337,'Product Master'!$B:$G,4,FALSE))</f>
        <v/>
      </c>
      <c r="H337" s="157" t="str">
        <f t="shared" si="11"/>
        <v/>
      </c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</row>
    <row r="338" spans="1:19" x14ac:dyDescent="0.25">
      <c r="A338" s="155"/>
      <c r="B338" s="72" t="str">
        <f t="shared" si="10"/>
        <v>PUR0337</v>
      </c>
      <c r="C338" s="50"/>
      <c r="D338" s="50"/>
      <c r="E338" s="50" t="str">
        <f>IF(D338="","",VLOOKUP(D338,'Product Master'!$B:$G,3,FALSE))</f>
        <v/>
      </c>
      <c r="F338" s="50"/>
      <c r="G338" s="50" t="str">
        <f>IF(D338="","",VLOOKUP(D338,'Product Master'!$B:$G,4,FALSE))</f>
        <v/>
      </c>
      <c r="H338" s="157" t="str">
        <f t="shared" si="11"/>
        <v/>
      </c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</row>
    <row r="339" spans="1:19" x14ac:dyDescent="0.25">
      <c r="A339" s="155"/>
      <c r="B339" s="72" t="str">
        <f t="shared" si="10"/>
        <v>PUR0338</v>
      </c>
      <c r="C339" s="50"/>
      <c r="D339" s="50"/>
      <c r="E339" s="50" t="str">
        <f>IF(D339="","",VLOOKUP(D339,'Product Master'!$B:$G,3,FALSE))</f>
        <v/>
      </c>
      <c r="F339" s="50"/>
      <c r="G339" s="50" t="str">
        <f>IF(D339="","",VLOOKUP(D339,'Product Master'!$B:$G,4,FALSE))</f>
        <v/>
      </c>
      <c r="H339" s="157" t="str">
        <f t="shared" si="11"/>
        <v/>
      </c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</row>
    <row r="340" spans="1:19" x14ac:dyDescent="0.25">
      <c r="A340" s="155"/>
      <c r="B340" s="72" t="str">
        <f t="shared" si="10"/>
        <v>PUR0339</v>
      </c>
      <c r="C340" s="50"/>
      <c r="D340" s="50"/>
      <c r="E340" s="50" t="str">
        <f>IF(D340="","",VLOOKUP(D340,'Product Master'!$B:$G,3,FALSE))</f>
        <v/>
      </c>
      <c r="F340" s="50"/>
      <c r="G340" s="50" t="str">
        <f>IF(D340="","",VLOOKUP(D340,'Product Master'!$B:$G,4,FALSE))</f>
        <v/>
      </c>
      <c r="H340" s="157" t="str">
        <f t="shared" si="11"/>
        <v/>
      </c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</row>
    <row r="341" spans="1:19" x14ac:dyDescent="0.25">
      <c r="A341" s="155"/>
      <c r="B341" s="72" t="str">
        <f t="shared" si="10"/>
        <v>PUR0340</v>
      </c>
      <c r="C341" s="50"/>
      <c r="D341" s="50"/>
      <c r="E341" s="50" t="str">
        <f>IF(D341="","",VLOOKUP(D341,'Product Master'!$B:$G,3,FALSE))</f>
        <v/>
      </c>
      <c r="F341" s="50"/>
      <c r="G341" s="50" t="str">
        <f>IF(D341="","",VLOOKUP(D341,'Product Master'!$B:$G,4,FALSE))</f>
        <v/>
      </c>
      <c r="H341" s="157" t="str">
        <f t="shared" si="11"/>
        <v/>
      </c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</row>
    <row r="342" spans="1:19" x14ac:dyDescent="0.25">
      <c r="A342" s="155"/>
      <c r="B342" s="72" t="str">
        <f t="shared" si="10"/>
        <v>PUR0341</v>
      </c>
      <c r="C342" s="50"/>
      <c r="D342" s="50"/>
      <c r="E342" s="50" t="str">
        <f>IF(D342="","",VLOOKUP(D342,'Product Master'!$B:$G,3,FALSE))</f>
        <v/>
      </c>
      <c r="F342" s="50"/>
      <c r="G342" s="50" t="str">
        <f>IF(D342="","",VLOOKUP(D342,'Product Master'!$B:$G,4,FALSE))</f>
        <v/>
      </c>
      <c r="H342" s="157" t="str">
        <f t="shared" si="11"/>
        <v/>
      </c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</row>
    <row r="343" spans="1:19" x14ac:dyDescent="0.25">
      <c r="A343" s="155"/>
      <c r="B343" s="72" t="str">
        <f t="shared" si="10"/>
        <v>PUR0342</v>
      </c>
      <c r="C343" s="50"/>
      <c r="D343" s="50"/>
      <c r="E343" s="50" t="str">
        <f>IF(D343="","",VLOOKUP(D343,'Product Master'!$B:$G,3,FALSE))</f>
        <v/>
      </c>
      <c r="F343" s="50"/>
      <c r="G343" s="50" t="str">
        <f>IF(D343="","",VLOOKUP(D343,'Product Master'!$B:$G,4,FALSE))</f>
        <v/>
      </c>
      <c r="H343" s="157" t="str">
        <f t="shared" si="11"/>
        <v/>
      </c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</row>
    <row r="344" spans="1:19" x14ac:dyDescent="0.25">
      <c r="A344" s="155"/>
      <c r="B344" s="72" t="str">
        <f t="shared" si="10"/>
        <v>PUR0343</v>
      </c>
      <c r="C344" s="50"/>
      <c r="D344" s="50"/>
      <c r="E344" s="50" t="str">
        <f>IF(D344="","",VLOOKUP(D344,'Product Master'!$B:$G,3,FALSE))</f>
        <v/>
      </c>
      <c r="F344" s="50"/>
      <c r="G344" s="50" t="str">
        <f>IF(D344="","",VLOOKUP(D344,'Product Master'!$B:$G,4,FALSE))</f>
        <v/>
      </c>
      <c r="H344" s="157" t="str">
        <f t="shared" si="11"/>
        <v/>
      </c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</row>
    <row r="345" spans="1:19" x14ac:dyDescent="0.25">
      <c r="A345" s="155"/>
      <c r="B345" s="72" t="str">
        <f t="shared" si="10"/>
        <v>PUR0344</v>
      </c>
      <c r="C345" s="50"/>
      <c r="D345" s="50"/>
      <c r="E345" s="50" t="str">
        <f>IF(D345="","",VLOOKUP(D345,'Product Master'!$B:$G,3,FALSE))</f>
        <v/>
      </c>
      <c r="F345" s="50"/>
      <c r="G345" s="50" t="str">
        <f>IF(D345="","",VLOOKUP(D345,'Product Master'!$B:$G,4,FALSE))</f>
        <v/>
      </c>
      <c r="H345" s="157" t="str">
        <f t="shared" si="11"/>
        <v/>
      </c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</row>
    <row r="346" spans="1:19" x14ac:dyDescent="0.25">
      <c r="A346" s="155"/>
      <c r="B346" s="72" t="str">
        <f t="shared" si="10"/>
        <v>PUR0345</v>
      </c>
      <c r="C346" s="50"/>
      <c r="D346" s="50"/>
      <c r="E346" s="50" t="str">
        <f>IF(D346="","",VLOOKUP(D346,'Product Master'!$B:$G,3,FALSE))</f>
        <v/>
      </c>
      <c r="F346" s="50"/>
      <c r="G346" s="50" t="str">
        <f>IF(D346="","",VLOOKUP(D346,'Product Master'!$B:$G,4,FALSE))</f>
        <v/>
      </c>
      <c r="H346" s="157" t="str">
        <f t="shared" si="11"/>
        <v/>
      </c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</row>
    <row r="347" spans="1:19" x14ac:dyDescent="0.25">
      <c r="A347" s="155"/>
      <c r="B347" s="72" t="str">
        <f t="shared" si="10"/>
        <v>PUR0346</v>
      </c>
      <c r="C347" s="50"/>
      <c r="D347" s="50"/>
      <c r="E347" s="50" t="str">
        <f>IF(D347="","",VLOOKUP(D347,'Product Master'!$B:$G,3,FALSE))</f>
        <v/>
      </c>
      <c r="F347" s="50"/>
      <c r="G347" s="50" t="str">
        <f>IF(D347="","",VLOOKUP(D347,'Product Master'!$B:$G,4,FALSE))</f>
        <v/>
      </c>
      <c r="H347" s="157" t="str">
        <f t="shared" si="11"/>
        <v/>
      </c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</row>
    <row r="348" spans="1:19" x14ac:dyDescent="0.25">
      <c r="A348" s="155"/>
      <c r="B348" s="72" t="str">
        <f t="shared" si="10"/>
        <v>PUR0347</v>
      </c>
      <c r="C348" s="50"/>
      <c r="D348" s="50"/>
      <c r="E348" s="50" t="str">
        <f>IF(D348="","",VLOOKUP(D348,'Product Master'!$B:$G,3,FALSE))</f>
        <v/>
      </c>
      <c r="F348" s="50"/>
      <c r="G348" s="50" t="str">
        <f>IF(D348="","",VLOOKUP(D348,'Product Master'!$B:$G,4,FALSE))</f>
        <v/>
      </c>
      <c r="H348" s="157" t="str">
        <f t="shared" si="11"/>
        <v/>
      </c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</row>
    <row r="349" spans="1:19" x14ac:dyDescent="0.25">
      <c r="A349" s="155"/>
      <c r="B349" s="72" t="str">
        <f t="shared" si="10"/>
        <v>PUR0348</v>
      </c>
      <c r="C349" s="50"/>
      <c r="D349" s="50"/>
      <c r="E349" s="50" t="str">
        <f>IF(D349="","",VLOOKUP(D349,'Product Master'!$B:$G,3,FALSE))</f>
        <v/>
      </c>
      <c r="F349" s="50"/>
      <c r="G349" s="50" t="str">
        <f>IF(D349="","",VLOOKUP(D349,'Product Master'!$B:$G,4,FALSE))</f>
        <v/>
      </c>
      <c r="H349" s="157" t="str">
        <f t="shared" si="11"/>
        <v/>
      </c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</row>
    <row r="350" spans="1:19" x14ac:dyDescent="0.25">
      <c r="A350" s="155"/>
      <c r="B350" s="72" t="str">
        <f t="shared" si="10"/>
        <v>PUR0349</v>
      </c>
      <c r="C350" s="50"/>
      <c r="D350" s="50"/>
      <c r="E350" s="50" t="str">
        <f>IF(D350="","",VLOOKUP(D350,'Product Master'!$B:$G,3,FALSE))</f>
        <v/>
      </c>
      <c r="F350" s="50"/>
      <c r="G350" s="50" t="str">
        <f>IF(D350="","",VLOOKUP(D350,'Product Master'!$B:$G,4,FALSE))</f>
        <v/>
      </c>
      <c r="H350" s="157" t="str">
        <f t="shared" si="11"/>
        <v/>
      </c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</row>
    <row r="351" spans="1:19" x14ac:dyDescent="0.25">
      <c r="A351" s="155"/>
      <c r="B351" s="72" t="str">
        <f t="shared" si="10"/>
        <v>PUR0350</v>
      </c>
      <c r="C351" s="50"/>
      <c r="D351" s="50"/>
      <c r="E351" s="50" t="str">
        <f>IF(D351="","",VLOOKUP(D351,'Product Master'!$B:$G,3,FALSE))</f>
        <v/>
      </c>
      <c r="F351" s="50"/>
      <c r="G351" s="50" t="str">
        <f>IF(D351="","",VLOOKUP(D351,'Product Master'!$B:$G,4,FALSE))</f>
        <v/>
      </c>
      <c r="H351" s="157" t="str">
        <f t="shared" si="11"/>
        <v/>
      </c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</row>
    <row r="352" spans="1:19" x14ac:dyDescent="0.25">
      <c r="A352" s="155"/>
      <c r="B352" s="72" t="str">
        <f t="shared" si="10"/>
        <v>PUR0351</v>
      </c>
      <c r="C352" s="50"/>
      <c r="D352" s="50"/>
      <c r="E352" s="50" t="str">
        <f>IF(D352="","",VLOOKUP(D352,'Product Master'!$B:$G,3,FALSE))</f>
        <v/>
      </c>
      <c r="F352" s="50"/>
      <c r="G352" s="50" t="str">
        <f>IF(D352="","",VLOOKUP(D352,'Product Master'!$B:$G,4,FALSE))</f>
        <v/>
      </c>
      <c r="H352" s="157" t="str">
        <f t="shared" si="11"/>
        <v/>
      </c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</row>
    <row r="353" spans="1:19" x14ac:dyDescent="0.25">
      <c r="A353" s="155"/>
      <c r="B353" s="72" t="str">
        <f t="shared" ref="B353:B416" si="12">"PUR"&amp;TEXT(ROW()-1,"0000")</f>
        <v>PUR0352</v>
      </c>
      <c r="C353" s="50"/>
      <c r="D353" s="50"/>
      <c r="E353" s="50" t="str">
        <f>IF(D353="","",VLOOKUP(D353,'Product Master'!$B:$G,3,FALSE))</f>
        <v/>
      </c>
      <c r="F353" s="50"/>
      <c r="G353" s="50" t="str">
        <f>IF(D353="","",VLOOKUP(D353,'Product Master'!$B:$G,4,FALSE))</f>
        <v/>
      </c>
      <c r="H353" s="157" t="str">
        <f t="shared" ref="H353:H416" si="13">IF(OR(F353="",G353=""),"",F353*G353)</f>
        <v/>
      </c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</row>
    <row r="354" spans="1:19" x14ac:dyDescent="0.25">
      <c r="A354" s="155"/>
      <c r="B354" s="72" t="str">
        <f t="shared" si="12"/>
        <v>PUR0353</v>
      </c>
      <c r="C354" s="50"/>
      <c r="D354" s="50"/>
      <c r="E354" s="50" t="str">
        <f>IF(D354="","",VLOOKUP(D354,'Product Master'!$B:$G,3,FALSE))</f>
        <v/>
      </c>
      <c r="F354" s="50"/>
      <c r="G354" s="50" t="str">
        <f>IF(D354="","",VLOOKUP(D354,'Product Master'!$B:$G,4,FALSE))</f>
        <v/>
      </c>
      <c r="H354" s="157" t="str">
        <f t="shared" si="13"/>
        <v/>
      </c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</row>
    <row r="355" spans="1:19" x14ac:dyDescent="0.25">
      <c r="A355" s="155"/>
      <c r="B355" s="72" t="str">
        <f t="shared" si="12"/>
        <v>PUR0354</v>
      </c>
      <c r="C355" s="50"/>
      <c r="D355" s="50"/>
      <c r="E355" s="50" t="str">
        <f>IF(D355="","",VLOOKUP(D355,'Product Master'!$B:$G,3,FALSE))</f>
        <v/>
      </c>
      <c r="F355" s="50"/>
      <c r="G355" s="50" t="str">
        <f>IF(D355="","",VLOOKUP(D355,'Product Master'!$B:$G,4,FALSE))</f>
        <v/>
      </c>
      <c r="H355" s="157" t="str">
        <f t="shared" si="13"/>
        <v/>
      </c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</row>
    <row r="356" spans="1:19" x14ac:dyDescent="0.25">
      <c r="A356" s="155"/>
      <c r="B356" s="72" t="str">
        <f t="shared" si="12"/>
        <v>PUR0355</v>
      </c>
      <c r="C356" s="50"/>
      <c r="D356" s="50"/>
      <c r="E356" s="50" t="str">
        <f>IF(D356="","",VLOOKUP(D356,'Product Master'!$B:$G,3,FALSE))</f>
        <v/>
      </c>
      <c r="F356" s="50"/>
      <c r="G356" s="50" t="str">
        <f>IF(D356="","",VLOOKUP(D356,'Product Master'!$B:$G,4,FALSE))</f>
        <v/>
      </c>
      <c r="H356" s="157" t="str">
        <f t="shared" si="13"/>
        <v/>
      </c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</row>
    <row r="357" spans="1:19" x14ac:dyDescent="0.25">
      <c r="A357" s="155"/>
      <c r="B357" s="72" t="str">
        <f t="shared" si="12"/>
        <v>PUR0356</v>
      </c>
      <c r="C357" s="50"/>
      <c r="D357" s="50"/>
      <c r="E357" s="50" t="str">
        <f>IF(D357="","",VLOOKUP(D357,'Product Master'!$B:$G,3,FALSE))</f>
        <v/>
      </c>
      <c r="F357" s="50"/>
      <c r="G357" s="50" t="str">
        <f>IF(D357="","",VLOOKUP(D357,'Product Master'!$B:$G,4,FALSE))</f>
        <v/>
      </c>
      <c r="H357" s="157" t="str">
        <f t="shared" si="13"/>
        <v/>
      </c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</row>
    <row r="358" spans="1:19" x14ac:dyDescent="0.25">
      <c r="A358" s="155"/>
      <c r="B358" s="72" t="str">
        <f t="shared" si="12"/>
        <v>PUR0357</v>
      </c>
      <c r="C358" s="50"/>
      <c r="D358" s="50"/>
      <c r="E358" s="50" t="str">
        <f>IF(D358="","",VLOOKUP(D358,'Product Master'!$B:$G,3,FALSE))</f>
        <v/>
      </c>
      <c r="F358" s="50"/>
      <c r="G358" s="50" t="str">
        <f>IF(D358="","",VLOOKUP(D358,'Product Master'!$B:$G,4,FALSE))</f>
        <v/>
      </c>
      <c r="H358" s="157" t="str">
        <f t="shared" si="13"/>
        <v/>
      </c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</row>
    <row r="359" spans="1:19" x14ac:dyDescent="0.25">
      <c r="A359" s="155"/>
      <c r="B359" s="72" t="str">
        <f t="shared" si="12"/>
        <v>PUR0358</v>
      </c>
      <c r="C359" s="50"/>
      <c r="D359" s="50"/>
      <c r="E359" s="50" t="str">
        <f>IF(D359="","",VLOOKUP(D359,'Product Master'!$B:$G,3,FALSE))</f>
        <v/>
      </c>
      <c r="F359" s="50"/>
      <c r="G359" s="50" t="str">
        <f>IF(D359="","",VLOOKUP(D359,'Product Master'!$B:$G,4,FALSE))</f>
        <v/>
      </c>
      <c r="H359" s="157" t="str">
        <f t="shared" si="13"/>
        <v/>
      </c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</row>
    <row r="360" spans="1:19" x14ac:dyDescent="0.25">
      <c r="A360" s="155"/>
      <c r="B360" s="72" t="str">
        <f t="shared" si="12"/>
        <v>PUR0359</v>
      </c>
      <c r="C360" s="50"/>
      <c r="D360" s="50"/>
      <c r="E360" s="50" t="str">
        <f>IF(D360="","",VLOOKUP(D360,'Product Master'!$B:$G,3,FALSE))</f>
        <v/>
      </c>
      <c r="F360" s="50"/>
      <c r="G360" s="50" t="str">
        <f>IF(D360="","",VLOOKUP(D360,'Product Master'!$B:$G,4,FALSE))</f>
        <v/>
      </c>
      <c r="H360" s="157" t="str">
        <f t="shared" si="13"/>
        <v/>
      </c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</row>
    <row r="361" spans="1:19" x14ac:dyDescent="0.25">
      <c r="A361" s="155"/>
      <c r="B361" s="72" t="str">
        <f t="shared" si="12"/>
        <v>PUR0360</v>
      </c>
      <c r="C361" s="50"/>
      <c r="D361" s="50"/>
      <c r="E361" s="50" t="str">
        <f>IF(D361="","",VLOOKUP(D361,'Product Master'!$B:$G,3,FALSE))</f>
        <v/>
      </c>
      <c r="F361" s="50"/>
      <c r="G361" s="50" t="str">
        <f>IF(D361="","",VLOOKUP(D361,'Product Master'!$B:$G,4,FALSE))</f>
        <v/>
      </c>
      <c r="H361" s="157" t="str">
        <f t="shared" si="13"/>
        <v/>
      </c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</row>
    <row r="362" spans="1:19" x14ac:dyDescent="0.25">
      <c r="A362" s="155"/>
      <c r="B362" s="72" t="str">
        <f t="shared" si="12"/>
        <v>PUR0361</v>
      </c>
      <c r="C362" s="50"/>
      <c r="D362" s="50"/>
      <c r="E362" s="50" t="str">
        <f>IF(D362="","",VLOOKUP(D362,'Product Master'!$B:$G,3,FALSE))</f>
        <v/>
      </c>
      <c r="F362" s="50"/>
      <c r="G362" s="50" t="str">
        <f>IF(D362="","",VLOOKUP(D362,'Product Master'!$B:$G,4,FALSE))</f>
        <v/>
      </c>
      <c r="H362" s="157" t="str">
        <f t="shared" si="13"/>
        <v/>
      </c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</row>
    <row r="363" spans="1:19" x14ac:dyDescent="0.25">
      <c r="A363" s="155"/>
      <c r="B363" s="72" t="str">
        <f t="shared" si="12"/>
        <v>PUR0362</v>
      </c>
      <c r="C363" s="50"/>
      <c r="D363" s="50"/>
      <c r="E363" s="50" t="str">
        <f>IF(D363="","",VLOOKUP(D363,'Product Master'!$B:$G,3,FALSE))</f>
        <v/>
      </c>
      <c r="F363" s="50"/>
      <c r="G363" s="50" t="str">
        <f>IF(D363="","",VLOOKUP(D363,'Product Master'!$B:$G,4,FALSE))</f>
        <v/>
      </c>
      <c r="H363" s="157" t="str">
        <f t="shared" si="13"/>
        <v/>
      </c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</row>
    <row r="364" spans="1:19" x14ac:dyDescent="0.25">
      <c r="A364" s="155"/>
      <c r="B364" s="72" t="str">
        <f t="shared" si="12"/>
        <v>PUR0363</v>
      </c>
      <c r="C364" s="50"/>
      <c r="D364" s="50"/>
      <c r="E364" s="50" t="str">
        <f>IF(D364="","",VLOOKUP(D364,'Product Master'!$B:$G,3,FALSE))</f>
        <v/>
      </c>
      <c r="F364" s="50"/>
      <c r="G364" s="50" t="str">
        <f>IF(D364="","",VLOOKUP(D364,'Product Master'!$B:$G,4,FALSE))</f>
        <v/>
      </c>
      <c r="H364" s="157" t="str">
        <f t="shared" si="13"/>
        <v/>
      </c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</row>
    <row r="365" spans="1:19" x14ac:dyDescent="0.25">
      <c r="A365" s="155"/>
      <c r="B365" s="72" t="str">
        <f t="shared" si="12"/>
        <v>PUR0364</v>
      </c>
      <c r="C365" s="50"/>
      <c r="D365" s="50"/>
      <c r="E365" s="50" t="str">
        <f>IF(D365="","",VLOOKUP(D365,'Product Master'!$B:$G,3,FALSE))</f>
        <v/>
      </c>
      <c r="F365" s="50"/>
      <c r="G365" s="50" t="str">
        <f>IF(D365="","",VLOOKUP(D365,'Product Master'!$B:$G,4,FALSE))</f>
        <v/>
      </c>
      <c r="H365" s="157" t="str">
        <f t="shared" si="13"/>
        <v/>
      </c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</row>
    <row r="366" spans="1:19" x14ac:dyDescent="0.25">
      <c r="A366" s="155"/>
      <c r="B366" s="72" t="str">
        <f t="shared" si="12"/>
        <v>PUR0365</v>
      </c>
      <c r="C366" s="50"/>
      <c r="D366" s="50"/>
      <c r="E366" s="50" t="str">
        <f>IF(D366="","",VLOOKUP(D366,'Product Master'!$B:$G,3,FALSE))</f>
        <v/>
      </c>
      <c r="F366" s="50"/>
      <c r="G366" s="50" t="str">
        <f>IF(D366="","",VLOOKUP(D366,'Product Master'!$B:$G,4,FALSE))</f>
        <v/>
      </c>
      <c r="H366" s="157" t="str">
        <f t="shared" si="13"/>
        <v/>
      </c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</row>
    <row r="367" spans="1:19" x14ac:dyDescent="0.25">
      <c r="A367" s="155"/>
      <c r="B367" s="72" t="str">
        <f t="shared" si="12"/>
        <v>PUR0366</v>
      </c>
      <c r="C367" s="50"/>
      <c r="D367" s="50"/>
      <c r="E367" s="50" t="str">
        <f>IF(D367="","",VLOOKUP(D367,'Product Master'!$B:$G,3,FALSE))</f>
        <v/>
      </c>
      <c r="F367" s="50"/>
      <c r="G367" s="50" t="str">
        <f>IF(D367="","",VLOOKUP(D367,'Product Master'!$B:$G,4,FALSE))</f>
        <v/>
      </c>
      <c r="H367" s="157" t="str">
        <f t="shared" si="13"/>
        <v/>
      </c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</row>
    <row r="368" spans="1:19" x14ac:dyDescent="0.25">
      <c r="A368" s="155"/>
      <c r="B368" s="72" t="str">
        <f t="shared" si="12"/>
        <v>PUR0367</v>
      </c>
      <c r="C368" s="50"/>
      <c r="D368" s="50"/>
      <c r="E368" s="50" t="str">
        <f>IF(D368="","",VLOOKUP(D368,'Product Master'!$B:$G,3,FALSE))</f>
        <v/>
      </c>
      <c r="F368" s="50"/>
      <c r="G368" s="50" t="str">
        <f>IF(D368="","",VLOOKUP(D368,'Product Master'!$B:$G,4,FALSE))</f>
        <v/>
      </c>
      <c r="H368" s="157" t="str">
        <f t="shared" si="13"/>
        <v/>
      </c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</row>
    <row r="369" spans="1:19" x14ac:dyDescent="0.25">
      <c r="A369" s="155"/>
      <c r="B369" s="72" t="str">
        <f t="shared" si="12"/>
        <v>PUR0368</v>
      </c>
      <c r="C369" s="50"/>
      <c r="D369" s="50"/>
      <c r="E369" s="50" t="str">
        <f>IF(D369="","",VLOOKUP(D369,'Product Master'!$B:$G,3,FALSE))</f>
        <v/>
      </c>
      <c r="F369" s="50"/>
      <c r="G369" s="50" t="str">
        <f>IF(D369="","",VLOOKUP(D369,'Product Master'!$B:$G,4,FALSE))</f>
        <v/>
      </c>
      <c r="H369" s="157" t="str">
        <f t="shared" si="13"/>
        <v/>
      </c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</row>
    <row r="370" spans="1:19" x14ac:dyDescent="0.25">
      <c r="A370" s="155"/>
      <c r="B370" s="72" t="str">
        <f t="shared" si="12"/>
        <v>PUR0369</v>
      </c>
      <c r="C370" s="50"/>
      <c r="D370" s="50"/>
      <c r="E370" s="50" t="str">
        <f>IF(D370="","",VLOOKUP(D370,'Product Master'!$B:$G,3,FALSE))</f>
        <v/>
      </c>
      <c r="F370" s="50"/>
      <c r="G370" s="50" t="str">
        <f>IF(D370="","",VLOOKUP(D370,'Product Master'!$B:$G,4,FALSE))</f>
        <v/>
      </c>
      <c r="H370" s="157" t="str">
        <f t="shared" si="13"/>
        <v/>
      </c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</row>
    <row r="371" spans="1:19" x14ac:dyDescent="0.25">
      <c r="A371" s="155"/>
      <c r="B371" s="72" t="str">
        <f t="shared" si="12"/>
        <v>PUR0370</v>
      </c>
      <c r="C371" s="50"/>
      <c r="D371" s="50"/>
      <c r="E371" s="50" t="str">
        <f>IF(D371="","",VLOOKUP(D371,'Product Master'!$B:$G,3,FALSE))</f>
        <v/>
      </c>
      <c r="F371" s="50"/>
      <c r="G371" s="50" t="str">
        <f>IF(D371="","",VLOOKUP(D371,'Product Master'!$B:$G,4,FALSE))</f>
        <v/>
      </c>
      <c r="H371" s="157" t="str">
        <f t="shared" si="13"/>
        <v/>
      </c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</row>
    <row r="372" spans="1:19" x14ac:dyDescent="0.25">
      <c r="A372" s="155"/>
      <c r="B372" s="72" t="str">
        <f t="shared" si="12"/>
        <v>PUR0371</v>
      </c>
      <c r="C372" s="50"/>
      <c r="D372" s="50"/>
      <c r="E372" s="50" t="str">
        <f>IF(D372="","",VLOOKUP(D372,'Product Master'!$B:$G,3,FALSE))</f>
        <v/>
      </c>
      <c r="F372" s="50"/>
      <c r="G372" s="50" t="str">
        <f>IF(D372="","",VLOOKUP(D372,'Product Master'!$B:$G,4,FALSE))</f>
        <v/>
      </c>
      <c r="H372" s="157" t="str">
        <f t="shared" si="13"/>
        <v/>
      </c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</row>
    <row r="373" spans="1:19" x14ac:dyDescent="0.25">
      <c r="A373" s="155"/>
      <c r="B373" s="72" t="str">
        <f t="shared" si="12"/>
        <v>PUR0372</v>
      </c>
      <c r="C373" s="50"/>
      <c r="D373" s="50"/>
      <c r="E373" s="50" t="str">
        <f>IF(D373="","",VLOOKUP(D373,'Product Master'!$B:$G,3,FALSE))</f>
        <v/>
      </c>
      <c r="F373" s="50"/>
      <c r="G373" s="50" t="str">
        <f>IF(D373="","",VLOOKUP(D373,'Product Master'!$B:$G,4,FALSE))</f>
        <v/>
      </c>
      <c r="H373" s="157" t="str">
        <f t="shared" si="13"/>
        <v/>
      </c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</row>
    <row r="374" spans="1:19" x14ac:dyDescent="0.25">
      <c r="A374" s="155"/>
      <c r="B374" s="72" t="str">
        <f t="shared" si="12"/>
        <v>PUR0373</v>
      </c>
      <c r="C374" s="50"/>
      <c r="D374" s="50"/>
      <c r="E374" s="50" t="str">
        <f>IF(D374="","",VLOOKUP(D374,'Product Master'!$B:$G,3,FALSE))</f>
        <v/>
      </c>
      <c r="F374" s="50"/>
      <c r="G374" s="50" t="str">
        <f>IF(D374="","",VLOOKUP(D374,'Product Master'!$B:$G,4,FALSE))</f>
        <v/>
      </c>
      <c r="H374" s="157" t="str">
        <f t="shared" si="13"/>
        <v/>
      </c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</row>
    <row r="375" spans="1:19" x14ac:dyDescent="0.25">
      <c r="A375" s="155"/>
      <c r="B375" s="72" t="str">
        <f t="shared" si="12"/>
        <v>PUR0374</v>
      </c>
      <c r="C375" s="50"/>
      <c r="D375" s="50"/>
      <c r="E375" s="50" t="str">
        <f>IF(D375="","",VLOOKUP(D375,'Product Master'!$B:$G,3,FALSE))</f>
        <v/>
      </c>
      <c r="F375" s="50"/>
      <c r="G375" s="50" t="str">
        <f>IF(D375="","",VLOOKUP(D375,'Product Master'!$B:$G,4,FALSE))</f>
        <v/>
      </c>
      <c r="H375" s="157" t="str">
        <f t="shared" si="13"/>
        <v/>
      </c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</row>
    <row r="376" spans="1:19" x14ac:dyDescent="0.25">
      <c r="A376" s="155"/>
      <c r="B376" s="72" t="str">
        <f t="shared" si="12"/>
        <v>PUR0375</v>
      </c>
      <c r="C376" s="50"/>
      <c r="D376" s="50"/>
      <c r="E376" s="50" t="str">
        <f>IF(D376="","",VLOOKUP(D376,'Product Master'!$B:$G,3,FALSE))</f>
        <v/>
      </c>
      <c r="F376" s="50"/>
      <c r="G376" s="50" t="str">
        <f>IF(D376="","",VLOOKUP(D376,'Product Master'!$B:$G,4,FALSE))</f>
        <v/>
      </c>
      <c r="H376" s="157" t="str">
        <f t="shared" si="13"/>
        <v/>
      </c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</row>
    <row r="377" spans="1:19" x14ac:dyDescent="0.25">
      <c r="A377" s="155"/>
      <c r="B377" s="72" t="str">
        <f t="shared" si="12"/>
        <v>PUR0376</v>
      </c>
      <c r="C377" s="50"/>
      <c r="D377" s="50"/>
      <c r="E377" s="50" t="str">
        <f>IF(D377="","",VLOOKUP(D377,'Product Master'!$B:$G,3,FALSE))</f>
        <v/>
      </c>
      <c r="F377" s="50"/>
      <c r="G377" s="50" t="str">
        <f>IF(D377="","",VLOOKUP(D377,'Product Master'!$B:$G,4,FALSE))</f>
        <v/>
      </c>
      <c r="H377" s="157" t="str">
        <f t="shared" si="13"/>
        <v/>
      </c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</row>
    <row r="378" spans="1:19" x14ac:dyDescent="0.25">
      <c r="A378" s="155"/>
      <c r="B378" s="72" t="str">
        <f t="shared" si="12"/>
        <v>PUR0377</v>
      </c>
      <c r="C378" s="50"/>
      <c r="D378" s="50"/>
      <c r="E378" s="50" t="str">
        <f>IF(D378="","",VLOOKUP(D378,'Product Master'!$B:$G,3,FALSE))</f>
        <v/>
      </c>
      <c r="F378" s="50"/>
      <c r="G378" s="50" t="str">
        <f>IF(D378="","",VLOOKUP(D378,'Product Master'!$B:$G,4,FALSE))</f>
        <v/>
      </c>
      <c r="H378" s="157" t="str">
        <f t="shared" si="13"/>
        <v/>
      </c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</row>
    <row r="379" spans="1:19" x14ac:dyDescent="0.25">
      <c r="A379" s="155"/>
      <c r="B379" s="72" t="str">
        <f t="shared" si="12"/>
        <v>PUR0378</v>
      </c>
      <c r="C379" s="50"/>
      <c r="D379" s="50"/>
      <c r="E379" s="50" t="str">
        <f>IF(D379="","",VLOOKUP(D379,'Product Master'!$B:$G,3,FALSE))</f>
        <v/>
      </c>
      <c r="F379" s="50"/>
      <c r="G379" s="50" t="str">
        <f>IF(D379="","",VLOOKUP(D379,'Product Master'!$B:$G,4,FALSE))</f>
        <v/>
      </c>
      <c r="H379" s="157" t="str">
        <f t="shared" si="13"/>
        <v/>
      </c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</row>
    <row r="380" spans="1:19" x14ac:dyDescent="0.25">
      <c r="A380" s="155"/>
      <c r="B380" s="72" t="str">
        <f t="shared" si="12"/>
        <v>PUR0379</v>
      </c>
      <c r="C380" s="50"/>
      <c r="D380" s="50"/>
      <c r="E380" s="50" t="str">
        <f>IF(D380="","",VLOOKUP(D380,'Product Master'!$B:$G,3,FALSE))</f>
        <v/>
      </c>
      <c r="F380" s="50"/>
      <c r="G380" s="50" t="str">
        <f>IF(D380="","",VLOOKUP(D380,'Product Master'!$B:$G,4,FALSE))</f>
        <v/>
      </c>
      <c r="H380" s="157" t="str">
        <f t="shared" si="13"/>
        <v/>
      </c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</row>
    <row r="381" spans="1:19" x14ac:dyDescent="0.25">
      <c r="A381" s="155"/>
      <c r="B381" s="72" t="str">
        <f t="shared" si="12"/>
        <v>PUR0380</v>
      </c>
      <c r="C381" s="50"/>
      <c r="D381" s="50"/>
      <c r="E381" s="50" t="str">
        <f>IF(D381="","",VLOOKUP(D381,'Product Master'!$B:$G,3,FALSE))</f>
        <v/>
      </c>
      <c r="F381" s="50"/>
      <c r="G381" s="50" t="str">
        <f>IF(D381="","",VLOOKUP(D381,'Product Master'!$B:$G,4,FALSE))</f>
        <v/>
      </c>
      <c r="H381" s="157" t="str">
        <f t="shared" si="13"/>
        <v/>
      </c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</row>
    <row r="382" spans="1:19" x14ac:dyDescent="0.25">
      <c r="A382" s="155"/>
      <c r="B382" s="72" t="str">
        <f t="shared" si="12"/>
        <v>PUR0381</v>
      </c>
      <c r="C382" s="50"/>
      <c r="D382" s="50"/>
      <c r="E382" s="50" t="str">
        <f>IF(D382="","",VLOOKUP(D382,'Product Master'!$B:$G,3,FALSE))</f>
        <v/>
      </c>
      <c r="F382" s="50"/>
      <c r="G382" s="50" t="str">
        <f>IF(D382="","",VLOOKUP(D382,'Product Master'!$B:$G,4,FALSE))</f>
        <v/>
      </c>
      <c r="H382" s="157" t="str">
        <f t="shared" si="13"/>
        <v/>
      </c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</row>
    <row r="383" spans="1:19" x14ac:dyDescent="0.25">
      <c r="A383" s="155"/>
      <c r="B383" s="72" t="str">
        <f t="shared" si="12"/>
        <v>PUR0382</v>
      </c>
      <c r="C383" s="50"/>
      <c r="D383" s="50"/>
      <c r="E383" s="50" t="str">
        <f>IF(D383="","",VLOOKUP(D383,'Product Master'!$B:$G,3,FALSE))</f>
        <v/>
      </c>
      <c r="F383" s="50"/>
      <c r="G383" s="50" t="str">
        <f>IF(D383="","",VLOOKUP(D383,'Product Master'!$B:$G,4,FALSE))</f>
        <v/>
      </c>
      <c r="H383" s="157" t="str">
        <f t="shared" si="13"/>
        <v/>
      </c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</row>
    <row r="384" spans="1:19" x14ac:dyDescent="0.25">
      <c r="A384" s="155"/>
      <c r="B384" s="72" t="str">
        <f t="shared" si="12"/>
        <v>PUR0383</v>
      </c>
      <c r="C384" s="50"/>
      <c r="D384" s="50"/>
      <c r="E384" s="50" t="str">
        <f>IF(D384="","",VLOOKUP(D384,'Product Master'!$B:$G,3,FALSE))</f>
        <v/>
      </c>
      <c r="F384" s="50"/>
      <c r="G384" s="50" t="str">
        <f>IF(D384="","",VLOOKUP(D384,'Product Master'!$B:$G,4,FALSE))</f>
        <v/>
      </c>
      <c r="H384" s="157" t="str">
        <f t="shared" si="13"/>
        <v/>
      </c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</row>
    <row r="385" spans="1:19" x14ac:dyDescent="0.25">
      <c r="A385" s="155"/>
      <c r="B385" s="72" t="str">
        <f t="shared" si="12"/>
        <v>PUR0384</v>
      </c>
      <c r="C385" s="50"/>
      <c r="D385" s="50"/>
      <c r="E385" s="50" t="str">
        <f>IF(D385="","",VLOOKUP(D385,'Product Master'!$B:$G,3,FALSE))</f>
        <v/>
      </c>
      <c r="F385" s="50"/>
      <c r="G385" s="50" t="str">
        <f>IF(D385="","",VLOOKUP(D385,'Product Master'!$B:$G,4,FALSE))</f>
        <v/>
      </c>
      <c r="H385" s="157" t="str">
        <f t="shared" si="13"/>
        <v/>
      </c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</row>
    <row r="386" spans="1:19" x14ac:dyDescent="0.25">
      <c r="A386" s="155"/>
      <c r="B386" s="72" t="str">
        <f t="shared" si="12"/>
        <v>PUR0385</v>
      </c>
      <c r="C386" s="50"/>
      <c r="D386" s="50"/>
      <c r="E386" s="50" t="str">
        <f>IF(D386="","",VLOOKUP(D386,'Product Master'!$B:$G,3,FALSE))</f>
        <v/>
      </c>
      <c r="F386" s="50"/>
      <c r="G386" s="50" t="str">
        <f>IF(D386="","",VLOOKUP(D386,'Product Master'!$B:$G,4,FALSE))</f>
        <v/>
      </c>
      <c r="H386" s="157" t="str">
        <f t="shared" si="13"/>
        <v/>
      </c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</row>
    <row r="387" spans="1:19" x14ac:dyDescent="0.25">
      <c r="A387" s="155"/>
      <c r="B387" s="72" t="str">
        <f t="shared" si="12"/>
        <v>PUR0386</v>
      </c>
      <c r="C387" s="50"/>
      <c r="D387" s="50"/>
      <c r="E387" s="50" t="str">
        <f>IF(D387="","",VLOOKUP(D387,'Product Master'!$B:$G,3,FALSE))</f>
        <v/>
      </c>
      <c r="F387" s="50"/>
      <c r="G387" s="50" t="str">
        <f>IF(D387="","",VLOOKUP(D387,'Product Master'!$B:$G,4,FALSE))</f>
        <v/>
      </c>
      <c r="H387" s="157" t="str">
        <f t="shared" si="13"/>
        <v/>
      </c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</row>
    <row r="388" spans="1:19" x14ac:dyDescent="0.25">
      <c r="A388" s="155"/>
      <c r="B388" s="72" t="str">
        <f t="shared" si="12"/>
        <v>PUR0387</v>
      </c>
      <c r="C388" s="50"/>
      <c r="D388" s="50"/>
      <c r="E388" s="50" t="str">
        <f>IF(D388="","",VLOOKUP(D388,'Product Master'!$B:$G,3,FALSE))</f>
        <v/>
      </c>
      <c r="F388" s="50"/>
      <c r="G388" s="50" t="str">
        <f>IF(D388="","",VLOOKUP(D388,'Product Master'!$B:$G,4,FALSE))</f>
        <v/>
      </c>
      <c r="H388" s="157" t="str">
        <f t="shared" si="13"/>
        <v/>
      </c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</row>
    <row r="389" spans="1:19" x14ac:dyDescent="0.25">
      <c r="A389" s="155"/>
      <c r="B389" s="72" t="str">
        <f t="shared" si="12"/>
        <v>PUR0388</v>
      </c>
      <c r="C389" s="50"/>
      <c r="D389" s="50"/>
      <c r="E389" s="50" t="str">
        <f>IF(D389="","",VLOOKUP(D389,'Product Master'!$B:$G,3,FALSE))</f>
        <v/>
      </c>
      <c r="F389" s="50"/>
      <c r="G389" s="50" t="str">
        <f>IF(D389="","",VLOOKUP(D389,'Product Master'!$B:$G,4,FALSE))</f>
        <v/>
      </c>
      <c r="H389" s="157" t="str">
        <f t="shared" si="13"/>
        <v/>
      </c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</row>
    <row r="390" spans="1:19" x14ac:dyDescent="0.25">
      <c r="A390" s="155"/>
      <c r="B390" s="72" t="str">
        <f t="shared" si="12"/>
        <v>PUR0389</v>
      </c>
      <c r="C390" s="50"/>
      <c r="D390" s="50"/>
      <c r="E390" s="50" t="str">
        <f>IF(D390="","",VLOOKUP(D390,'Product Master'!$B:$G,3,FALSE))</f>
        <v/>
      </c>
      <c r="F390" s="50"/>
      <c r="G390" s="50" t="str">
        <f>IF(D390="","",VLOOKUP(D390,'Product Master'!$B:$G,4,FALSE))</f>
        <v/>
      </c>
      <c r="H390" s="157" t="str">
        <f t="shared" si="13"/>
        <v/>
      </c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</row>
    <row r="391" spans="1:19" x14ac:dyDescent="0.25">
      <c r="A391" s="155"/>
      <c r="B391" s="72" t="str">
        <f t="shared" si="12"/>
        <v>PUR0390</v>
      </c>
      <c r="C391" s="50"/>
      <c r="D391" s="50"/>
      <c r="E391" s="50" t="str">
        <f>IF(D391="","",VLOOKUP(D391,'Product Master'!$B:$G,3,FALSE))</f>
        <v/>
      </c>
      <c r="F391" s="50"/>
      <c r="G391" s="50" t="str">
        <f>IF(D391="","",VLOOKUP(D391,'Product Master'!$B:$G,4,FALSE))</f>
        <v/>
      </c>
      <c r="H391" s="157" t="str">
        <f t="shared" si="13"/>
        <v/>
      </c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</row>
    <row r="392" spans="1:19" x14ac:dyDescent="0.25">
      <c r="A392" s="155"/>
      <c r="B392" s="72" t="str">
        <f t="shared" si="12"/>
        <v>PUR0391</v>
      </c>
      <c r="C392" s="50"/>
      <c r="D392" s="50"/>
      <c r="E392" s="50" t="str">
        <f>IF(D392="","",VLOOKUP(D392,'Product Master'!$B:$G,3,FALSE))</f>
        <v/>
      </c>
      <c r="F392" s="50"/>
      <c r="G392" s="50" t="str">
        <f>IF(D392="","",VLOOKUP(D392,'Product Master'!$B:$G,4,FALSE))</f>
        <v/>
      </c>
      <c r="H392" s="157" t="str">
        <f t="shared" si="13"/>
        <v/>
      </c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</row>
    <row r="393" spans="1:19" x14ac:dyDescent="0.25">
      <c r="A393" s="155"/>
      <c r="B393" s="72" t="str">
        <f t="shared" si="12"/>
        <v>PUR0392</v>
      </c>
      <c r="C393" s="50"/>
      <c r="D393" s="50"/>
      <c r="E393" s="50" t="str">
        <f>IF(D393="","",VLOOKUP(D393,'Product Master'!$B:$G,3,FALSE))</f>
        <v/>
      </c>
      <c r="F393" s="50"/>
      <c r="G393" s="50" t="str">
        <f>IF(D393="","",VLOOKUP(D393,'Product Master'!$B:$G,4,FALSE))</f>
        <v/>
      </c>
      <c r="H393" s="157" t="str">
        <f t="shared" si="13"/>
        <v/>
      </c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</row>
    <row r="394" spans="1:19" x14ac:dyDescent="0.25">
      <c r="A394" s="155"/>
      <c r="B394" s="72" t="str">
        <f t="shared" si="12"/>
        <v>PUR0393</v>
      </c>
      <c r="C394" s="50"/>
      <c r="D394" s="50"/>
      <c r="E394" s="50" t="str">
        <f>IF(D394="","",VLOOKUP(D394,'Product Master'!$B:$G,3,FALSE))</f>
        <v/>
      </c>
      <c r="F394" s="50"/>
      <c r="G394" s="50" t="str">
        <f>IF(D394="","",VLOOKUP(D394,'Product Master'!$B:$G,4,FALSE))</f>
        <v/>
      </c>
      <c r="H394" s="157" t="str">
        <f t="shared" si="13"/>
        <v/>
      </c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</row>
    <row r="395" spans="1:19" x14ac:dyDescent="0.25">
      <c r="A395" s="155"/>
      <c r="B395" s="72" t="str">
        <f t="shared" si="12"/>
        <v>PUR0394</v>
      </c>
      <c r="C395" s="50"/>
      <c r="D395" s="50"/>
      <c r="E395" s="50" t="str">
        <f>IF(D395="","",VLOOKUP(D395,'Product Master'!$B:$G,3,FALSE))</f>
        <v/>
      </c>
      <c r="F395" s="50"/>
      <c r="G395" s="50" t="str">
        <f>IF(D395="","",VLOOKUP(D395,'Product Master'!$B:$G,4,FALSE))</f>
        <v/>
      </c>
      <c r="H395" s="157" t="str">
        <f t="shared" si="13"/>
        <v/>
      </c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</row>
    <row r="396" spans="1:19" x14ac:dyDescent="0.25">
      <c r="A396" s="155"/>
      <c r="B396" s="72" t="str">
        <f t="shared" si="12"/>
        <v>PUR0395</v>
      </c>
      <c r="C396" s="50"/>
      <c r="D396" s="50"/>
      <c r="E396" s="50" t="str">
        <f>IF(D396="","",VLOOKUP(D396,'Product Master'!$B:$G,3,FALSE))</f>
        <v/>
      </c>
      <c r="F396" s="50"/>
      <c r="G396" s="50" t="str">
        <f>IF(D396="","",VLOOKUP(D396,'Product Master'!$B:$G,4,FALSE))</f>
        <v/>
      </c>
      <c r="H396" s="157" t="str">
        <f t="shared" si="13"/>
        <v/>
      </c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</row>
    <row r="397" spans="1:19" x14ac:dyDescent="0.25">
      <c r="A397" s="155"/>
      <c r="B397" s="72" t="str">
        <f t="shared" si="12"/>
        <v>PUR0396</v>
      </c>
      <c r="C397" s="50"/>
      <c r="D397" s="50"/>
      <c r="E397" s="50" t="str">
        <f>IF(D397="","",VLOOKUP(D397,'Product Master'!$B:$G,3,FALSE))</f>
        <v/>
      </c>
      <c r="F397" s="50"/>
      <c r="G397" s="50" t="str">
        <f>IF(D397="","",VLOOKUP(D397,'Product Master'!$B:$G,4,FALSE))</f>
        <v/>
      </c>
      <c r="H397" s="157" t="str">
        <f t="shared" si="13"/>
        <v/>
      </c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</row>
    <row r="398" spans="1:19" x14ac:dyDescent="0.25">
      <c r="A398" s="155"/>
      <c r="B398" s="72" t="str">
        <f t="shared" si="12"/>
        <v>PUR0397</v>
      </c>
      <c r="C398" s="50"/>
      <c r="D398" s="50"/>
      <c r="E398" s="50" t="str">
        <f>IF(D398="","",VLOOKUP(D398,'Product Master'!$B:$G,3,FALSE))</f>
        <v/>
      </c>
      <c r="F398" s="50"/>
      <c r="G398" s="50" t="str">
        <f>IF(D398="","",VLOOKUP(D398,'Product Master'!$B:$G,4,FALSE))</f>
        <v/>
      </c>
      <c r="H398" s="157" t="str">
        <f t="shared" si="13"/>
        <v/>
      </c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</row>
    <row r="399" spans="1:19" x14ac:dyDescent="0.25">
      <c r="A399" s="155"/>
      <c r="B399" s="72" t="str">
        <f t="shared" si="12"/>
        <v>PUR0398</v>
      </c>
      <c r="C399" s="50"/>
      <c r="D399" s="50"/>
      <c r="E399" s="50" t="str">
        <f>IF(D399="","",VLOOKUP(D399,'Product Master'!$B:$G,3,FALSE))</f>
        <v/>
      </c>
      <c r="F399" s="50"/>
      <c r="G399" s="50" t="str">
        <f>IF(D399="","",VLOOKUP(D399,'Product Master'!$B:$G,4,FALSE))</f>
        <v/>
      </c>
      <c r="H399" s="157" t="str">
        <f t="shared" si="13"/>
        <v/>
      </c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</row>
    <row r="400" spans="1:19" x14ac:dyDescent="0.25">
      <c r="A400" s="155"/>
      <c r="B400" s="72" t="str">
        <f t="shared" si="12"/>
        <v>PUR0399</v>
      </c>
      <c r="C400" s="50"/>
      <c r="D400" s="50"/>
      <c r="E400" s="50" t="str">
        <f>IF(D400="","",VLOOKUP(D400,'Product Master'!$B:$G,3,FALSE))</f>
        <v/>
      </c>
      <c r="F400" s="50"/>
      <c r="G400" s="50" t="str">
        <f>IF(D400="","",VLOOKUP(D400,'Product Master'!$B:$G,4,FALSE))</f>
        <v/>
      </c>
      <c r="H400" s="157" t="str">
        <f t="shared" si="13"/>
        <v/>
      </c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</row>
    <row r="401" spans="1:19" x14ac:dyDescent="0.25">
      <c r="A401" s="155"/>
      <c r="B401" s="72" t="str">
        <f t="shared" si="12"/>
        <v>PUR0400</v>
      </c>
      <c r="C401" s="50"/>
      <c r="D401" s="50"/>
      <c r="E401" s="50" t="str">
        <f>IF(D401="","",VLOOKUP(D401,'Product Master'!$B:$G,3,FALSE))</f>
        <v/>
      </c>
      <c r="F401" s="50"/>
      <c r="G401" s="50" t="str">
        <f>IF(D401="","",VLOOKUP(D401,'Product Master'!$B:$G,4,FALSE))</f>
        <v/>
      </c>
      <c r="H401" s="157" t="str">
        <f t="shared" si="13"/>
        <v/>
      </c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</row>
    <row r="402" spans="1:19" x14ac:dyDescent="0.25">
      <c r="A402" s="155"/>
      <c r="B402" s="72" t="str">
        <f t="shared" si="12"/>
        <v>PUR0401</v>
      </c>
      <c r="C402" s="50"/>
      <c r="D402" s="50"/>
      <c r="E402" s="50" t="str">
        <f>IF(D402="","",VLOOKUP(D402,'Product Master'!$B:$G,3,FALSE))</f>
        <v/>
      </c>
      <c r="F402" s="50"/>
      <c r="G402" s="50" t="str">
        <f>IF(D402="","",VLOOKUP(D402,'Product Master'!$B:$G,4,FALSE))</f>
        <v/>
      </c>
      <c r="H402" s="157" t="str">
        <f t="shared" si="13"/>
        <v/>
      </c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</row>
    <row r="403" spans="1:19" x14ac:dyDescent="0.25">
      <c r="A403" s="155"/>
      <c r="B403" s="72" t="str">
        <f t="shared" si="12"/>
        <v>PUR0402</v>
      </c>
      <c r="C403" s="50"/>
      <c r="D403" s="50"/>
      <c r="E403" s="50" t="str">
        <f>IF(D403="","",VLOOKUP(D403,'Product Master'!$B:$G,3,FALSE))</f>
        <v/>
      </c>
      <c r="F403" s="50"/>
      <c r="G403" s="50" t="str">
        <f>IF(D403="","",VLOOKUP(D403,'Product Master'!$B:$G,4,FALSE))</f>
        <v/>
      </c>
      <c r="H403" s="157" t="str">
        <f t="shared" si="13"/>
        <v/>
      </c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</row>
    <row r="404" spans="1:19" x14ac:dyDescent="0.25">
      <c r="A404" s="155"/>
      <c r="B404" s="72" t="str">
        <f t="shared" si="12"/>
        <v>PUR0403</v>
      </c>
      <c r="C404" s="50"/>
      <c r="D404" s="50"/>
      <c r="E404" s="50" t="str">
        <f>IF(D404="","",VLOOKUP(D404,'Product Master'!$B:$G,3,FALSE))</f>
        <v/>
      </c>
      <c r="F404" s="50"/>
      <c r="G404" s="50" t="str">
        <f>IF(D404="","",VLOOKUP(D404,'Product Master'!$B:$G,4,FALSE))</f>
        <v/>
      </c>
      <c r="H404" s="157" t="str">
        <f t="shared" si="13"/>
        <v/>
      </c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</row>
    <row r="405" spans="1:19" x14ac:dyDescent="0.25">
      <c r="A405" s="155"/>
      <c r="B405" s="72" t="str">
        <f t="shared" si="12"/>
        <v>PUR0404</v>
      </c>
      <c r="C405" s="50"/>
      <c r="D405" s="50"/>
      <c r="E405" s="50" t="str">
        <f>IF(D405="","",VLOOKUP(D405,'Product Master'!$B:$G,3,FALSE))</f>
        <v/>
      </c>
      <c r="F405" s="50"/>
      <c r="G405" s="50" t="str">
        <f>IF(D405="","",VLOOKUP(D405,'Product Master'!$B:$G,4,FALSE))</f>
        <v/>
      </c>
      <c r="H405" s="157" t="str">
        <f t="shared" si="13"/>
        <v/>
      </c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</row>
    <row r="406" spans="1:19" x14ac:dyDescent="0.25">
      <c r="A406" s="155"/>
      <c r="B406" s="72" t="str">
        <f t="shared" si="12"/>
        <v>PUR0405</v>
      </c>
      <c r="C406" s="50"/>
      <c r="D406" s="50"/>
      <c r="E406" s="50" t="str">
        <f>IF(D406="","",VLOOKUP(D406,'Product Master'!$B:$G,3,FALSE))</f>
        <v/>
      </c>
      <c r="F406" s="50"/>
      <c r="G406" s="50" t="str">
        <f>IF(D406="","",VLOOKUP(D406,'Product Master'!$B:$G,4,FALSE))</f>
        <v/>
      </c>
      <c r="H406" s="157" t="str">
        <f t="shared" si="13"/>
        <v/>
      </c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</row>
    <row r="407" spans="1:19" x14ac:dyDescent="0.25">
      <c r="A407" s="155"/>
      <c r="B407" s="72" t="str">
        <f t="shared" si="12"/>
        <v>PUR0406</v>
      </c>
      <c r="C407" s="50"/>
      <c r="D407" s="50"/>
      <c r="E407" s="50" t="str">
        <f>IF(D407="","",VLOOKUP(D407,'Product Master'!$B:$G,3,FALSE))</f>
        <v/>
      </c>
      <c r="F407" s="50"/>
      <c r="G407" s="50" t="str">
        <f>IF(D407="","",VLOOKUP(D407,'Product Master'!$B:$G,4,FALSE))</f>
        <v/>
      </c>
      <c r="H407" s="157" t="str">
        <f t="shared" si="13"/>
        <v/>
      </c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</row>
    <row r="408" spans="1:19" x14ac:dyDescent="0.25">
      <c r="A408" s="155"/>
      <c r="B408" s="72" t="str">
        <f t="shared" si="12"/>
        <v>PUR0407</v>
      </c>
      <c r="C408" s="50"/>
      <c r="D408" s="50"/>
      <c r="E408" s="50" t="str">
        <f>IF(D408="","",VLOOKUP(D408,'Product Master'!$B:$G,3,FALSE))</f>
        <v/>
      </c>
      <c r="F408" s="50"/>
      <c r="G408" s="50" t="str">
        <f>IF(D408="","",VLOOKUP(D408,'Product Master'!$B:$G,4,FALSE))</f>
        <v/>
      </c>
      <c r="H408" s="157" t="str">
        <f t="shared" si="13"/>
        <v/>
      </c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</row>
    <row r="409" spans="1:19" x14ac:dyDescent="0.25">
      <c r="A409" s="155"/>
      <c r="B409" s="72" t="str">
        <f t="shared" si="12"/>
        <v>PUR0408</v>
      </c>
      <c r="C409" s="50"/>
      <c r="D409" s="50"/>
      <c r="E409" s="50" t="str">
        <f>IF(D409="","",VLOOKUP(D409,'Product Master'!$B:$G,3,FALSE))</f>
        <v/>
      </c>
      <c r="F409" s="50"/>
      <c r="G409" s="50" t="str">
        <f>IF(D409="","",VLOOKUP(D409,'Product Master'!$B:$G,4,FALSE))</f>
        <v/>
      </c>
      <c r="H409" s="157" t="str">
        <f t="shared" si="13"/>
        <v/>
      </c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</row>
    <row r="410" spans="1:19" x14ac:dyDescent="0.25">
      <c r="A410" s="155"/>
      <c r="B410" s="72" t="str">
        <f t="shared" si="12"/>
        <v>PUR0409</v>
      </c>
      <c r="C410" s="50"/>
      <c r="D410" s="50"/>
      <c r="E410" s="50" t="str">
        <f>IF(D410="","",VLOOKUP(D410,'Product Master'!$B:$G,3,FALSE))</f>
        <v/>
      </c>
      <c r="F410" s="50"/>
      <c r="G410" s="50" t="str">
        <f>IF(D410="","",VLOOKUP(D410,'Product Master'!$B:$G,4,FALSE))</f>
        <v/>
      </c>
      <c r="H410" s="157" t="str">
        <f t="shared" si="13"/>
        <v/>
      </c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</row>
    <row r="411" spans="1:19" x14ac:dyDescent="0.25">
      <c r="A411" s="155"/>
      <c r="B411" s="72" t="str">
        <f t="shared" si="12"/>
        <v>PUR0410</v>
      </c>
      <c r="C411" s="50"/>
      <c r="D411" s="50"/>
      <c r="E411" s="50" t="str">
        <f>IF(D411="","",VLOOKUP(D411,'Product Master'!$B:$G,3,FALSE))</f>
        <v/>
      </c>
      <c r="F411" s="50"/>
      <c r="G411" s="50" t="str">
        <f>IF(D411="","",VLOOKUP(D411,'Product Master'!$B:$G,4,FALSE))</f>
        <v/>
      </c>
      <c r="H411" s="157" t="str">
        <f t="shared" si="13"/>
        <v/>
      </c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</row>
    <row r="412" spans="1:19" x14ac:dyDescent="0.25">
      <c r="A412" s="155"/>
      <c r="B412" s="72" t="str">
        <f t="shared" si="12"/>
        <v>PUR0411</v>
      </c>
      <c r="C412" s="50"/>
      <c r="D412" s="50"/>
      <c r="E412" s="50" t="str">
        <f>IF(D412="","",VLOOKUP(D412,'Product Master'!$B:$G,3,FALSE))</f>
        <v/>
      </c>
      <c r="F412" s="50"/>
      <c r="G412" s="50" t="str">
        <f>IF(D412="","",VLOOKUP(D412,'Product Master'!$B:$G,4,FALSE))</f>
        <v/>
      </c>
      <c r="H412" s="157" t="str">
        <f t="shared" si="13"/>
        <v/>
      </c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</row>
    <row r="413" spans="1:19" x14ac:dyDescent="0.25">
      <c r="A413" s="155"/>
      <c r="B413" s="72" t="str">
        <f t="shared" si="12"/>
        <v>PUR0412</v>
      </c>
      <c r="C413" s="50"/>
      <c r="D413" s="50"/>
      <c r="E413" s="50" t="str">
        <f>IF(D413="","",VLOOKUP(D413,'Product Master'!$B:$G,3,FALSE))</f>
        <v/>
      </c>
      <c r="F413" s="50"/>
      <c r="G413" s="50" t="str">
        <f>IF(D413="","",VLOOKUP(D413,'Product Master'!$B:$G,4,FALSE))</f>
        <v/>
      </c>
      <c r="H413" s="157" t="str">
        <f t="shared" si="13"/>
        <v/>
      </c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</row>
    <row r="414" spans="1:19" x14ac:dyDescent="0.25">
      <c r="A414" s="155"/>
      <c r="B414" s="72" t="str">
        <f t="shared" si="12"/>
        <v>PUR0413</v>
      </c>
      <c r="C414" s="50"/>
      <c r="D414" s="50"/>
      <c r="E414" s="50" t="str">
        <f>IF(D414="","",VLOOKUP(D414,'Product Master'!$B:$G,3,FALSE))</f>
        <v/>
      </c>
      <c r="F414" s="50"/>
      <c r="G414" s="50" t="str">
        <f>IF(D414="","",VLOOKUP(D414,'Product Master'!$B:$G,4,FALSE))</f>
        <v/>
      </c>
      <c r="H414" s="157" t="str">
        <f t="shared" si="13"/>
        <v/>
      </c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</row>
    <row r="415" spans="1:19" x14ac:dyDescent="0.25">
      <c r="A415" s="155"/>
      <c r="B415" s="72" t="str">
        <f t="shared" si="12"/>
        <v>PUR0414</v>
      </c>
      <c r="C415" s="50"/>
      <c r="D415" s="50"/>
      <c r="E415" s="50" t="str">
        <f>IF(D415="","",VLOOKUP(D415,'Product Master'!$B:$G,3,FALSE))</f>
        <v/>
      </c>
      <c r="F415" s="50"/>
      <c r="G415" s="50" t="str">
        <f>IF(D415="","",VLOOKUP(D415,'Product Master'!$B:$G,4,FALSE))</f>
        <v/>
      </c>
      <c r="H415" s="157" t="str">
        <f t="shared" si="13"/>
        <v/>
      </c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</row>
    <row r="416" spans="1:19" x14ac:dyDescent="0.25">
      <c r="A416" s="155"/>
      <c r="B416" s="72" t="str">
        <f t="shared" si="12"/>
        <v>PUR0415</v>
      </c>
      <c r="C416" s="50"/>
      <c r="D416" s="50"/>
      <c r="E416" s="50" t="str">
        <f>IF(D416="","",VLOOKUP(D416,'Product Master'!$B:$G,3,FALSE))</f>
        <v/>
      </c>
      <c r="F416" s="50"/>
      <c r="G416" s="50" t="str">
        <f>IF(D416="","",VLOOKUP(D416,'Product Master'!$B:$G,4,FALSE))</f>
        <v/>
      </c>
      <c r="H416" s="157" t="str">
        <f t="shared" si="13"/>
        <v/>
      </c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</row>
    <row r="417" spans="1:19" x14ac:dyDescent="0.25">
      <c r="A417" s="155"/>
      <c r="B417" s="72" t="str">
        <f t="shared" ref="B417:B480" si="14">"PUR"&amp;TEXT(ROW()-1,"0000")</f>
        <v>PUR0416</v>
      </c>
      <c r="C417" s="50"/>
      <c r="D417" s="50"/>
      <c r="E417" s="50" t="str">
        <f>IF(D417="","",VLOOKUP(D417,'Product Master'!$B:$G,3,FALSE))</f>
        <v/>
      </c>
      <c r="F417" s="50"/>
      <c r="G417" s="50" t="str">
        <f>IF(D417="","",VLOOKUP(D417,'Product Master'!$B:$G,4,FALSE))</f>
        <v/>
      </c>
      <c r="H417" s="157" t="str">
        <f t="shared" ref="H417:H480" si="15">IF(OR(F417="",G417=""),"",F417*G417)</f>
        <v/>
      </c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</row>
    <row r="418" spans="1:19" x14ac:dyDescent="0.25">
      <c r="A418" s="155"/>
      <c r="B418" s="72" t="str">
        <f t="shared" si="14"/>
        <v>PUR0417</v>
      </c>
      <c r="C418" s="50"/>
      <c r="D418" s="50"/>
      <c r="E418" s="50" t="str">
        <f>IF(D418="","",VLOOKUP(D418,'Product Master'!$B:$G,3,FALSE))</f>
        <v/>
      </c>
      <c r="F418" s="50"/>
      <c r="G418" s="50" t="str">
        <f>IF(D418="","",VLOOKUP(D418,'Product Master'!$B:$G,4,FALSE))</f>
        <v/>
      </c>
      <c r="H418" s="157" t="str">
        <f t="shared" si="15"/>
        <v/>
      </c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</row>
    <row r="419" spans="1:19" x14ac:dyDescent="0.25">
      <c r="A419" s="155"/>
      <c r="B419" s="72" t="str">
        <f t="shared" si="14"/>
        <v>PUR0418</v>
      </c>
      <c r="C419" s="50"/>
      <c r="D419" s="50"/>
      <c r="E419" s="50" t="str">
        <f>IF(D419="","",VLOOKUP(D419,'Product Master'!$B:$G,3,FALSE))</f>
        <v/>
      </c>
      <c r="F419" s="50"/>
      <c r="G419" s="50" t="str">
        <f>IF(D419="","",VLOOKUP(D419,'Product Master'!$B:$G,4,FALSE))</f>
        <v/>
      </c>
      <c r="H419" s="157" t="str">
        <f t="shared" si="15"/>
        <v/>
      </c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</row>
    <row r="420" spans="1:19" x14ac:dyDescent="0.25">
      <c r="A420" s="155"/>
      <c r="B420" s="72" t="str">
        <f t="shared" si="14"/>
        <v>PUR0419</v>
      </c>
      <c r="C420" s="50"/>
      <c r="D420" s="50"/>
      <c r="E420" s="50" t="str">
        <f>IF(D420="","",VLOOKUP(D420,'Product Master'!$B:$G,3,FALSE))</f>
        <v/>
      </c>
      <c r="F420" s="50"/>
      <c r="G420" s="50" t="str">
        <f>IF(D420="","",VLOOKUP(D420,'Product Master'!$B:$G,4,FALSE))</f>
        <v/>
      </c>
      <c r="H420" s="157" t="str">
        <f t="shared" si="15"/>
        <v/>
      </c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</row>
    <row r="421" spans="1:19" x14ac:dyDescent="0.25">
      <c r="A421" s="155"/>
      <c r="B421" s="72" t="str">
        <f t="shared" si="14"/>
        <v>PUR0420</v>
      </c>
      <c r="C421" s="50"/>
      <c r="D421" s="50"/>
      <c r="E421" s="50" t="str">
        <f>IF(D421="","",VLOOKUP(D421,'Product Master'!$B:$G,3,FALSE))</f>
        <v/>
      </c>
      <c r="F421" s="50"/>
      <c r="G421" s="50" t="str">
        <f>IF(D421="","",VLOOKUP(D421,'Product Master'!$B:$G,4,FALSE))</f>
        <v/>
      </c>
      <c r="H421" s="157" t="str">
        <f t="shared" si="15"/>
        <v/>
      </c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</row>
    <row r="422" spans="1:19" x14ac:dyDescent="0.25">
      <c r="A422" s="155"/>
      <c r="B422" s="72" t="str">
        <f t="shared" si="14"/>
        <v>PUR0421</v>
      </c>
      <c r="C422" s="50"/>
      <c r="D422" s="50"/>
      <c r="E422" s="50" t="str">
        <f>IF(D422="","",VLOOKUP(D422,'Product Master'!$B:$G,3,FALSE))</f>
        <v/>
      </c>
      <c r="F422" s="50"/>
      <c r="G422" s="50" t="str">
        <f>IF(D422="","",VLOOKUP(D422,'Product Master'!$B:$G,4,FALSE))</f>
        <v/>
      </c>
      <c r="H422" s="157" t="str">
        <f t="shared" si="15"/>
        <v/>
      </c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</row>
    <row r="423" spans="1:19" x14ac:dyDescent="0.25">
      <c r="A423" s="155"/>
      <c r="B423" s="72" t="str">
        <f t="shared" si="14"/>
        <v>PUR0422</v>
      </c>
      <c r="C423" s="50"/>
      <c r="D423" s="50"/>
      <c r="E423" s="50" t="str">
        <f>IF(D423="","",VLOOKUP(D423,'Product Master'!$B:$G,3,FALSE))</f>
        <v/>
      </c>
      <c r="F423" s="50"/>
      <c r="G423" s="50" t="str">
        <f>IF(D423="","",VLOOKUP(D423,'Product Master'!$B:$G,4,FALSE))</f>
        <v/>
      </c>
      <c r="H423" s="157" t="str">
        <f t="shared" si="15"/>
        <v/>
      </c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</row>
    <row r="424" spans="1:19" x14ac:dyDescent="0.25">
      <c r="A424" s="155"/>
      <c r="B424" s="72" t="str">
        <f t="shared" si="14"/>
        <v>PUR0423</v>
      </c>
      <c r="C424" s="50"/>
      <c r="D424" s="50"/>
      <c r="E424" s="50" t="str">
        <f>IF(D424="","",VLOOKUP(D424,'Product Master'!$B:$G,3,FALSE))</f>
        <v/>
      </c>
      <c r="F424" s="50"/>
      <c r="G424" s="50" t="str">
        <f>IF(D424="","",VLOOKUP(D424,'Product Master'!$B:$G,4,FALSE))</f>
        <v/>
      </c>
      <c r="H424" s="157" t="str">
        <f t="shared" si="15"/>
        <v/>
      </c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</row>
    <row r="425" spans="1:19" x14ac:dyDescent="0.25">
      <c r="A425" s="155"/>
      <c r="B425" s="72" t="str">
        <f t="shared" si="14"/>
        <v>PUR0424</v>
      </c>
      <c r="C425" s="50"/>
      <c r="D425" s="50"/>
      <c r="E425" s="50" t="str">
        <f>IF(D425="","",VLOOKUP(D425,'Product Master'!$B:$G,3,FALSE))</f>
        <v/>
      </c>
      <c r="F425" s="50"/>
      <c r="G425" s="50" t="str">
        <f>IF(D425="","",VLOOKUP(D425,'Product Master'!$B:$G,4,FALSE))</f>
        <v/>
      </c>
      <c r="H425" s="157" t="str">
        <f t="shared" si="15"/>
        <v/>
      </c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</row>
    <row r="426" spans="1:19" x14ac:dyDescent="0.25">
      <c r="A426" s="155"/>
      <c r="B426" s="72" t="str">
        <f t="shared" si="14"/>
        <v>PUR0425</v>
      </c>
      <c r="C426" s="50"/>
      <c r="D426" s="50"/>
      <c r="E426" s="50" t="str">
        <f>IF(D426="","",VLOOKUP(D426,'Product Master'!$B:$G,3,FALSE))</f>
        <v/>
      </c>
      <c r="F426" s="50"/>
      <c r="G426" s="50" t="str">
        <f>IF(D426="","",VLOOKUP(D426,'Product Master'!$B:$G,4,FALSE))</f>
        <v/>
      </c>
      <c r="H426" s="157" t="str">
        <f t="shared" si="15"/>
        <v/>
      </c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</row>
    <row r="427" spans="1:19" x14ac:dyDescent="0.25">
      <c r="A427" s="155"/>
      <c r="B427" s="72" t="str">
        <f t="shared" si="14"/>
        <v>PUR0426</v>
      </c>
      <c r="C427" s="50"/>
      <c r="D427" s="50"/>
      <c r="E427" s="50" t="str">
        <f>IF(D427="","",VLOOKUP(D427,'Product Master'!$B:$G,3,FALSE))</f>
        <v/>
      </c>
      <c r="F427" s="50"/>
      <c r="G427" s="50" t="str">
        <f>IF(D427="","",VLOOKUP(D427,'Product Master'!$B:$G,4,FALSE))</f>
        <v/>
      </c>
      <c r="H427" s="157" t="str">
        <f t="shared" si="15"/>
        <v/>
      </c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</row>
    <row r="428" spans="1:19" x14ac:dyDescent="0.25">
      <c r="A428" s="155"/>
      <c r="B428" s="72" t="str">
        <f t="shared" si="14"/>
        <v>PUR0427</v>
      </c>
      <c r="C428" s="50"/>
      <c r="D428" s="50"/>
      <c r="E428" s="50" t="str">
        <f>IF(D428="","",VLOOKUP(D428,'Product Master'!$B:$G,3,FALSE))</f>
        <v/>
      </c>
      <c r="F428" s="50"/>
      <c r="G428" s="50" t="str">
        <f>IF(D428="","",VLOOKUP(D428,'Product Master'!$B:$G,4,FALSE))</f>
        <v/>
      </c>
      <c r="H428" s="157" t="str">
        <f t="shared" si="15"/>
        <v/>
      </c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</row>
    <row r="429" spans="1:19" x14ac:dyDescent="0.25">
      <c r="A429" s="155"/>
      <c r="B429" s="72" t="str">
        <f t="shared" si="14"/>
        <v>PUR0428</v>
      </c>
      <c r="C429" s="50"/>
      <c r="D429" s="50"/>
      <c r="E429" s="50" t="str">
        <f>IF(D429="","",VLOOKUP(D429,'Product Master'!$B:$G,3,FALSE))</f>
        <v/>
      </c>
      <c r="F429" s="50"/>
      <c r="G429" s="50" t="str">
        <f>IF(D429="","",VLOOKUP(D429,'Product Master'!$B:$G,4,FALSE))</f>
        <v/>
      </c>
      <c r="H429" s="157" t="str">
        <f t="shared" si="15"/>
        <v/>
      </c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</row>
    <row r="430" spans="1:19" x14ac:dyDescent="0.25">
      <c r="A430" s="155"/>
      <c r="B430" s="72" t="str">
        <f t="shared" si="14"/>
        <v>PUR0429</v>
      </c>
      <c r="C430" s="50"/>
      <c r="D430" s="50"/>
      <c r="E430" s="50" t="str">
        <f>IF(D430="","",VLOOKUP(D430,'Product Master'!$B:$G,3,FALSE))</f>
        <v/>
      </c>
      <c r="F430" s="50"/>
      <c r="G430" s="50" t="str">
        <f>IF(D430="","",VLOOKUP(D430,'Product Master'!$B:$G,4,FALSE))</f>
        <v/>
      </c>
      <c r="H430" s="157" t="str">
        <f t="shared" si="15"/>
        <v/>
      </c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</row>
    <row r="431" spans="1:19" x14ac:dyDescent="0.25">
      <c r="A431" s="155"/>
      <c r="B431" s="72" t="str">
        <f t="shared" si="14"/>
        <v>PUR0430</v>
      </c>
      <c r="C431" s="50"/>
      <c r="D431" s="50"/>
      <c r="E431" s="50" t="str">
        <f>IF(D431="","",VLOOKUP(D431,'Product Master'!$B:$G,3,FALSE))</f>
        <v/>
      </c>
      <c r="F431" s="50"/>
      <c r="G431" s="50" t="str">
        <f>IF(D431="","",VLOOKUP(D431,'Product Master'!$B:$G,4,FALSE))</f>
        <v/>
      </c>
      <c r="H431" s="157" t="str">
        <f t="shared" si="15"/>
        <v/>
      </c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</row>
    <row r="432" spans="1:19" x14ac:dyDescent="0.25">
      <c r="A432" s="155"/>
      <c r="B432" s="72" t="str">
        <f t="shared" si="14"/>
        <v>PUR0431</v>
      </c>
      <c r="C432" s="50"/>
      <c r="D432" s="50"/>
      <c r="E432" s="50" t="str">
        <f>IF(D432="","",VLOOKUP(D432,'Product Master'!$B:$G,3,FALSE))</f>
        <v/>
      </c>
      <c r="F432" s="50"/>
      <c r="G432" s="50" t="str">
        <f>IF(D432="","",VLOOKUP(D432,'Product Master'!$B:$G,4,FALSE))</f>
        <v/>
      </c>
      <c r="H432" s="157" t="str">
        <f t="shared" si="15"/>
        <v/>
      </c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</row>
    <row r="433" spans="1:19" x14ac:dyDescent="0.25">
      <c r="A433" s="155"/>
      <c r="B433" s="72" t="str">
        <f t="shared" si="14"/>
        <v>PUR0432</v>
      </c>
      <c r="C433" s="50"/>
      <c r="D433" s="50"/>
      <c r="E433" s="50" t="str">
        <f>IF(D433="","",VLOOKUP(D433,'Product Master'!$B:$G,3,FALSE))</f>
        <v/>
      </c>
      <c r="F433" s="50"/>
      <c r="G433" s="50" t="str">
        <f>IF(D433="","",VLOOKUP(D433,'Product Master'!$B:$G,4,FALSE))</f>
        <v/>
      </c>
      <c r="H433" s="157" t="str">
        <f t="shared" si="15"/>
        <v/>
      </c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</row>
    <row r="434" spans="1:19" x14ac:dyDescent="0.25">
      <c r="A434" s="155"/>
      <c r="B434" s="72" t="str">
        <f t="shared" si="14"/>
        <v>PUR0433</v>
      </c>
      <c r="C434" s="50"/>
      <c r="D434" s="50"/>
      <c r="E434" s="50" t="str">
        <f>IF(D434="","",VLOOKUP(D434,'Product Master'!$B:$G,3,FALSE))</f>
        <v/>
      </c>
      <c r="F434" s="50"/>
      <c r="G434" s="50" t="str">
        <f>IF(D434="","",VLOOKUP(D434,'Product Master'!$B:$G,4,FALSE))</f>
        <v/>
      </c>
      <c r="H434" s="157" t="str">
        <f t="shared" si="15"/>
        <v/>
      </c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</row>
    <row r="435" spans="1:19" x14ac:dyDescent="0.25">
      <c r="A435" s="155"/>
      <c r="B435" s="72" t="str">
        <f t="shared" si="14"/>
        <v>PUR0434</v>
      </c>
      <c r="C435" s="50"/>
      <c r="D435" s="50"/>
      <c r="E435" s="50" t="str">
        <f>IF(D435="","",VLOOKUP(D435,'Product Master'!$B:$G,3,FALSE))</f>
        <v/>
      </c>
      <c r="F435" s="50"/>
      <c r="G435" s="50" t="str">
        <f>IF(D435="","",VLOOKUP(D435,'Product Master'!$B:$G,4,FALSE))</f>
        <v/>
      </c>
      <c r="H435" s="157" t="str">
        <f t="shared" si="15"/>
        <v/>
      </c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</row>
    <row r="436" spans="1:19" x14ac:dyDescent="0.25">
      <c r="A436" s="155"/>
      <c r="B436" s="72" t="str">
        <f t="shared" si="14"/>
        <v>PUR0435</v>
      </c>
      <c r="C436" s="50"/>
      <c r="D436" s="50"/>
      <c r="E436" s="50" t="str">
        <f>IF(D436="","",VLOOKUP(D436,'Product Master'!$B:$G,3,FALSE))</f>
        <v/>
      </c>
      <c r="F436" s="50"/>
      <c r="G436" s="50" t="str">
        <f>IF(D436="","",VLOOKUP(D436,'Product Master'!$B:$G,4,FALSE))</f>
        <v/>
      </c>
      <c r="H436" s="157" t="str">
        <f t="shared" si="15"/>
        <v/>
      </c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</row>
    <row r="437" spans="1:19" x14ac:dyDescent="0.25">
      <c r="A437" s="155"/>
      <c r="B437" s="72" t="str">
        <f t="shared" si="14"/>
        <v>PUR0436</v>
      </c>
      <c r="C437" s="50"/>
      <c r="D437" s="50"/>
      <c r="E437" s="50" t="str">
        <f>IF(D437="","",VLOOKUP(D437,'Product Master'!$B:$G,3,FALSE))</f>
        <v/>
      </c>
      <c r="F437" s="50"/>
      <c r="G437" s="50" t="str">
        <f>IF(D437="","",VLOOKUP(D437,'Product Master'!$B:$G,4,FALSE))</f>
        <v/>
      </c>
      <c r="H437" s="157" t="str">
        <f t="shared" si="15"/>
        <v/>
      </c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</row>
    <row r="438" spans="1:19" x14ac:dyDescent="0.25">
      <c r="A438" s="155"/>
      <c r="B438" s="72" t="str">
        <f t="shared" si="14"/>
        <v>PUR0437</v>
      </c>
      <c r="C438" s="50"/>
      <c r="D438" s="50"/>
      <c r="E438" s="50" t="str">
        <f>IF(D438="","",VLOOKUP(D438,'Product Master'!$B:$G,3,FALSE))</f>
        <v/>
      </c>
      <c r="F438" s="50"/>
      <c r="G438" s="50" t="str">
        <f>IF(D438="","",VLOOKUP(D438,'Product Master'!$B:$G,4,FALSE))</f>
        <v/>
      </c>
      <c r="H438" s="157" t="str">
        <f t="shared" si="15"/>
        <v/>
      </c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</row>
    <row r="439" spans="1:19" x14ac:dyDescent="0.25">
      <c r="A439" s="155"/>
      <c r="B439" s="72" t="str">
        <f t="shared" si="14"/>
        <v>PUR0438</v>
      </c>
      <c r="C439" s="50"/>
      <c r="D439" s="50"/>
      <c r="E439" s="50" t="str">
        <f>IF(D439="","",VLOOKUP(D439,'Product Master'!$B:$G,3,FALSE))</f>
        <v/>
      </c>
      <c r="F439" s="50"/>
      <c r="G439" s="50" t="str">
        <f>IF(D439="","",VLOOKUP(D439,'Product Master'!$B:$G,4,FALSE))</f>
        <v/>
      </c>
      <c r="H439" s="157" t="str">
        <f t="shared" si="15"/>
        <v/>
      </c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</row>
    <row r="440" spans="1:19" x14ac:dyDescent="0.25">
      <c r="A440" s="155"/>
      <c r="B440" s="72" t="str">
        <f t="shared" si="14"/>
        <v>PUR0439</v>
      </c>
      <c r="C440" s="50"/>
      <c r="D440" s="50"/>
      <c r="E440" s="50" t="str">
        <f>IF(D440="","",VLOOKUP(D440,'Product Master'!$B:$G,3,FALSE))</f>
        <v/>
      </c>
      <c r="F440" s="50"/>
      <c r="G440" s="50" t="str">
        <f>IF(D440="","",VLOOKUP(D440,'Product Master'!$B:$G,4,FALSE))</f>
        <v/>
      </c>
      <c r="H440" s="157" t="str">
        <f t="shared" si="15"/>
        <v/>
      </c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</row>
    <row r="441" spans="1:19" x14ac:dyDescent="0.25">
      <c r="A441" s="155"/>
      <c r="B441" s="72" t="str">
        <f t="shared" si="14"/>
        <v>PUR0440</v>
      </c>
      <c r="C441" s="50"/>
      <c r="D441" s="50"/>
      <c r="E441" s="50" t="str">
        <f>IF(D441="","",VLOOKUP(D441,'Product Master'!$B:$G,3,FALSE))</f>
        <v/>
      </c>
      <c r="F441" s="50"/>
      <c r="G441" s="50" t="str">
        <f>IF(D441="","",VLOOKUP(D441,'Product Master'!$B:$G,4,FALSE))</f>
        <v/>
      </c>
      <c r="H441" s="157" t="str">
        <f t="shared" si="15"/>
        <v/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</row>
    <row r="442" spans="1:19" x14ac:dyDescent="0.25">
      <c r="A442" s="155"/>
      <c r="B442" s="72" t="str">
        <f t="shared" si="14"/>
        <v>PUR0441</v>
      </c>
      <c r="C442" s="50"/>
      <c r="D442" s="50"/>
      <c r="E442" s="50" t="str">
        <f>IF(D442="","",VLOOKUP(D442,'Product Master'!$B:$G,3,FALSE))</f>
        <v/>
      </c>
      <c r="F442" s="50"/>
      <c r="G442" s="50" t="str">
        <f>IF(D442="","",VLOOKUP(D442,'Product Master'!$B:$G,4,FALSE))</f>
        <v/>
      </c>
      <c r="H442" s="157" t="str">
        <f t="shared" si="15"/>
        <v/>
      </c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</row>
    <row r="443" spans="1:19" x14ac:dyDescent="0.25">
      <c r="A443" s="155"/>
      <c r="B443" s="72" t="str">
        <f t="shared" si="14"/>
        <v>PUR0442</v>
      </c>
      <c r="C443" s="50"/>
      <c r="D443" s="50"/>
      <c r="E443" s="50" t="str">
        <f>IF(D443="","",VLOOKUP(D443,'Product Master'!$B:$G,3,FALSE))</f>
        <v/>
      </c>
      <c r="F443" s="50"/>
      <c r="G443" s="50" t="str">
        <f>IF(D443="","",VLOOKUP(D443,'Product Master'!$B:$G,4,FALSE))</f>
        <v/>
      </c>
      <c r="H443" s="157" t="str">
        <f t="shared" si="15"/>
        <v/>
      </c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</row>
    <row r="444" spans="1:19" x14ac:dyDescent="0.25">
      <c r="A444" s="155"/>
      <c r="B444" s="72" t="str">
        <f t="shared" si="14"/>
        <v>PUR0443</v>
      </c>
      <c r="C444" s="50"/>
      <c r="D444" s="50"/>
      <c r="E444" s="50" t="str">
        <f>IF(D444="","",VLOOKUP(D444,'Product Master'!$B:$G,3,FALSE))</f>
        <v/>
      </c>
      <c r="F444" s="50"/>
      <c r="G444" s="50" t="str">
        <f>IF(D444="","",VLOOKUP(D444,'Product Master'!$B:$G,4,FALSE))</f>
        <v/>
      </c>
      <c r="H444" s="157" t="str">
        <f t="shared" si="15"/>
        <v/>
      </c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</row>
    <row r="445" spans="1:19" x14ac:dyDescent="0.25">
      <c r="A445" s="155"/>
      <c r="B445" s="72" t="str">
        <f t="shared" si="14"/>
        <v>PUR0444</v>
      </c>
      <c r="C445" s="50"/>
      <c r="D445" s="50"/>
      <c r="E445" s="50" t="str">
        <f>IF(D445="","",VLOOKUP(D445,'Product Master'!$B:$G,3,FALSE))</f>
        <v/>
      </c>
      <c r="F445" s="50"/>
      <c r="G445" s="50" t="str">
        <f>IF(D445="","",VLOOKUP(D445,'Product Master'!$B:$G,4,FALSE))</f>
        <v/>
      </c>
      <c r="H445" s="157" t="str">
        <f t="shared" si="15"/>
        <v/>
      </c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</row>
    <row r="446" spans="1:19" x14ac:dyDescent="0.25">
      <c r="A446" s="155"/>
      <c r="B446" s="72" t="str">
        <f t="shared" si="14"/>
        <v>PUR0445</v>
      </c>
      <c r="C446" s="50"/>
      <c r="D446" s="50"/>
      <c r="E446" s="50" t="str">
        <f>IF(D446="","",VLOOKUP(D446,'Product Master'!$B:$G,3,FALSE))</f>
        <v/>
      </c>
      <c r="F446" s="50"/>
      <c r="G446" s="50" t="str">
        <f>IF(D446="","",VLOOKUP(D446,'Product Master'!$B:$G,4,FALSE))</f>
        <v/>
      </c>
      <c r="H446" s="157" t="str">
        <f t="shared" si="15"/>
        <v/>
      </c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</row>
    <row r="447" spans="1:19" x14ac:dyDescent="0.25">
      <c r="A447" s="155"/>
      <c r="B447" s="72" t="str">
        <f t="shared" si="14"/>
        <v>PUR0446</v>
      </c>
      <c r="C447" s="50"/>
      <c r="D447" s="50"/>
      <c r="E447" s="50" t="str">
        <f>IF(D447="","",VLOOKUP(D447,'Product Master'!$B:$G,3,FALSE))</f>
        <v/>
      </c>
      <c r="F447" s="50"/>
      <c r="G447" s="50" t="str">
        <f>IF(D447="","",VLOOKUP(D447,'Product Master'!$B:$G,4,FALSE))</f>
        <v/>
      </c>
      <c r="H447" s="157" t="str">
        <f t="shared" si="15"/>
        <v/>
      </c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</row>
    <row r="448" spans="1:19" x14ac:dyDescent="0.25">
      <c r="A448" s="155"/>
      <c r="B448" s="72" t="str">
        <f t="shared" si="14"/>
        <v>PUR0447</v>
      </c>
      <c r="C448" s="50"/>
      <c r="D448" s="50"/>
      <c r="E448" s="50" t="str">
        <f>IF(D448="","",VLOOKUP(D448,'Product Master'!$B:$G,3,FALSE))</f>
        <v/>
      </c>
      <c r="F448" s="50"/>
      <c r="G448" s="50" t="str">
        <f>IF(D448="","",VLOOKUP(D448,'Product Master'!$B:$G,4,FALSE))</f>
        <v/>
      </c>
      <c r="H448" s="157" t="str">
        <f t="shared" si="15"/>
        <v/>
      </c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</row>
    <row r="449" spans="1:19" x14ac:dyDescent="0.25">
      <c r="A449" s="155"/>
      <c r="B449" s="72" t="str">
        <f t="shared" si="14"/>
        <v>PUR0448</v>
      </c>
      <c r="C449" s="50"/>
      <c r="D449" s="50"/>
      <c r="E449" s="50" t="str">
        <f>IF(D449="","",VLOOKUP(D449,'Product Master'!$B:$G,3,FALSE))</f>
        <v/>
      </c>
      <c r="F449" s="50"/>
      <c r="G449" s="50" t="str">
        <f>IF(D449="","",VLOOKUP(D449,'Product Master'!$B:$G,4,FALSE))</f>
        <v/>
      </c>
      <c r="H449" s="157" t="str">
        <f t="shared" si="15"/>
        <v/>
      </c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</row>
    <row r="450" spans="1:19" x14ac:dyDescent="0.25">
      <c r="A450" s="155"/>
      <c r="B450" s="72" t="str">
        <f t="shared" si="14"/>
        <v>PUR0449</v>
      </c>
      <c r="C450" s="50"/>
      <c r="D450" s="50"/>
      <c r="E450" s="50" t="str">
        <f>IF(D450="","",VLOOKUP(D450,'Product Master'!$B:$G,3,FALSE))</f>
        <v/>
      </c>
      <c r="F450" s="50"/>
      <c r="G450" s="50" t="str">
        <f>IF(D450="","",VLOOKUP(D450,'Product Master'!$B:$G,4,FALSE))</f>
        <v/>
      </c>
      <c r="H450" s="157" t="str">
        <f t="shared" si="15"/>
        <v/>
      </c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</row>
    <row r="451" spans="1:19" x14ac:dyDescent="0.25">
      <c r="A451" s="155"/>
      <c r="B451" s="72" t="str">
        <f t="shared" si="14"/>
        <v>PUR0450</v>
      </c>
      <c r="C451" s="50"/>
      <c r="D451" s="50"/>
      <c r="E451" s="50" t="str">
        <f>IF(D451="","",VLOOKUP(D451,'Product Master'!$B:$G,3,FALSE))</f>
        <v/>
      </c>
      <c r="F451" s="50"/>
      <c r="G451" s="50" t="str">
        <f>IF(D451="","",VLOOKUP(D451,'Product Master'!$B:$G,4,FALSE))</f>
        <v/>
      </c>
      <c r="H451" s="157" t="str">
        <f t="shared" si="15"/>
        <v/>
      </c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</row>
    <row r="452" spans="1:19" x14ac:dyDescent="0.25">
      <c r="A452" s="155"/>
      <c r="B452" s="72" t="str">
        <f t="shared" si="14"/>
        <v>PUR0451</v>
      </c>
      <c r="C452" s="50"/>
      <c r="D452" s="50"/>
      <c r="E452" s="50" t="str">
        <f>IF(D452="","",VLOOKUP(D452,'Product Master'!$B:$G,3,FALSE))</f>
        <v/>
      </c>
      <c r="F452" s="50"/>
      <c r="G452" s="50" t="str">
        <f>IF(D452="","",VLOOKUP(D452,'Product Master'!$B:$G,4,FALSE))</f>
        <v/>
      </c>
      <c r="H452" s="157" t="str">
        <f t="shared" si="15"/>
        <v/>
      </c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</row>
    <row r="453" spans="1:19" x14ac:dyDescent="0.25">
      <c r="A453" s="155"/>
      <c r="B453" s="72" t="str">
        <f t="shared" si="14"/>
        <v>PUR0452</v>
      </c>
      <c r="C453" s="50"/>
      <c r="D453" s="50"/>
      <c r="E453" s="50" t="str">
        <f>IF(D453="","",VLOOKUP(D453,'Product Master'!$B:$G,3,FALSE))</f>
        <v/>
      </c>
      <c r="F453" s="50"/>
      <c r="G453" s="50" t="str">
        <f>IF(D453="","",VLOOKUP(D453,'Product Master'!$B:$G,4,FALSE))</f>
        <v/>
      </c>
      <c r="H453" s="157" t="str">
        <f t="shared" si="15"/>
        <v/>
      </c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</row>
    <row r="454" spans="1:19" x14ac:dyDescent="0.25">
      <c r="A454" s="155"/>
      <c r="B454" s="72" t="str">
        <f t="shared" si="14"/>
        <v>PUR0453</v>
      </c>
      <c r="C454" s="50"/>
      <c r="D454" s="50"/>
      <c r="E454" s="50" t="str">
        <f>IF(D454="","",VLOOKUP(D454,'Product Master'!$B:$G,3,FALSE))</f>
        <v/>
      </c>
      <c r="F454" s="50"/>
      <c r="G454" s="50" t="str">
        <f>IF(D454="","",VLOOKUP(D454,'Product Master'!$B:$G,4,FALSE))</f>
        <v/>
      </c>
      <c r="H454" s="157" t="str">
        <f t="shared" si="15"/>
        <v/>
      </c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</row>
    <row r="455" spans="1:19" x14ac:dyDescent="0.25">
      <c r="A455" s="155"/>
      <c r="B455" s="72" t="str">
        <f t="shared" si="14"/>
        <v>PUR0454</v>
      </c>
      <c r="C455" s="50"/>
      <c r="D455" s="50"/>
      <c r="E455" s="50" t="str">
        <f>IF(D455="","",VLOOKUP(D455,'Product Master'!$B:$G,3,FALSE))</f>
        <v/>
      </c>
      <c r="F455" s="50"/>
      <c r="G455" s="50" t="str">
        <f>IF(D455="","",VLOOKUP(D455,'Product Master'!$B:$G,4,FALSE))</f>
        <v/>
      </c>
      <c r="H455" s="157" t="str">
        <f t="shared" si="15"/>
        <v/>
      </c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</row>
    <row r="456" spans="1:19" x14ac:dyDescent="0.25">
      <c r="A456" s="155"/>
      <c r="B456" s="72" t="str">
        <f t="shared" si="14"/>
        <v>PUR0455</v>
      </c>
      <c r="C456" s="50"/>
      <c r="D456" s="50"/>
      <c r="E456" s="50" t="str">
        <f>IF(D456="","",VLOOKUP(D456,'Product Master'!$B:$G,3,FALSE))</f>
        <v/>
      </c>
      <c r="F456" s="50"/>
      <c r="G456" s="50" t="str">
        <f>IF(D456="","",VLOOKUP(D456,'Product Master'!$B:$G,4,FALSE))</f>
        <v/>
      </c>
      <c r="H456" s="157" t="str">
        <f t="shared" si="15"/>
        <v/>
      </c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</row>
    <row r="457" spans="1:19" x14ac:dyDescent="0.25">
      <c r="A457" s="155"/>
      <c r="B457" s="72" t="str">
        <f t="shared" si="14"/>
        <v>PUR0456</v>
      </c>
      <c r="C457" s="50"/>
      <c r="D457" s="50"/>
      <c r="E457" s="50" t="str">
        <f>IF(D457="","",VLOOKUP(D457,'Product Master'!$B:$G,3,FALSE))</f>
        <v/>
      </c>
      <c r="F457" s="50"/>
      <c r="G457" s="50" t="str">
        <f>IF(D457="","",VLOOKUP(D457,'Product Master'!$B:$G,4,FALSE))</f>
        <v/>
      </c>
      <c r="H457" s="157" t="str">
        <f t="shared" si="15"/>
        <v/>
      </c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</row>
    <row r="458" spans="1:19" x14ac:dyDescent="0.25">
      <c r="A458" s="155"/>
      <c r="B458" s="72" t="str">
        <f t="shared" si="14"/>
        <v>PUR0457</v>
      </c>
      <c r="C458" s="50"/>
      <c r="D458" s="50"/>
      <c r="E458" s="50" t="str">
        <f>IF(D458="","",VLOOKUP(D458,'Product Master'!$B:$G,3,FALSE))</f>
        <v/>
      </c>
      <c r="F458" s="50"/>
      <c r="G458" s="50" t="str">
        <f>IF(D458="","",VLOOKUP(D458,'Product Master'!$B:$G,4,FALSE))</f>
        <v/>
      </c>
      <c r="H458" s="157" t="str">
        <f t="shared" si="15"/>
        <v/>
      </c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</row>
    <row r="459" spans="1:19" x14ac:dyDescent="0.25">
      <c r="A459" s="155"/>
      <c r="B459" s="72" t="str">
        <f t="shared" si="14"/>
        <v>PUR0458</v>
      </c>
      <c r="C459" s="50"/>
      <c r="D459" s="50"/>
      <c r="E459" s="50" t="str">
        <f>IF(D459="","",VLOOKUP(D459,'Product Master'!$B:$G,3,FALSE))</f>
        <v/>
      </c>
      <c r="F459" s="50"/>
      <c r="G459" s="50" t="str">
        <f>IF(D459="","",VLOOKUP(D459,'Product Master'!$B:$G,4,FALSE))</f>
        <v/>
      </c>
      <c r="H459" s="157" t="str">
        <f t="shared" si="15"/>
        <v/>
      </c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</row>
    <row r="460" spans="1:19" x14ac:dyDescent="0.25">
      <c r="A460" s="155"/>
      <c r="B460" s="72" t="str">
        <f t="shared" si="14"/>
        <v>PUR0459</v>
      </c>
      <c r="C460" s="50"/>
      <c r="D460" s="50"/>
      <c r="E460" s="50" t="str">
        <f>IF(D460="","",VLOOKUP(D460,'Product Master'!$B:$G,3,FALSE))</f>
        <v/>
      </c>
      <c r="F460" s="50"/>
      <c r="G460" s="50" t="str">
        <f>IF(D460="","",VLOOKUP(D460,'Product Master'!$B:$G,4,FALSE))</f>
        <v/>
      </c>
      <c r="H460" s="157" t="str">
        <f t="shared" si="15"/>
        <v/>
      </c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</row>
    <row r="461" spans="1:19" x14ac:dyDescent="0.25">
      <c r="A461" s="155"/>
      <c r="B461" s="72" t="str">
        <f t="shared" si="14"/>
        <v>PUR0460</v>
      </c>
      <c r="C461" s="50"/>
      <c r="D461" s="50"/>
      <c r="E461" s="50" t="str">
        <f>IF(D461="","",VLOOKUP(D461,'Product Master'!$B:$G,3,FALSE))</f>
        <v/>
      </c>
      <c r="F461" s="50"/>
      <c r="G461" s="50" t="str">
        <f>IF(D461="","",VLOOKUP(D461,'Product Master'!$B:$G,4,FALSE))</f>
        <v/>
      </c>
      <c r="H461" s="157" t="str">
        <f t="shared" si="15"/>
        <v/>
      </c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</row>
    <row r="462" spans="1:19" x14ac:dyDescent="0.25">
      <c r="A462" s="155"/>
      <c r="B462" s="72" t="str">
        <f t="shared" si="14"/>
        <v>PUR0461</v>
      </c>
      <c r="C462" s="50"/>
      <c r="D462" s="50"/>
      <c r="E462" s="50" t="str">
        <f>IF(D462="","",VLOOKUP(D462,'Product Master'!$B:$G,3,FALSE))</f>
        <v/>
      </c>
      <c r="F462" s="50"/>
      <c r="G462" s="50" t="str">
        <f>IF(D462="","",VLOOKUP(D462,'Product Master'!$B:$G,4,FALSE))</f>
        <v/>
      </c>
      <c r="H462" s="157" t="str">
        <f t="shared" si="15"/>
        <v/>
      </c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</row>
    <row r="463" spans="1:19" x14ac:dyDescent="0.25">
      <c r="A463" s="155"/>
      <c r="B463" s="72" t="str">
        <f t="shared" si="14"/>
        <v>PUR0462</v>
      </c>
      <c r="C463" s="50"/>
      <c r="D463" s="50"/>
      <c r="E463" s="50" t="str">
        <f>IF(D463="","",VLOOKUP(D463,'Product Master'!$B:$G,3,FALSE))</f>
        <v/>
      </c>
      <c r="F463" s="50"/>
      <c r="G463" s="50" t="str">
        <f>IF(D463="","",VLOOKUP(D463,'Product Master'!$B:$G,4,FALSE))</f>
        <v/>
      </c>
      <c r="H463" s="157" t="str">
        <f t="shared" si="15"/>
        <v/>
      </c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</row>
    <row r="464" spans="1:19" x14ac:dyDescent="0.25">
      <c r="A464" s="155"/>
      <c r="B464" s="72" t="str">
        <f t="shared" si="14"/>
        <v>PUR0463</v>
      </c>
      <c r="C464" s="50"/>
      <c r="D464" s="50"/>
      <c r="E464" s="50" t="str">
        <f>IF(D464="","",VLOOKUP(D464,'Product Master'!$B:$G,3,FALSE))</f>
        <v/>
      </c>
      <c r="F464" s="50"/>
      <c r="G464" s="50" t="str">
        <f>IF(D464="","",VLOOKUP(D464,'Product Master'!$B:$G,4,FALSE))</f>
        <v/>
      </c>
      <c r="H464" s="157" t="str">
        <f t="shared" si="15"/>
        <v/>
      </c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</row>
    <row r="465" spans="1:19" x14ac:dyDescent="0.25">
      <c r="A465" s="155"/>
      <c r="B465" s="72" t="str">
        <f t="shared" si="14"/>
        <v>PUR0464</v>
      </c>
      <c r="C465" s="50"/>
      <c r="D465" s="50"/>
      <c r="E465" s="50" t="str">
        <f>IF(D465="","",VLOOKUP(D465,'Product Master'!$B:$G,3,FALSE))</f>
        <v/>
      </c>
      <c r="F465" s="50"/>
      <c r="G465" s="50" t="str">
        <f>IF(D465="","",VLOOKUP(D465,'Product Master'!$B:$G,4,FALSE))</f>
        <v/>
      </c>
      <c r="H465" s="157" t="str">
        <f t="shared" si="15"/>
        <v/>
      </c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</row>
    <row r="466" spans="1:19" x14ac:dyDescent="0.25">
      <c r="A466" s="155"/>
      <c r="B466" s="72" t="str">
        <f t="shared" si="14"/>
        <v>PUR0465</v>
      </c>
      <c r="C466" s="50"/>
      <c r="D466" s="50"/>
      <c r="E466" s="50" t="str">
        <f>IF(D466="","",VLOOKUP(D466,'Product Master'!$B:$G,3,FALSE))</f>
        <v/>
      </c>
      <c r="F466" s="50"/>
      <c r="G466" s="50" t="str">
        <f>IF(D466="","",VLOOKUP(D466,'Product Master'!$B:$G,4,FALSE))</f>
        <v/>
      </c>
      <c r="H466" s="157" t="str">
        <f t="shared" si="15"/>
        <v/>
      </c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</row>
    <row r="467" spans="1:19" x14ac:dyDescent="0.25">
      <c r="A467" s="155"/>
      <c r="B467" s="72" t="str">
        <f t="shared" si="14"/>
        <v>PUR0466</v>
      </c>
      <c r="C467" s="50"/>
      <c r="D467" s="50"/>
      <c r="E467" s="50" t="str">
        <f>IF(D467="","",VLOOKUP(D467,'Product Master'!$B:$G,3,FALSE))</f>
        <v/>
      </c>
      <c r="F467" s="50"/>
      <c r="G467" s="50" t="str">
        <f>IF(D467="","",VLOOKUP(D467,'Product Master'!$B:$G,4,FALSE))</f>
        <v/>
      </c>
      <c r="H467" s="157" t="str">
        <f t="shared" si="15"/>
        <v/>
      </c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</row>
    <row r="468" spans="1:19" x14ac:dyDescent="0.25">
      <c r="A468" s="155"/>
      <c r="B468" s="72" t="str">
        <f t="shared" si="14"/>
        <v>PUR0467</v>
      </c>
      <c r="C468" s="50"/>
      <c r="D468" s="50"/>
      <c r="E468" s="50" t="str">
        <f>IF(D468="","",VLOOKUP(D468,'Product Master'!$B:$G,3,FALSE))</f>
        <v/>
      </c>
      <c r="F468" s="50"/>
      <c r="G468" s="50" t="str">
        <f>IF(D468="","",VLOOKUP(D468,'Product Master'!$B:$G,4,FALSE))</f>
        <v/>
      </c>
      <c r="H468" s="157" t="str">
        <f t="shared" si="15"/>
        <v/>
      </c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</row>
    <row r="469" spans="1:19" x14ac:dyDescent="0.25">
      <c r="A469" s="155"/>
      <c r="B469" s="72" t="str">
        <f t="shared" si="14"/>
        <v>PUR0468</v>
      </c>
      <c r="C469" s="50"/>
      <c r="D469" s="50"/>
      <c r="E469" s="50" t="str">
        <f>IF(D469="","",VLOOKUP(D469,'Product Master'!$B:$G,3,FALSE))</f>
        <v/>
      </c>
      <c r="F469" s="50"/>
      <c r="G469" s="50" t="str">
        <f>IF(D469="","",VLOOKUP(D469,'Product Master'!$B:$G,4,FALSE))</f>
        <v/>
      </c>
      <c r="H469" s="157" t="str">
        <f t="shared" si="15"/>
        <v/>
      </c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</row>
    <row r="470" spans="1:19" x14ac:dyDescent="0.25">
      <c r="A470" s="155"/>
      <c r="B470" s="72" t="str">
        <f t="shared" si="14"/>
        <v>PUR0469</v>
      </c>
      <c r="C470" s="50"/>
      <c r="D470" s="50"/>
      <c r="E470" s="50" t="str">
        <f>IF(D470="","",VLOOKUP(D470,'Product Master'!$B:$G,3,FALSE))</f>
        <v/>
      </c>
      <c r="F470" s="50"/>
      <c r="G470" s="50" t="str">
        <f>IF(D470="","",VLOOKUP(D470,'Product Master'!$B:$G,4,FALSE))</f>
        <v/>
      </c>
      <c r="H470" s="157" t="str">
        <f t="shared" si="15"/>
        <v/>
      </c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</row>
    <row r="471" spans="1:19" x14ac:dyDescent="0.25">
      <c r="A471" s="155"/>
      <c r="B471" s="72" t="str">
        <f t="shared" si="14"/>
        <v>PUR0470</v>
      </c>
      <c r="C471" s="50"/>
      <c r="D471" s="50"/>
      <c r="E471" s="50" t="str">
        <f>IF(D471="","",VLOOKUP(D471,'Product Master'!$B:$G,3,FALSE))</f>
        <v/>
      </c>
      <c r="F471" s="50"/>
      <c r="G471" s="50" t="str">
        <f>IF(D471="","",VLOOKUP(D471,'Product Master'!$B:$G,4,FALSE))</f>
        <v/>
      </c>
      <c r="H471" s="157" t="str">
        <f t="shared" si="15"/>
        <v/>
      </c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</row>
    <row r="472" spans="1:19" x14ac:dyDescent="0.25">
      <c r="A472" s="155"/>
      <c r="B472" s="72" t="str">
        <f t="shared" si="14"/>
        <v>PUR0471</v>
      </c>
      <c r="C472" s="50"/>
      <c r="D472" s="50"/>
      <c r="E472" s="50" t="str">
        <f>IF(D472="","",VLOOKUP(D472,'Product Master'!$B:$G,3,FALSE))</f>
        <v/>
      </c>
      <c r="F472" s="50"/>
      <c r="G472" s="50" t="str">
        <f>IF(D472="","",VLOOKUP(D472,'Product Master'!$B:$G,4,FALSE))</f>
        <v/>
      </c>
      <c r="H472" s="157" t="str">
        <f t="shared" si="15"/>
        <v/>
      </c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</row>
    <row r="473" spans="1:19" x14ac:dyDescent="0.25">
      <c r="A473" s="155"/>
      <c r="B473" s="72" t="str">
        <f t="shared" si="14"/>
        <v>PUR0472</v>
      </c>
      <c r="C473" s="50"/>
      <c r="D473" s="50"/>
      <c r="E473" s="50" t="str">
        <f>IF(D473="","",VLOOKUP(D473,'Product Master'!$B:$G,3,FALSE))</f>
        <v/>
      </c>
      <c r="F473" s="50"/>
      <c r="G473" s="50" t="str">
        <f>IF(D473="","",VLOOKUP(D473,'Product Master'!$B:$G,4,FALSE))</f>
        <v/>
      </c>
      <c r="H473" s="157" t="str">
        <f t="shared" si="15"/>
        <v/>
      </c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</row>
    <row r="474" spans="1:19" x14ac:dyDescent="0.25">
      <c r="A474" s="155"/>
      <c r="B474" s="72" t="str">
        <f t="shared" si="14"/>
        <v>PUR0473</v>
      </c>
      <c r="C474" s="50"/>
      <c r="D474" s="50"/>
      <c r="E474" s="50" t="str">
        <f>IF(D474="","",VLOOKUP(D474,'Product Master'!$B:$G,3,FALSE))</f>
        <v/>
      </c>
      <c r="F474" s="50"/>
      <c r="G474" s="50" t="str">
        <f>IF(D474="","",VLOOKUP(D474,'Product Master'!$B:$G,4,FALSE))</f>
        <v/>
      </c>
      <c r="H474" s="157" t="str">
        <f t="shared" si="15"/>
        <v/>
      </c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</row>
    <row r="475" spans="1:19" x14ac:dyDescent="0.25">
      <c r="A475" s="155"/>
      <c r="B475" s="72" t="str">
        <f t="shared" si="14"/>
        <v>PUR0474</v>
      </c>
      <c r="C475" s="50"/>
      <c r="D475" s="50"/>
      <c r="E475" s="50" t="str">
        <f>IF(D475="","",VLOOKUP(D475,'Product Master'!$B:$G,3,FALSE))</f>
        <v/>
      </c>
      <c r="F475" s="50"/>
      <c r="G475" s="50" t="str">
        <f>IF(D475="","",VLOOKUP(D475,'Product Master'!$B:$G,4,FALSE))</f>
        <v/>
      </c>
      <c r="H475" s="157" t="str">
        <f t="shared" si="15"/>
        <v/>
      </c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</row>
    <row r="476" spans="1:19" x14ac:dyDescent="0.25">
      <c r="A476" s="155"/>
      <c r="B476" s="72" t="str">
        <f t="shared" si="14"/>
        <v>PUR0475</v>
      </c>
      <c r="C476" s="50"/>
      <c r="D476" s="50"/>
      <c r="E476" s="50" t="str">
        <f>IF(D476="","",VLOOKUP(D476,'Product Master'!$B:$G,3,FALSE))</f>
        <v/>
      </c>
      <c r="F476" s="50"/>
      <c r="G476" s="50" t="str">
        <f>IF(D476="","",VLOOKUP(D476,'Product Master'!$B:$G,4,FALSE))</f>
        <v/>
      </c>
      <c r="H476" s="157" t="str">
        <f t="shared" si="15"/>
        <v/>
      </c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</row>
    <row r="477" spans="1:19" x14ac:dyDescent="0.25">
      <c r="A477" s="155"/>
      <c r="B477" s="72" t="str">
        <f t="shared" si="14"/>
        <v>PUR0476</v>
      </c>
      <c r="C477" s="50"/>
      <c r="D477" s="50"/>
      <c r="E477" s="50" t="str">
        <f>IF(D477="","",VLOOKUP(D477,'Product Master'!$B:$G,3,FALSE))</f>
        <v/>
      </c>
      <c r="F477" s="50"/>
      <c r="G477" s="50" t="str">
        <f>IF(D477="","",VLOOKUP(D477,'Product Master'!$B:$G,4,FALSE))</f>
        <v/>
      </c>
      <c r="H477" s="157" t="str">
        <f t="shared" si="15"/>
        <v/>
      </c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</row>
    <row r="478" spans="1:19" x14ac:dyDescent="0.25">
      <c r="A478" s="155"/>
      <c r="B478" s="72" t="str">
        <f t="shared" si="14"/>
        <v>PUR0477</v>
      </c>
      <c r="C478" s="50"/>
      <c r="D478" s="50"/>
      <c r="E478" s="50" t="str">
        <f>IF(D478="","",VLOOKUP(D478,'Product Master'!$B:$G,3,FALSE))</f>
        <v/>
      </c>
      <c r="F478" s="50"/>
      <c r="G478" s="50" t="str">
        <f>IF(D478="","",VLOOKUP(D478,'Product Master'!$B:$G,4,FALSE))</f>
        <v/>
      </c>
      <c r="H478" s="157" t="str">
        <f t="shared" si="15"/>
        <v/>
      </c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</row>
    <row r="479" spans="1:19" x14ac:dyDescent="0.25">
      <c r="A479" s="155"/>
      <c r="B479" s="72" t="str">
        <f t="shared" si="14"/>
        <v>PUR0478</v>
      </c>
      <c r="C479" s="50"/>
      <c r="D479" s="50"/>
      <c r="E479" s="50" t="str">
        <f>IF(D479="","",VLOOKUP(D479,'Product Master'!$B:$G,3,FALSE))</f>
        <v/>
      </c>
      <c r="F479" s="50"/>
      <c r="G479" s="50" t="str">
        <f>IF(D479="","",VLOOKUP(D479,'Product Master'!$B:$G,4,FALSE))</f>
        <v/>
      </c>
      <c r="H479" s="157" t="str">
        <f t="shared" si="15"/>
        <v/>
      </c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</row>
    <row r="480" spans="1:19" x14ac:dyDescent="0.25">
      <c r="A480" s="155"/>
      <c r="B480" s="72" t="str">
        <f t="shared" si="14"/>
        <v>PUR0479</v>
      </c>
      <c r="C480" s="50"/>
      <c r="D480" s="50"/>
      <c r="E480" s="50" t="str">
        <f>IF(D480="","",VLOOKUP(D480,'Product Master'!$B:$G,3,FALSE))</f>
        <v/>
      </c>
      <c r="F480" s="50"/>
      <c r="G480" s="50" t="str">
        <f>IF(D480="","",VLOOKUP(D480,'Product Master'!$B:$G,4,FALSE))</f>
        <v/>
      </c>
      <c r="H480" s="157" t="str">
        <f t="shared" si="15"/>
        <v/>
      </c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</row>
    <row r="481" spans="1:19" x14ac:dyDescent="0.25">
      <c r="A481" s="155"/>
      <c r="B481" s="72" t="str">
        <f t="shared" ref="B481:B502" si="16">"PUR"&amp;TEXT(ROW()-1,"0000")</f>
        <v>PUR0480</v>
      </c>
      <c r="C481" s="50"/>
      <c r="D481" s="50"/>
      <c r="E481" s="50" t="str">
        <f>IF(D481="","",VLOOKUP(D481,'Product Master'!$B:$G,3,FALSE))</f>
        <v/>
      </c>
      <c r="F481" s="50"/>
      <c r="G481" s="50" t="str">
        <f>IF(D481="","",VLOOKUP(D481,'Product Master'!$B:$G,4,FALSE))</f>
        <v/>
      </c>
      <c r="H481" s="157" t="str">
        <f t="shared" ref="H481:H502" si="17">IF(OR(F481="",G481=""),"",F481*G481)</f>
        <v/>
      </c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</row>
    <row r="482" spans="1:19" x14ac:dyDescent="0.25">
      <c r="A482" s="155"/>
      <c r="B482" s="72" t="str">
        <f t="shared" si="16"/>
        <v>PUR0481</v>
      </c>
      <c r="C482" s="50"/>
      <c r="D482" s="50"/>
      <c r="E482" s="50" t="str">
        <f>IF(D482="","",VLOOKUP(D482,'Product Master'!$B:$G,3,FALSE))</f>
        <v/>
      </c>
      <c r="F482" s="50"/>
      <c r="G482" s="50" t="str">
        <f>IF(D482="","",VLOOKUP(D482,'Product Master'!$B:$G,4,FALSE))</f>
        <v/>
      </c>
      <c r="H482" s="157" t="str">
        <f t="shared" si="17"/>
        <v/>
      </c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</row>
    <row r="483" spans="1:19" x14ac:dyDescent="0.25">
      <c r="A483" s="155"/>
      <c r="B483" s="72" t="str">
        <f t="shared" si="16"/>
        <v>PUR0482</v>
      </c>
      <c r="C483" s="50"/>
      <c r="D483" s="50"/>
      <c r="E483" s="50" t="str">
        <f>IF(D483="","",VLOOKUP(D483,'Product Master'!$B:$G,3,FALSE))</f>
        <v/>
      </c>
      <c r="F483" s="50"/>
      <c r="G483" s="50" t="str">
        <f>IF(D483="","",VLOOKUP(D483,'Product Master'!$B:$G,4,FALSE))</f>
        <v/>
      </c>
      <c r="H483" s="157" t="str">
        <f t="shared" si="17"/>
        <v/>
      </c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</row>
    <row r="484" spans="1:19" x14ac:dyDescent="0.25">
      <c r="A484" s="155"/>
      <c r="B484" s="72" t="str">
        <f t="shared" si="16"/>
        <v>PUR0483</v>
      </c>
      <c r="C484" s="50"/>
      <c r="D484" s="50"/>
      <c r="E484" s="50" t="str">
        <f>IF(D484="","",VLOOKUP(D484,'Product Master'!$B:$G,3,FALSE))</f>
        <v/>
      </c>
      <c r="F484" s="50"/>
      <c r="G484" s="50" t="str">
        <f>IF(D484="","",VLOOKUP(D484,'Product Master'!$B:$G,4,FALSE))</f>
        <v/>
      </c>
      <c r="H484" s="157" t="str">
        <f t="shared" si="17"/>
        <v/>
      </c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</row>
    <row r="485" spans="1:19" x14ac:dyDescent="0.25">
      <c r="A485" s="155"/>
      <c r="B485" s="72" t="str">
        <f t="shared" si="16"/>
        <v>PUR0484</v>
      </c>
      <c r="C485" s="50"/>
      <c r="D485" s="50"/>
      <c r="E485" s="50" t="str">
        <f>IF(D485="","",VLOOKUP(D485,'Product Master'!$B:$G,3,FALSE))</f>
        <v/>
      </c>
      <c r="F485" s="50"/>
      <c r="G485" s="50" t="str">
        <f>IF(D485="","",VLOOKUP(D485,'Product Master'!$B:$G,4,FALSE))</f>
        <v/>
      </c>
      <c r="H485" s="157" t="str">
        <f t="shared" si="17"/>
        <v/>
      </c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</row>
    <row r="486" spans="1:19" x14ac:dyDescent="0.25">
      <c r="A486" s="155"/>
      <c r="B486" s="72" t="str">
        <f t="shared" si="16"/>
        <v>PUR0485</v>
      </c>
      <c r="C486" s="50"/>
      <c r="D486" s="50"/>
      <c r="E486" s="50" t="str">
        <f>IF(D486="","",VLOOKUP(D486,'Product Master'!$B:$G,3,FALSE))</f>
        <v/>
      </c>
      <c r="F486" s="50"/>
      <c r="G486" s="50" t="str">
        <f>IF(D486="","",VLOOKUP(D486,'Product Master'!$B:$G,4,FALSE))</f>
        <v/>
      </c>
      <c r="H486" s="157" t="str">
        <f t="shared" si="17"/>
        <v/>
      </c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</row>
    <row r="487" spans="1:19" x14ac:dyDescent="0.25">
      <c r="A487" s="155"/>
      <c r="B487" s="72" t="str">
        <f t="shared" si="16"/>
        <v>PUR0486</v>
      </c>
      <c r="C487" s="50"/>
      <c r="D487" s="50"/>
      <c r="E487" s="50" t="str">
        <f>IF(D487="","",VLOOKUP(D487,'Product Master'!$B:$G,3,FALSE))</f>
        <v/>
      </c>
      <c r="F487" s="50"/>
      <c r="G487" s="50" t="str">
        <f>IF(D487="","",VLOOKUP(D487,'Product Master'!$B:$G,4,FALSE))</f>
        <v/>
      </c>
      <c r="H487" s="157" t="str">
        <f t="shared" si="17"/>
        <v/>
      </c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</row>
    <row r="488" spans="1:19" x14ac:dyDescent="0.25">
      <c r="A488" s="155"/>
      <c r="B488" s="72" t="str">
        <f t="shared" si="16"/>
        <v>PUR0487</v>
      </c>
      <c r="C488" s="50"/>
      <c r="D488" s="50"/>
      <c r="E488" s="50" t="str">
        <f>IF(D488="","",VLOOKUP(D488,'Product Master'!$B:$G,3,FALSE))</f>
        <v/>
      </c>
      <c r="F488" s="50"/>
      <c r="G488" s="50" t="str">
        <f>IF(D488="","",VLOOKUP(D488,'Product Master'!$B:$G,4,FALSE))</f>
        <v/>
      </c>
      <c r="H488" s="157" t="str">
        <f t="shared" si="17"/>
        <v/>
      </c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</row>
    <row r="489" spans="1:19" x14ac:dyDescent="0.25">
      <c r="A489" s="155"/>
      <c r="B489" s="72" t="str">
        <f t="shared" si="16"/>
        <v>PUR0488</v>
      </c>
      <c r="C489" s="50"/>
      <c r="D489" s="50"/>
      <c r="E489" s="50" t="str">
        <f>IF(D489="","",VLOOKUP(D489,'Product Master'!$B:$G,3,FALSE))</f>
        <v/>
      </c>
      <c r="F489" s="50"/>
      <c r="G489" s="50" t="str">
        <f>IF(D489="","",VLOOKUP(D489,'Product Master'!$B:$G,4,FALSE))</f>
        <v/>
      </c>
      <c r="H489" s="157" t="str">
        <f t="shared" si="17"/>
        <v/>
      </c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</row>
    <row r="490" spans="1:19" x14ac:dyDescent="0.25">
      <c r="A490" s="155"/>
      <c r="B490" s="72" t="str">
        <f t="shared" si="16"/>
        <v>PUR0489</v>
      </c>
      <c r="C490" s="50"/>
      <c r="D490" s="50"/>
      <c r="E490" s="50" t="str">
        <f>IF(D490="","",VLOOKUP(D490,'Product Master'!$B:$G,3,FALSE))</f>
        <v/>
      </c>
      <c r="F490" s="50"/>
      <c r="G490" s="50" t="str">
        <f>IF(D490="","",VLOOKUP(D490,'Product Master'!$B:$G,4,FALSE))</f>
        <v/>
      </c>
      <c r="H490" s="157" t="str">
        <f t="shared" si="17"/>
        <v/>
      </c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</row>
    <row r="491" spans="1:19" x14ac:dyDescent="0.25">
      <c r="A491" s="155"/>
      <c r="B491" s="72" t="str">
        <f t="shared" si="16"/>
        <v>PUR0490</v>
      </c>
      <c r="C491" s="50"/>
      <c r="D491" s="50"/>
      <c r="E491" s="50" t="str">
        <f>IF(D491="","",VLOOKUP(D491,'Product Master'!$B:$G,3,FALSE))</f>
        <v/>
      </c>
      <c r="F491" s="50"/>
      <c r="G491" s="50" t="str">
        <f>IF(D491="","",VLOOKUP(D491,'Product Master'!$B:$G,4,FALSE))</f>
        <v/>
      </c>
      <c r="H491" s="157" t="str">
        <f t="shared" si="17"/>
        <v/>
      </c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</row>
    <row r="492" spans="1:19" x14ac:dyDescent="0.25">
      <c r="A492" s="155"/>
      <c r="B492" s="72" t="str">
        <f t="shared" si="16"/>
        <v>PUR0491</v>
      </c>
      <c r="C492" s="50"/>
      <c r="D492" s="50"/>
      <c r="E492" s="50" t="str">
        <f>IF(D492="","",VLOOKUP(D492,'Product Master'!$B:$G,3,FALSE))</f>
        <v/>
      </c>
      <c r="F492" s="50"/>
      <c r="G492" s="50" t="str">
        <f>IF(D492="","",VLOOKUP(D492,'Product Master'!$B:$G,4,FALSE))</f>
        <v/>
      </c>
      <c r="H492" s="157" t="str">
        <f t="shared" si="17"/>
        <v/>
      </c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</row>
    <row r="493" spans="1:19" x14ac:dyDescent="0.25">
      <c r="A493" s="155"/>
      <c r="B493" s="72" t="str">
        <f t="shared" si="16"/>
        <v>PUR0492</v>
      </c>
      <c r="C493" s="50"/>
      <c r="D493" s="50"/>
      <c r="E493" s="50" t="str">
        <f>IF(D493="","",VLOOKUP(D493,'Product Master'!$B:$G,3,FALSE))</f>
        <v/>
      </c>
      <c r="F493" s="50"/>
      <c r="G493" s="50" t="str">
        <f>IF(D493="","",VLOOKUP(D493,'Product Master'!$B:$G,4,FALSE))</f>
        <v/>
      </c>
      <c r="H493" s="157" t="str">
        <f t="shared" si="17"/>
        <v/>
      </c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</row>
    <row r="494" spans="1:19" x14ac:dyDescent="0.25">
      <c r="A494" s="155"/>
      <c r="B494" s="72" t="str">
        <f t="shared" si="16"/>
        <v>PUR0493</v>
      </c>
      <c r="C494" s="50"/>
      <c r="D494" s="50"/>
      <c r="E494" s="50" t="str">
        <f>IF(D494="","",VLOOKUP(D494,'Product Master'!$B:$G,3,FALSE))</f>
        <v/>
      </c>
      <c r="F494" s="50"/>
      <c r="G494" s="50" t="str">
        <f>IF(D494="","",VLOOKUP(D494,'Product Master'!$B:$G,4,FALSE))</f>
        <v/>
      </c>
      <c r="H494" s="157" t="str">
        <f t="shared" si="17"/>
        <v/>
      </c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</row>
    <row r="495" spans="1:19" x14ac:dyDescent="0.25">
      <c r="A495" s="155"/>
      <c r="B495" s="72" t="str">
        <f t="shared" si="16"/>
        <v>PUR0494</v>
      </c>
      <c r="C495" s="50"/>
      <c r="D495" s="50"/>
      <c r="E495" s="50" t="str">
        <f>IF(D495="","",VLOOKUP(D495,'Product Master'!$B:$G,3,FALSE))</f>
        <v/>
      </c>
      <c r="F495" s="50"/>
      <c r="G495" s="50" t="str">
        <f>IF(D495="","",VLOOKUP(D495,'Product Master'!$B:$G,4,FALSE))</f>
        <v/>
      </c>
      <c r="H495" s="157" t="str">
        <f t="shared" si="17"/>
        <v/>
      </c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</row>
    <row r="496" spans="1:19" x14ac:dyDescent="0.25">
      <c r="A496" s="155"/>
      <c r="B496" s="72" t="str">
        <f t="shared" si="16"/>
        <v>PUR0495</v>
      </c>
      <c r="C496" s="50"/>
      <c r="D496" s="50"/>
      <c r="E496" s="50" t="str">
        <f>IF(D496="","",VLOOKUP(D496,'Product Master'!$B:$G,3,FALSE))</f>
        <v/>
      </c>
      <c r="F496" s="50"/>
      <c r="G496" s="50" t="str">
        <f>IF(D496="","",VLOOKUP(D496,'Product Master'!$B:$G,4,FALSE))</f>
        <v/>
      </c>
      <c r="H496" s="157" t="str">
        <f t="shared" si="17"/>
        <v/>
      </c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</row>
    <row r="497" spans="1:19" x14ac:dyDescent="0.25">
      <c r="A497" s="155"/>
      <c r="B497" s="72" t="str">
        <f t="shared" si="16"/>
        <v>PUR0496</v>
      </c>
      <c r="C497" s="50"/>
      <c r="D497" s="50"/>
      <c r="E497" s="50" t="str">
        <f>IF(D497="","",VLOOKUP(D497,'Product Master'!$B:$G,3,FALSE))</f>
        <v/>
      </c>
      <c r="F497" s="50"/>
      <c r="G497" s="50" t="str">
        <f>IF(D497="","",VLOOKUP(D497,'Product Master'!$B:$G,4,FALSE))</f>
        <v/>
      </c>
      <c r="H497" s="157" t="str">
        <f t="shared" si="17"/>
        <v/>
      </c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</row>
    <row r="498" spans="1:19" x14ac:dyDescent="0.25">
      <c r="A498" s="155"/>
      <c r="B498" s="72" t="str">
        <f t="shared" si="16"/>
        <v>PUR0497</v>
      </c>
      <c r="C498" s="50"/>
      <c r="D498" s="50"/>
      <c r="E498" s="50" t="str">
        <f>IF(D498="","",VLOOKUP(D498,'Product Master'!$B:$G,3,FALSE))</f>
        <v/>
      </c>
      <c r="F498" s="50"/>
      <c r="G498" s="50" t="str">
        <f>IF(D498="","",VLOOKUP(D498,'Product Master'!$B:$G,4,FALSE))</f>
        <v/>
      </c>
      <c r="H498" s="157" t="str">
        <f t="shared" si="17"/>
        <v/>
      </c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</row>
    <row r="499" spans="1:19" x14ac:dyDescent="0.25">
      <c r="A499" s="155"/>
      <c r="B499" s="72" t="str">
        <f t="shared" si="16"/>
        <v>PUR0498</v>
      </c>
      <c r="C499" s="50"/>
      <c r="D499" s="50"/>
      <c r="E499" s="50" t="str">
        <f>IF(D499="","",VLOOKUP(D499,'Product Master'!$B:$G,3,FALSE))</f>
        <v/>
      </c>
      <c r="F499" s="50"/>
      <c r="G499" s="50" t="str">
        <f>IF(D499="","",VLOOKUP(D499,'Product Master'!$B:$G,4,FALSE))</f>
        <v/>
      </c>
      <c r="H499" s="157" t="str">
        <f t="shared" si="17"/>
        <v/>
      </c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</row>
    <row r="500" spans="1:19" x14ac:dyDescent="0.25">
      <c r="A500" s="155"/>
      <c r="B500" s="72" t="str">
        <f t="shared" si="16"/>
        <v>PUR0499</v>
      </c>
      <c r="C500" s="50"/>
      <c r="D500" s="50"/>
      <c r="E500" s="50" t="str">
        <f>IF(D500="","",VLOOKUP(D500,'Product Master'!$B:$G,3,FALSE))</f>
        <v/>
      </c>
      <c r="F500" s="50"/>
      <c r="G500" s="50" t="str">
        <f>IF(D500="","",VLOOKUP(D500,'Product Master'!$B:$G,4,FALSE))</f>
        <v/>
      </c>
      <c r="H500" s="157" t="str">
        <f t="shared" si="17"/>
        <v/>
      </c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</row>
    <row r="501" spans="1:19" x14ac:dyDescent="0.25">
      <c r="A501" s="155"/>
      <c r="B501" s="72" t="str">
        <f t="shared" si="16"/>
        <v>PUR0500</v>
      </c>
      <c r="C501" s="50"/>
      <c r="D501" s="50"/>
      <c r="E501" s="50" t="str">
        <f>IF(D501="","",VLOOKUP(D501,'Product Master'!$B:$G,3,FALSE))</f>
        <v/>
      </c>
      <c r="F501" s="50"/>
      <c r="G501" s="50" t="str">
        <f>IF(D501="","",VLOOKUP(D501,'Product Master'!$B:$G,4,FALSE))</f>
        <v/>
      </c>
      <c r="H501" s="157" t="str">
        <f t="shared" si="17"/>
        <v/>
      </c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</row>
    <row r="502" spans="1:19" x14ac:dyDescent="0.25">
      <c r="A502" s="155"/>
      <c r="B502" s="72" t="str">
        <f t="shared" si="16"/>
        <v>PUR0501</v>
      </c>
      <c r="C502" s="50"/>
      <c r="D502" s="50"/>
      <c r="E502" s="50" t="str">
        <f>IF(D502="","",VLOOKUP(D502,'Product Master'!$B:$G,3,FALSE))</f>
        <v/>
      </c>
      <c r="F502" s="50"/>
      <c r="G502" s="50" t="str">
        <f>IF(D502="","",VLOOKUP(D502,'Product Master'!$B:$G,4,FALSE))</f>
        <v/>
      </c>
      <c r="H502" s="157" t="str">
        <f t="shared" si="17"/>
        <v/>
      </c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</row>
  </sheetData>
  <dataValidations count="3">
    <dataValidation type="list" allowBlank="1" showInputMessage="1" showErrorMessage="1" sqref="C2:C502" xr:uid="{00000000-0002-0000-0400-000000000000}">
      <formula1>SupplierList</formula1>
    </dataValidation>
    <dataValidation type="list" allowBlank="1" showInputMessage="1" showErrorMessage="1" sqref="D2:D502" xr:uid="{00000000-0002-0000-0400-000001000000}">
      <formula1>ProductNames</formula1>
    </dataValidation>
    <dataValidation type="list" allowBlank="1" showInputMessage="1" showErrorMessage="1" sqref="A2:A502" xr:uid="{00000000-0002-0000-0400-000002000000}">
      <formula1>DateList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0C0"/>
  </sheetPr>
  <dimension ref="A1:X1040"/>
  <sheetViews>
    <sheetView showGridLines="0" showRowColHeaders="0" workbookViewId="0">
      <pane ySplit="1" topLeftCell="A2" activePane="bottomLeft" state="frozen"/>
      <selection pane="bottomLeft" activeCell="Q2" sqref="Q2:Q16"/>
    </sheetView>
  </sheetViews>
  <sheetFormatPr defaultRowHeight="15" x14ac:dyDescent="0.25"/>
  <cols>
    <col min="1" max="1" width="15.42578125" bestFit="1" customWidth="1"/>
    <col min="2" max="2" width="26.42578125" customWidth="1"/>
    <col min="3" max="3" width="16.140625" bestFit="1" customWidth="1"/>
    <col min="4" max="4" width="8.42578125" bestFit="1" customWidth="1"/>
    <col min="5" max="5" width="20.140625" bestFit="1" customWidth="1"/>
    <col min="6" max="6" width="21.85546875" bestFit="1" customWidth="1"/>
    <col min="7" max="7" width="26.28515625" bestFit="1" customWidth="1"/>
    <col min="8" max="8" width="14.7109375" bestFit="1" customWidth="1"/>
    <col min="9" max="9" width="24.85546875" bestFit="1" customWidth="1"/>
    <col min="10" max="10" width="14.140625" bestFit="1" customWidth="1"/>
    <col min="11" max="11" width="12.140625" bestFit="1" customWidth="1"/>
    <col min="12" max="12" width="24.7109375" bestFit="1" customWidth="1"/>
    <col min="13" max="13" width="19.140625" bestFit="1" customWidth="1"/>
    <col min="14" max="14" width="14.85546875" bestFit="1" customWidth="1"/>
    <col min="15" max="15" width="17.5703125" bestFit="1" customWidth="1"/>
    <col min="16" max="16" width="19.5703125" bestFit="1" customWidth="1"/>
    <col min="17" max="17" width="21.85546875" bestFit="1" customWidth="1"/>
    <col min="18" max="18" width="17.5703125" bestFit="1" customWidth="1"/>
    <col min="20" max="20" width="14.140625" bestFit="1" customWidth="1"/>
    <col min="21" max="21" width="12.140625" bestFit="1" customWidth="1"/>
    <col min="23" max="23" width="26.28515625" bestFit="1" customWidth="1"/>
    <col min="24" max="24" width="24.85546875" bestFit="1" customWidth="1"/>
  </cols>
  <sheetData>
    <row r="1" spans="1:24" s="11" customFormat="1" ht="23.1" customHeight="1" x14ac:dyDescent="0.3">
      <c r="A1" s="59" t="s">
        <v>0</v>
      </c>
      <c r="B1" s="60" t="s">
        <v>1</v>
      </c>
      <c r="C1" s="60" t="s">
        <v>2</v>
      </c>
      <c r="D1" s="60" t="s">
        <v>83</v>
      </c>
      <c r="E1" s="60" t="s">
        <v>611</v>
      </c>
      <c r="F1" s="60" t="s">
        <v>98</v>
      </c>
      <c r="G1" s="60" t="s">
        <v>609</v>
      </c>
      <c r="H1" s="60" t="s">
        <v>99</v>
      </c>
      <c r="I1" s="60" t="s">
        <v>610</v>
      </c>
      <c r="J1" s="60" t="s">
        <v>606</v>
      </c>
      <c r="K1" s="60" t="s">
        <v>607</v>
      </c>
      <c r="L1" s="60" t="s">
        <v>608</v>
      </c>
      <c r="M1" s="60" t="s">
        <v>1561</v>
      </c>
      <c r="N1" s="60" t="s">
        <v>4</v>
      </c>
      <c r="O1" s="60" t="s">
        <v>5</v>
      </c>
      <c r="P1" s="60" t="s">
        <v>110</v>
      </c>
      <c r="Q1" s="60" t="s">
        <v>108</v>
      </c>
      <c r="R1" s="61" t="s">
        <v>109</v>
      </c>
      <c r="S1" s="168"/>
      <c r="T1" s="168"/>
      <c r="U1" s="168"/>
      <c r="V1" s="168"/>
      <c r="W1" s="168"/>
      <c r="X1" s="168"/>
    </row>
    <row r="2" spans="1:24" x14ac:dyDescent="0.25">
      <c r="A2" s="31" t="s">
        <v>526</v>
      </c>
      <c r="B2" s="32" t="s">
        <v>393</v>
      </c>
      <c r="C2" s="50" t="str">
        <f>IF(B2="","",VLOOKUP(B2,'Product Master'!$B:$G,2,FALSE))</f>
        <v>Food</v>
      </c>
      <c r="D2" s="50" t="str">
        <f>IF(B2="","",VLOOKUP(B2,'Product Master'!$B:$G,3,FALSE))</f>
        <v>Piece</v>
      </c>
      <c r="E2" s="159">
        <v>50</v>
      </c>
      <c r="F2" s="50">
        <f>SUMIF('Stock Purchase'!$D:$D,B2,'Stock Purchase'!$F:$F)</f>
        <v>50</v>
      </c>
      <c r="G2" s="159">
        <f>SUMIFS('Stock Adjustment'!$E:$E,'Stock Adjustment'!$B:$B,$A2,'Stock Adjustment'!$D:$D,"Customer Returned")</f>
        <v>0</v>
      </c>
      <c r="H2" s="50">
        <f>SUMIF('Daily Sales Entry'!$D:$D,B2,'Daily Sales Entry'!$G:$G)</f>
        <v>16</v>
      </c>
      <c r="I2" s="159">
        <f>SUMIFS('Stock Adjustment'!$E:$E,'Stock Adjustment'!$B:$B,$A2,'Stock Adjustment'!$D:$D,"Staff Consumption")</f>
        <v>0</v>
      </c>
      <c r="J2" s="159">
        <f>SUMIFS('Stock Adjustment'!$E:$E,'Stock Adjustment'!$B:$B,$A2,'Stock Adjustment'!$D:$D,"Damaged")</f>
        <v>15</v>
      </c>
      <c r="K2" s="159">
        <f>SUMIFS('Stock Adjustment'!$E:$E,'Stock Adjustment'!$B:$B,$A2,'Stock Adjustment'!$D:$D,"Expired")</f>
        <v>0</v>
      </c>
      <c r="L2" s="159">
        <f>SUMIFS('Stock Adjustment'!$E:$E,'Stock Adjustment'!$B:$B,$A2,'Stock Adjustment'!$D:$D,"Supplier Returned")</f>
        <v>0</v>
      </c>
      <c r="M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69</v>
      </c>
      <c r="N2" s="52">
        <f>IF(B2="","",VLOOKUP(B2,'Product Master'!$B:$G,4,FALSE))</f>
        <v>700</v>
      </c>
      <c r="O2" s="79">
        <f>IF(B2="","",VLOOKUP(B2,'Product Master'!$B:$G,5,FALSE))</f>
        <v>1000</v>
      </c>
      <c r="P2" s="50">
        <f>IF(B2="","",VLOOKUP(B2,'Product Master'!$B:$I,7,FALSE))</f>
        <v>20</v>
      </c>
      <c r="Q2" s="158">
        <f>IFERROR(Table4[[#This Row],[Closing Stock]]*Table4[[#This Row],[Cost Price]],0)</f>
        <v>48300</v>
      </c>
      <c r="R2" s="58" t="str">
        <f t="shared" ref="R2:R65" si="0">IF(B2="","",IF(M2=0,"Out of Stock",IF(M2&lt;=10,"Low Stock","In Stock")))</f>
        <v>In Stock</v>
      </c>
      <c r="S2" s="25"/>
      <c r="T2" s="25"/>
      <c r="U2" s="25"/>
      <c r="V2" s="25"/>
      <c r="W2" s="25"/>
      <c r="X2" s="25"/>
    </row>
    <row r="3" spans="1:24" x14ac:dyDescent="0.25">
      <c r="A3" s="31" t="s">
        <v>527</v>
      </c>
      <c r="B3" s="32" t="s">
        <v>394</v>
      </c>
      <c r="C3" s="50" t="str">
        <f>IF(B3="","",VLOOKUP(B3,'Product Master'!$B:$G,2,FALSE))</f>
        <v>Food</v>
      </c>
      <c r="D3" s="50" t="str">
        <f>IF(B3="","",VLOOKUP(B3,'Product Master'!$B:$G,3,FALSE))</f>
        <v>Piece</v>
      </c>
      <c r="E3" s="50"/>
      <c r="F3" s="50">
        <f>SUMIF('Stock Purchase'!$D:$D,B3,'Stock Purchase'!$F:$F)</f>
        <v>50</v>
      </c>
      <c r="G3" s="50">
        <f>SUMIFS('Stock Adjustment'!$E:$E,'Stock Adjustment'!$B:$B,$A3,'Stock Adjustment'!$D:$D,"Customer Returned")</f>
        <v>0</v>
      </c>
      <c r="H3" s="50">
        <f>SUMIF('Daily Sales Entry'!$D:$D,B3,'Daily Sales Entry'!$G:$G)</f>
        <v>27</v>
      </c>
      <c r="I3" s="50">
        <f>SUMIFS('Stock Adjustment'!$E:$E,'Stock Adjustment'!$B:$B,$A3,'Stock Adjustment'!$D:$D,"Staff Consumption")</f>
        <v>2</v>
      </c>
      <c r="J3" s="50">
        <f>SUMIFS('Stock Adjustment'!$E:$E,'Stock Adjustment'!$B:$B,$A3,'Stock Adjustment'!$D:$D,"Damaged")</f>
        <v>0</v>
      </c>
      <c r="K3" s="50">
        <f>SUMIFS('Stock Adjustment'!$E:$E,'Stock Adjustment'!$B:$B,$A3,'Stock Adjustment'!$D:$D,"Expired")</f>
        <v>0</v>
      </c>
      <c r="L3" s="50">
        <f>SUMIFS('Stock Adjustment'!$E:$E,'Stock Adjustment'!$B:$B,$A3,'Stock Adjustment'!$D:$D,"Supplier Returned")</f>
        <v>0</v>
      </c>
      <c r="M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21</v>
      </c>
      <c r="N3" s="53">
        <f>IF(B3="","",VLOOKUP(B3,'Product Master'!$B:$G,4,FALSE))</f>
        <v>900</v>
      </c>
      <c r="O3" s="53">
        <f>IF(B3="","",VLOOKUP(B3,'Product Master'!$B:$G,5,FALSE))</f>
        <v>1200</v>
      </c>
      <c r="P3" s="50">
        <f>IF(B3="","",VLOOKUP(B3,'Product Master'!$B:$I,7,FALSE))</f>
        <v>20</v>
      </c>
      <c r="Q3" s="158">
        <f>IFERROR(Table4[[#This Row],[Closing Stock]]*Table4[[#This Row],[Cost Price]],0)</f>
        <v>18900</v>
      </c>
      <c r="R3" s="58" t="str">
        <f t="shared" si="0"/>
        <v>In Stock</v>
      </c>
      <c r="S3" s="25"/>
      <c r="T3" s="25"/>
      <c r="U3" s="25"/>
      <c r="V3" s="25"/>
      <c r="W3" s="25"/>
      <c r="X3" s="25"/>
    </row>
    <row r="4" spans="1:24" x14ac:dyDescent="0.25">
      <c r="A4" s="31" t="s">
        <v>528</v>
      </c>
      <c r="B4" s="32" t="s">
        <v>395</v>
      </c>
      <c r="C4" s="50" t="str">
        <f>IF(B4="","",VLOOKUP(B4,'Product Master'!$B:$G,2,FALSE))</f>
        <v>Food</v>
      </c>
      <c r="D4" s="50" t="str">
        <f>IF(B4="","",VLOOKUP(B4,'Product Master'!$B:$G,3,FALSE))</f>
        <v>Piece</v>
      </c>
      <c r="E4" s="50"/>
      <c r="F4" s="50">
        <f>SUMIF('Stock Purchase'!$D:$D,B4,'Stock Purchase'!$F:$F)</f>
        <v>50</v>
      </c>
      <c r="G4" s="50">
        <f>SUMIFS('Stock Adjustment'!$E:$E,'Stock Adjustment'!$B:$B,$A4,'Stock Adjustment'!$D:$D,"Customer Returned")</f>
        <v>0</v>
      </c>
      <c r="H4" s="50">
        <f>SUMIF('Daily Sales Entry'!$D:$D,B4,'Daily Sales Entry'!$G:$G)</f>
        <v>8</v>
      </c>
      <c r="I4" s="50">
        <f>SUMIFS('Stock Adjustment'!$E:$E,'Stock Adjustment'!$B:$B,$A4,'Stock Adjustment'!$D:$D,"Staff Consumption")</f>
        <v>0</v>
      </c>
      <c r="J4" s="50">
        <f>SUMIFS('Stock Adjustment'!$E:$E,'Stock Adjustment'!$B:$B,$A4,'Stock Adjustment'!$D:$D,"Damaged")</f>
        <v>0</v>
      </c>
      <c r="K4" s="50">
        <f>SUMIFS('Stock Adjustment'!$E:$E,'Stock Adjustment'!$B:$B,$A4,'Stock Adjustment'!$D:$D,"Expired")</f>
        <v>0</v>
      </c>
      <c r="L4" s="50">
        <f>SUMIFS('Stock Adjustment'!$E:$E,'Stock Adjustment'!$B:$B,$A4,'Stock Adjustment'!$D:$D,"Supplier Returned")</f>
        <v>0</v>
      </c>
      <c r="M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42</v>
      </c>
      <c r="N4" s="53">
        <f>IF(B4="","",VLOOKUP(B4,'Product Master'!$B:$G,4,FALSE))</f>
        <v>1200</v>
      </c>
      <c r="O4" s="53">
        <f>IF(B4="","",VLOOKUP(B4,'Product Master'!$B:$G,5,FALSE))</f>
        <v>1500</v>
      </c>
      <c r="P4" s="50">
        <f>IF(B4="","",VLOOKUP(B4,'Product Master'!$B:$I,7,FALSE))</f>
        <v>20</v>
      </c>
      <c r="Q4" s="158">
        <f>IFERROR(Table4[[#This Row],[Closing Stock]]*Table4[[#This Row],[Cost Price]],0)</f>
        <v>50400</v>
      </c>
      <c r="R4" s="58" t="str">
        <f t="shared" si="0"/>
        <v>In Stock</v>
      </c>
      <c r="S4" s="25"/>
      <c r="T4" s="25"/>
      <c r="U4" s="25"/>
      <c r="V4" s="25"/>
      <c r="W4" s="25"/>
      <c r="X4" s="25"/>
    </row>
    <row r="5" spans="1:24" x14ac:dyDescent="0.25">
      <c r="A5" s="31" t="s">
        <v>529</v>
      </c>
      <c r="B5" s="32" t="s">
        <v>396</v>
      </c>
      <c r="C5" s="50" t="str">
        <f>IF(B5="","",VLOOKUP(B5,'Product Master'!$B:$G,2,FALSE))</f>
        <v>Food</v>
      </c>
      <c r="D5" s="50" t="str">
        <f>IF(B5="","",VLOOKUP(B5,'Product Master'!$B:$G,3,FALSE))</f>
        <v>Piece</v>
      </c>
      <c r="E5" s="50"/>
      <c r="F5" s="50">
        <f>SUMIF('Stock Purchase'!$D:$D,B5,'Stock Purchase'!$F:$F)</f>
        <v>50</v>
      </c>
      <c r="G5" s="50">
        <f>SUMIFS('Stock Adjustment'!$E:$E,'Stock Adjustment'!$B:$B,$A5,'Stock Adjustment'!$D:$D,"Customer Returned")</f>
        <v>0</v>
      </c>
      <c r="H5" s="50">
        <f>SUMIF('Daily Sales Entry'!$D:$D,B5,'Daily Sales Entry'!$G:$G)</f>
        <v>7</v>
      </c>
      <c r="I5" s="50">
        <f>SUMIFS('Stock Adjustment'!$E:$E,'Stock Adjustment'!$B:$B,$A5,'Stock Adjustment'!$D:$D,"Staff Consumption")</f>
        <v>0</v>
      </c>
      <c r="J5" s="50">
        <f>SUMIFS('Stock Adjustment'!$E:$E,'Stock Adjustment'!$B:$B,$A5,'Stock Adjustment'!$D:$D,"Damaged")</f>
        <v>0</v>
      </c>
      <c r="K5" s="50">
        <f>SUMIFS('Stock Adjustment'!$E:$E,'Stock Adjustment'!$B:$B,$A5,'Stock Adjustment'!$D:$D,"Expired")</f>
        <v>0</v>
      </c>
      <c r="L5" s="50">
        <f>SUMIFS('Stock Adjustment'!$E:$E,'Stock Adjustment'!$B:$B,$A5,'Stock Adjustment'!$D:$D,"Supplier Returned")</f>
        <v>0</v>
      </c>
      <c r="M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43</v>
      </c>
      <c r="N5" s="53">
        <f>IF(B5="","",VLOOKUP(B5,'Product Master'!$B:$G,4,FALSE))</f>
        <v>400</v>
      </c>
      <c r="O5" s="53">
        <f>IF(B5="","",VLOOKUP(B5,'Product Master'!$B:$G,5,FALSE))</f>
        <v>700</v>
      </c>
      <c r="P5" s="50">
        <f>IF(B5="","",VLOOKUP(B5,'Product Master'!$B:$I,7,FALSE))</f>
        <v>20</v>
      </c>
      <c r="Q5" s="158">
        <f>IFERROR(Table4[[#This Row],[Closing Stock]]*Table4[[#This Row],[Cost Price]],0)</f>
        <v>17200</v>
      </c>
      <c r="R5" s="58" t="str">
        <f t="shared" si="0"/>
        <v>In Stock</v>
      </c>
      <c r="S5" s="25"/>
      <c r="T5" s="25"/>
      <c r="U5" s="25"/>
      <c r="V5" s="25"/>
      <c r="W5" s="25"/>
      <c r="X5" s="25"/>
    </row>
    <row r="6" spans="1:24" x14ac:dyDescent="0.25">
      <c r="A6" s="31" t="s">
        <v>530</v>
      </c>
      <c r="B6" s="32" t="s">
        <v>397</v>
      </c>
      <c r="C6" s="50" t="str">
        <f>IF(B6="","",VLOOKUP(B6,'Product Master'!$B:$G,2,FALSE))</f>
        <v>Food</v>
      </c>
      <c r="D6" s="50" t="str">
        <f>IF(B6="","",VLOOKUP(B6,'Product Master'!$B:$G,3,FALSE))</f>
        <v>Piece</v>
      </c>
      <c r="E6" s="50"/>
      <c r="F6" s="50">
        <f>SUMIF('Stock Purchase'!$D:$D,B6,'Stock Purchase'!$F:$F)</f>
        <v>50</v>
      </c>
      <c r="G6" s="50">
        <f>SUMIFS('Stock Adjustment'!$E:$E,'Stock Adjustment'!$B:$B,$A6,'Stock Adjustment'!$D:$D,"Customer Returned")</f>
        <v>0</v>
      </c>
      <c r="H6" s="50">
        <f>SUMIF('Daily Sales Entry'!$D:$D,B6,'Daily Sales Entry'!$G:$G)</f>
        <v>3</v>
      </c>
      <c r="I6" s="50">
        <f>SUMIFS('Stock Adjustment'!$E:$E,'Stock Adjustment'!$B:$B,$A6,'Stock Adjustment'!$D:$D,"Staff Consumption")</f>
        <v>0</v>
      </c>
      <c r="J6" s="50">
        <f>SUMIFS('Stock Adjustment'!$E:$E,'Stock Adjustment'!$B:$B,$A6,'Stock Adjustment'!$D:$D,"Damaged")</f>
        <v>0</v>
      </c>
      <c r="K6" s="50">
        <f>SUMIFS('Stock Adjustment'!$E:$E,'Stock Adjustment'!$B:$B,$A6,'Stock Adjustment'!$D:$D,"Expired")</f>
        <v>0</v>
      </c>
      <c r="L6" s="50">
        <f>SUMIFS('Stock Adjustment'!$E:$E,'Stock Adjustment'!$B:$B,$A6,'Stock Adjustment'!$D:$D,"Supplier Returned")</f>
        <v>0</v>
      </c>
      <c r="M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47</v>
      </c>
      <c r="N6" s="53">
        <f>IF(B6="","",VLOOKUP(B6,'Product Master'!$B:$G,4,FALSE))</f>
        <v>200</v>
      </c>
      <c r="O6" s="53">
        <f>IF(B6="","",VLOOKUP(B6,'Product Master'!$B:$G,5,FALSE))</f>
        <v>500</v>
      </c>
      <c r="P6" s="50">
        <f>IF(B6="","",VLOOKUP(B6,'Product Master'!$B:$I,7,FALSE))</f>
        <v>20</v>
      </c>
      <c r="Q6" s="158">
        <f>IFERROR(Table4[[#This Row],[Closing Stock]]*Table4[[#This Row],[Cost Price]],0)</f>
        <v>9400</v>
      </c>
      <c r="R6" s="58" t="str">
        <f t="shared" si="0"/>
        <v>In Stock</v>
      </c>
      <c r="S6" s="25"/>
      <c r="T6" s="25"/>
      <c r="U6" s="25"/>
      <c r="V6" s="25"/>
      <c r="W6" s="25"/>
      <c r="X6" s="25"/>
    </row>
    <row r="7" spans="1:24" x14ac:dyDescent="0.25">
      <c r="A7" s="31" t="s">
        <v>535</v>
      </c>
      <c r="B7" s="32" t="s">
        <v>398</v>
      </c>
      <c r="C7" s="50" t="str">
        <f>IF(B7="","",VLOOKUP(B7,'Product Master'!$B:$G,2,FALSE))</f>
        <v>Food</v>
      </c>
      <c r="D7" s="50" t="str">
        <f>IF(B7="","",VLOOKUP(B7,'Product Master'!$B:$G,3,FALSE))</f>
        <v>Piece</v>
      </c>
      <c r="E7" s="50"/>
      <c r="F7" s="50">
        <f>SUMIF('Stock Purchase'!$D:$D,B7,'Stock Purchase'!$F:$F)</f>
        <v>50</v>
      </c>
      <c r="G7" s="50">
        <f>SUMIFS('Stock Adjustment'!$E:$E,'Stock Adjustment'!$B:$B,$A7,'Stock Adjustment'!$D:$D,"Customer Returned")</f>
        <v>0</v>
      </c>
      <c r="H7" s="50">
        <f>SUMIF('Daily Sales Entry'!$D:$D,B7,'Daily Sales Entry'!$G:$G)</f>
        <v>19</v>
      </c>
      <c r="I7" s="50">
        <f>SUMIFS('Stock Adjustment'!$E:$E,'Stock Adjustment'!$B:$B,$A7,'Stock Adjustment'!$D:$D,"Staff Consumption")</f>
        <v>0</v>
      </c>
      <c r="J7" s="50">
        <f>SUMIFS('Stock Adjustment'!$E:$E,'Stock Adjustment'!$B:$B,$A7,'Stock Adjustment'!$D:$D,"Damaged")</f>
        <v>0</v>
      </c>
      <c r="K7" s="50">
        <f>SUMIFS('Stock Adjustment'!$E:$E,'Stock Adjustment'!$B:$B,$A7,'Stock Adjustment'!$D:$D,"Expired")</f>
        <v>0</v>
      </c>
      <c r="L7" s="50">
        <f>SUMIFS('Stock Adjustment'!$E:$E,'Stock Adjustment'!$B:$B,$A7,'Stock Adjustment'!$D:$D,"Supplier Returned")</f>
        <v>0</v>
      </c>
      <c r="M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31</v>
      </c>
      <c r="N7" s="53">
        <f>IF(B7="","",VLOOKUP(B7,'Product Master'!$B:$G,4,FALSE))</f>
        <v>500</v>
      </c>
      <c r="O7" s="53">
        <f>IF(B7="","",VLOOKUP(B7,'Product Master'!$B:$G,5,FALSE))</f>
        <v>800</v>
      </c>
      <c r="P7" s="50">
        <f>IF(B7="","",VLOOKUP(B7,'Product Master'!$B:$I,7,FALSE))</f>
        <v>20</v>
      </c>
      <c r="Q7" s="158">
        <f>IFERROR(Table4[[#This Row],[Closing Stock]]*Table4[[#This Row],[Cost Price]],0)</f>
        <v>15500</v>
      </c>
      <c r="R7" s="58" t="str">
        <f t="shared" si="0"/>
        <v>In Stock</v>
      </c>
      <c r="S7" s="25"/>
      <c r="T7" s="25"/>
      <c r="U7" s="25"/>
      <c r="V7" s="25"/>
      <c r="W7" s="25"/>
      <c r="X7" s="25"/>
    </row>
    <row r="8" spans="1:24" x14ac:dyDescent="0.25">
      <c r="A8" s="31" t="s">
        <v>555</v>
      </c>
      <c r="B8" s="32" t="s">
        <v>399</v>
      </c>
      <c r="C8" s="50" t="str">
        <f>IF(B8="","",VLOOKUP(B8,'Product Master'!$B:$G,2,FALSE))</f>
        <v>Snacks</v>
      </c>
      <c r="D8" s="50" t="str">
        <f>IF(B8="","",VLOOKUP(B8,'Product Master'!$B:$G,3,FALSE))</f>
        <v>Piece</v>
      </c>
      <c r="E8" s="50"/>
      <c r="F8" s="50">
        <f>SUMIF('Stock Purchase'!$D:$D,B8,'Stock Purchase'!$F:$F)</f>
        <v>50</v>
      </c>
      <c r="G8" s="50">
        <f>SUMIFS('Stock Adjustment'!$E:$E,'Stock Adjustment'!$B:$B,$A8,'Stock Adjustment'!$D:$D,"Customer Returned")</f>
        <v>0</v>
      </c>
      <c r="H8" s="50">
        <f>SUMIF('Daily Sales Entry'!$D:$D,B8,'Daily Sales Entry'!$G:$G)</f>
        <v>3</v>
      </c>
      <c r="I8" s="50">
        <f>SUMIFS('Stock Adjustment'!$E:$E,'Stock Adjustment'!$B:$B,$A8,'Stock Adjustment'!$D:$D,"Staff Consumption")</f>
        <v>0</v>
      </c>
      <c r="J8" s="50">
        <f>SUMIFS('Stock Adjustment'!$E:$E,'Stock Adjustment'!$B:$B,$A8,'Stock Adjustment'!$D:$D,"Damaged")</f>
        <v>0</v>
      </c>
      <c r="K8" s="50">
        <f>SUMIFS('Stock Adjustment'!$E:$E,'Stock Adjustment'!$B:$B,$A8,'Stock Adjustment'!$D:$D,"Expired")</f>
        <v>0</v>
      </c>
      <c r="L8" s="50">
        <f>SUMIFS('Stock Adjustment'!$E:$E,'Stock Adjustment'!$B:$B,$A8,'Stock Adjustment'!$D:$D,"Supplier Returned")</f>
        <v>0</v>
      </c>
      <c r="M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47</v>
      </c>
      <c r="N8" s="53">
        <f>IF(B8="","",VLOOKUP(B8,'Product Master'!$B:$G,4,FALSE))</f>
        <v>500</v>
      </c>
      <c r="O8" s="53">
        <f>IF(B8="","",VLOOKUP(B8,'Product Master'!$B:$G,5,FALSE))</f>
        <v>900</v>
      </c>
      <c r="P8" s="50">
        <f>IF(B8="","",VLOOKUP(B8,'Product Master'!$B:$I,7,FALSE))</f>
        <v>20</v>
      </c>
      <c r="Q8" s="158">
        <f>IFERROR(Table4[[#This Row],[Closing Stock]]*Table4[[#This Row],[Cost Price]],0)</f>
        <v>23500</v>
      </c>
      <c r="R8" s="58" t="str">
        <f t="shared" si="0"/>
        <v>In Stock</v>
      </c>
      <c r="S8" s="25"/>
      <c r="T8" s="25"/>
      <c r="U8" s="25"/>
      <c r="V8" s="25"/>
      <c r="W8" s="25"/>
      <c r="X8" s="25"/>
    </row>
    <row r="9" spans="1:24" x14ac:dyDescent="0.25">
      <c r="A9" s="31" t="s">
        <v>556</v>
      </c>
      <c r="B9" s="32" t="s">
        <v>400</v>
      </c>
      <c r="C9" s="50" t="str">
        <f>IF(B9="","",VLOOKUP(B9,'Product Master'!$B:$G,2,FALSE))</f>
        <v>Snacks</v>
      </c>
      <c r="D9" s="50" t="str">
        <f>IF(B9="","",VLOOKUP(B9,'Product Master'!$B:$G,3,FALSE))</f>
        <v>Piece</v>
      </c>
      <c r="E9" s="50"/>
      <c r="F9" s="50">
        <f>SUMIF('Stock Purchase'!$D:$D,B9,'Stock Purchase'!$F:$F)</f>
        <v>50</v>
      </c>
      <c r="G9" s="50">
        <f>SUMIFS('Stock Adjustment'!$E:$E,'Stock Adjustment'!$B:$B,$A9,'Stock Adjustment'!$D:$D,"Customer Returned")</f>
        <v>0</v>
      </c>
      <c r="H9" s="50">
        <f>SUMIF('Daily Sales Entry'!$D:$D,B9,'Daily Sales Entry'!$G:$G)</f>
        <v>7</v>
      </c>
      <c r="I9" s="50">
        <f>SUMIFS('Stock Adjustment'!$E:$E,'Stock Adjustment'!$B:$B,$A9,'Stock Adjustment'!$D:$D,"Staff Consumption")</f>
        <v>0</v>
      </c>
      <c r="J9" s="50">
        <f>SUMIFS('Stock Adjustment'!$E:$E,'Stock Adjustment'!$B:$B,$A9,'Stock Adjustment'!$D:$D,"Damaged")</f>
        <v>0</v>
      </c>
      <c r="K9" s="50">
        <f>SUMIFS('Stock Adjustment'!$E:$E,'Stock Adjustment'!$B:$B,$A9,'Stock Adjustment'!$D:$D,"Expired")</f>
        <v>0</v>
      </c>
      <c r="L9" s="50">
        <f>SUMIFS('Stock Adjustment'!$E:$E,'Stock Adjustment'!$B:$B,$A9,'Stock Adjustment'!$D:$D,"Supplier Returned")</f>
        <v>0</v>
      </c>
      <c r="M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43</v>
      </c>
      <c r="N9" s="53">
        <f>IF(B9="","",VLOOKUP(B9,'Product Master'!$B:$G,4,FALSE))</f>
        <v>700</v>
      </c>
      <c r="O9" s="53">
        <f>IF(B9="","",VLOOKUP(B9,'Product Master'!$B:$G,5,FALSE))</f>
        <v>1000</v>
      </c>
      <c r="P9" s="50">
        <f>IF(B9="","",VLOOKUP(B9,'Product Master'!$B:$I,7,FALSE))</f>
        <v>20</v>
      </c>
      <c r="Q9" s="158">
        <f>IFERROR(Table4[[#This Row],[Closing Stock]]*Table4[[#This Row],[Cost Price]],0)</f>
        <v>30100</v>
      </c>
      <c r="R9" s="58" t="str">
        <f t="shared" si="0"/>
        <v>In Stock</v>
      </c>
      <c r="S9" s="25"/>
      <c r="T9" s="25"/>
      <c r="U9" s="25"/>
      <c r="V9" s="25"/>
      <c r="W9" s="25"/>
      <c r="X9" s="25"/>
    </row>
    <row r="10" spans="1:24" x14ac:dyDescent="0.25">
      <c r="A10" s="31" t="s">
        <v>557</v>
      </c>
      <c r="B10" s="32" t="s">
        <v>401</v>
      </c>
      <c r="C10" s="50" t="str">
        <f>IF(B10="","",VLOOKUP(B10,'Product Master'!$B:$G,2,FALSE))</f>
        <v>Snacks</v>
      </c>
      <c r="D10" s="50" t="str">
        <f>IF(B10="","",VLOOKUP(B10,'Product Master'!$B:$G,3,FALSE))</f>
        <v>Piece</v>
      </c>
      <c r="E10" s="50"/>
      <c r="F10" s="50">
        <f>SUMIF('Stock Purchase'!$D:$D,B10,'Stock Purchase'!$F:$F)</f>
        <v>50</v>
      </c>
      <c r="G10" s="50">
        <f>SUMIFS('Stock Adjustment'!$E:$E,'Stock Adjustment'!$B:$B,$A10,'Stock Adjustment'!$D:$D,"Customer Returned")</f>
        <v>0</v>
      </c>
      <c r="H10" s="50">
        <f>SUMIF('Daily Sales Entry'!$D:$D,B10,'Daily Sales Entry'!$G:$G)</f>
        <v>5</v>
      </c>
      <c r="I10" s="50">
        <f>SUMIFS('Stock Adjustment'!$E:$E,'Stock Adjustment'!$B:$B,$A10,'Stock Adjustment'!$D:$D,"Staff Consumption")</f>
        <v>0</v>
      </c>
      <c r="J10" s="50">
        <f>SUMIFS('Stock Adjustment'!$E:$E,'Stock Adjustment'!$B:$B,$A10,'Stock Adjustment'!$D:$D,"Damaged")</f>
        <v>0</v>
      </c>
      <c r="K10" s="50">
        <f>SUMIFS('Stock Adjustment'!$E:$E,'Stock Adjustment'!$B:$B,$A10,'Stock Adjustment'!$D:$D,"Expired")</f>
        <v>0</v>
      </c>
      <c r="L10" s="50">
        <f>SUMIFS('Stock Adjustment'!$E:$E,'Stock Adjustment'!$B:$B,$A10,'Stock Adjustment'!$D:$D,"Supplier Returned")</f>
        <v>0</v>
      </c>
      <c r="M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45</v>
      </c>
      <c r="N10" s="53">
        <f>IF(B10="","",VLOOKUP(B10,'Product Master'!$B:$G,4,FALSE))</f>
        <v>400</v>
      </c>
      <c r="O10" s="53">
        <f>IF(B10="","",VLOOKUP(B10,'Product Master'!$B:$G,5,FALSE))</f>
        <v>700</v>
      </c>
      <c r="P10" s="50">
        <f>IF(B10="","",VLOOKUP(B10,'Product Master'!$B:$I,7,FALSE))</f>
        <v>20</v>
      </c>
      <c r="Q10" s="158">
        <f>IFERROR(Table4[[#This Row],[Closing Stock]]*Table4[[#This Row],[Cost Price]],0)</f>
        <v>18000</v>
      </c>
      <c r="R10" s="58" t="str">
        <f t="shared" si="0"/>
        <v>In Stock</v>
      </c>
      <c r="S10" s="25"/>
      <c r="T10" s="25"/>
      <c r="U10" s="25"/>
      <c r="V10" s="25"/>
      <c r="W10" s="25"/>
      <c r="X10" s="25"/>
    </row>
    <row r="11" spans="1:24" x14ac:dyDescent="0.25">
      <c r="A11" s="31" t="s">
        <v>562</v>
      </c>
      <c r="B11" s="32" t="s">
        <v>469</v>
      </c>
      <c r="C11" s="50" t="str">
        <f>IF(B11="","",VLOOKUP(B11,'Product Master'!$B:$G,2,FALSE))</f>
        <v>Drinks</v>
      </c>
      <c r="D11" s="50" t="str">
        <f>IF(B11="","",VLOOKUP(B11,'Product Master'!$B:$G,3,FALSE))</f>
        <v>Pack</v>
      </c>
      <c r="E11" s="50"/>
      <c r="F11" s="50">
        <f>SUMIF('Stock Purchase'!$D:$D,B11,'Stock Purchase'!$F:$F)</f>
        <v>70</v>
      </c>
      <c r="G11" s="50">
        <f>SUMIFS('Stock Adjustment'!$E:$E,'Stock Adjustment'!$B:$B,$A11,'Stock Adjustment'!$D:$D,"Customer Returned")</f>
        <v>0</v>
      </c>
      <c r="H11" s="50">
        <f>SUMIF('Daily Sales Entry'!$D:$D,B11,'Daily Sales Entry'!$G:$G)</f>
        <v>5</v>
      </c>
      <c r="I11" s="50">
        <f>SUMIFS('Stock Adjustment'!$E:$E,'Stock Adjustment'!$B:$B,$A11,'Stock Adjustment'!$D:$D,"Staff Consumption")</f>
        <v>0</v>
      </c>
      <c r="J11" s="50">
        <f>SUMIFS('Stock Adjustment'!$E:$E,'Stock Adjustment'!$B:$B,$A11,'Stock Adjustment'!$D:$D,"Damaged")</f>
        <v>0</v>
      </c>
      <c r="K11" s="50">
        <f>SUMIFS('Stock Adjustment'!$E:$E,'Stock Adjustment'!$B:$B,$A11,'Stock Adjustment'!$D:$D,"Expired")</f>
        <v>0</v>
      </c>
      <c r="L11" s="50">
        <f>SUMIFS('Stock Adjustment'!$E:$E,'Stock Adjustment'!$B:$B,$A11,'Stock Adjustment'!$D:$D,"Supplier Returned")</f>
        <v>0</v>
      </c>
      <c r="M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65</v>
      </c>
      <c r="N11" s="53">
        <f>IF(B11="","",VLOOKUP(B11,'Product Master'!$B:$G,4,FALSE))</f>
        <v>17000</v>
      </c>
      <c r="O11" s="53">
        <f>IF(B11="","",VLOOKUP(B11,'Product Master'!$B:$G,5,FALSE))</f>
        <v>20000</v>
      </c>
      <c r="P11" s="50">
        <f>IF(B11="","",VLOOKUP(B11,'Product Master'!$B:$I,7,FALSE))</f>
        <v>10</v>
      </c>
      <c r="Q11" s="158">
        <f>IFERROR(Table4[[#This Row],[Closing Stock]]*Table4[[#This Row],[Cost Price]],0)</f>
        <v>1105000</v>
      </c>
      <c r="R11" s="58" t="str">
        <f t="shared" si="0"/>
        <v>In Stock</v>
      </c>
      <c r="S11" s="25"/>
      <c r="T11" s="25"/>
      <c r="U11" s="25"/>
      <c r="V11" s="25"/>
      <c r="W11" s="25"/>
      <c r="X11" s="25"/>
    </row>
    <row r="12" spans="1:24" x14ac:dyDescent="0.25">
      <c r="A12" s="31" t="s">
        <v>563</v>
      </c>
      <c r="B12" s="32" t="s">
        <v>468</v>
      </c>
      <c r="C12" s="50" t="str">
        <f>IF(B12="","",VLOOKUP(B12,'Product Master'!$B:$G,2,FALSE))</f>
        <v>Drinks</v>
      </c>
      <c r="D12" s="50" t="str">
        <f>IF(B12="","",VLOOKUP(B12,'Product Master'!$B:$G,3,FALSE))</f>
        <v>Pack</v>
      </c>
      <c r="E12" s="50"/>
      <c r="F12" s="50">
        <f>SUMIF('Stock Purchase'!$D:$D,B12,'Stock Purchase'!$F:$F)</f>
        <v>70</v>
      </c>
      <c r="G12" s="50">
        <f>SUMIFS('Stock Adjustment'!$E:$E,'Stock Adjustment'!$B:$B,$A12,'Stock Adjustment'!$D:$D,"Customer Returned")</f>
        <v>0</v>
      </c>
      <c r="H12" s="50">
        <f>SUMIF('Daily Sales Entry'!$D:$D,B12,'Daily Sales Entry'!$G:$G)</f>
        <v>7</v>
      </c>
      <c r="I12" s="50">
        <f>SUMIFS('Stock Adjustment'!$E:$E,'Stock Adjustment'!$B:$B,$A12,'Stock Adjustment'!$D:$D,"Staff Consumption")</f>
        <v>0</v>
      </c>
      <c r="J12" s="50">
        <f>SUMIFS('Stock Adjustment'!$E:$E,'Stock Adjustment'!$B:$B,$A12,'Stock Adjustment'!$D:$D,"Damaged")</f>
        <v>0</v>
      </c>
      <c r="K12" s="50">
        <f>SUMIFS('Stock Adjustment'!$E:$E,'Stock Adjustment'!$B:$B,$A12,'Stock Adjustment'!$D:$D,"Expired")</f>
        <v>0</v>
      </c>
      <c r="L12" s="50">
        <f>SUMIFS('Stock Adjustment'!$E:$E,'Stock Adjustment'!$B:$B,$A12,'Stock Adjustment'!$D:$D,"Supplier Returned")</f>
        <v>0</v>
      </c>
      <c r="M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63</v>
      </c>
      <c r="N12" s="53">
        <f>IF(B12="","",VLOOKUP(B12,'Product Master'!$B:$G,4,FALSE))</f>
        <v>5000</v>
      </c>
      <c r="O12" s="53">
        <f>IF(B12="","",VLOOKUP(B12,'Product Master'!$B:$G,5,FALSE))</f>
        <v>8500</v>
      </c>
      <c r="P12" s="50">
        <f>IF(B12="","",VLOOKUP(B12,'Product Master'!$B:$I,7,FALSE))</f>
        <v>10</v>
      </c>
      <c r="Q12" s="158">
        <f>IFERROR(Table4[[#This Row],[Closing Stock]]*Table4[[#This Row],[Cost Price]],0)</f>
        <v>315000</v>
      </c>
      <c r="R12" s="58" t="str">
        <f t="shared" si="0"/>
        <v>In Stock</v>
      </c>
      <c r="S12" s="25"/>
      <c r="T12" s="25"/>
      <c r="U12" s="25"/>
      <c r="V12" s="25"/>
      <c r="W12" s="25"/>
      <c r="X12" s="25"/>
    </row>
    <row r="13" spans="1:24" x14ac:dyDescent="0.25">
      <c r="A13" s="31" t="s">
        <v>567</v>
      </c>
      <c r="B13" s="32" t="s">
        <v>467</v>
      </c>
      <c r="C13" s="50" t="str">
        <f>IF(B13="","",VLOOKUP(B13,'Product Master'!$B:$G,2,FALSE))</f>
        <v>Drinks</v>
      </c>
      <c r="D13" s="50" t="str">
        <f>IF(B13="","",VLOOKUP(B13,'Product Master'!$B:$G,3,FALSE))</f>
        <v>Pack</v>
      </c>
      <c r="E13" s="50"/>
      <c r="F13" s="50">
        <f>SUMIF('Stock Purchase'!$D:$D,B13,'Stock Purchase'!$F:$F)</f>
        <v>50</v>
      </c>
      <c r="G13" s="50">
        <f>SUMIFS('Stock Adjustment'!$E:$E,'Stock Adjustment'!$B:$B,$A13,'Stock Adjustment'!$D:$D,"Customer Returned")</f>
        <v>0</v>
      </c>
      <c r="H13" s="50">
        <f>SUMIF('Daily Sales Entry'!$D:$D,B13,'Daily Sales Entry'!$G:$G)</f>
        <v>5</v>
      </c>
      <c r="I13" s="50">
        <f>SUMIFS('Stock Adjustment'!$E:$E,'Stock Adjustment'!$B:$B,$A13,'Stock Adjustment'!$D:$D,"Staff Consumption")</f>
        <v>0</v>
      </c>
      <c r="J13" s="50">
        <f>SUMIFS('Stock Adjustment'!$E:$E,'Stock Adjustment'!$B:$B,$A13,'Stock Adjustment'!$D:$D,"Damaged")</f>
        <v>0</v>
      </c>
      <c r="K13" s="50">
        <f>SUMIFS('Stock Adjustment'!$E:$E,'Stock Adjustment'!$B:$B,$A13,'Stock Adjustment'!$D:$D,"Expired")</f>
        <v>0</v>
      </c>
      <c r="L13" s="50">
        <f>SUMIFS('Stock Adjustment'!$E:$E,'Stock Adjustment'!$B:$B,$A13,'Stock Adjustment'!$D:$D,"Supplier Returned")</f>
        <v>0</v>
      </c>
      <c r="M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45</v>
      </c>
      <c r="N13" s="53">
        <f>IF(B13="","",VLOOKUP(B13,'Product Master'!$B:$G,4,FALSE))</f>
        <v>900</v>
      </c>
      <c r="O13" s="53">
        <f>IF(B13="","",VLOOKUP(B13,'Product Master'!$B:$G,5,FALSE))</f>
        <v>1500</v>
      </c>
      <c r="P13" s="50">
        <f>IF(B13="","",VLOOKUP(B13,'Product Master'!$B:$I,7,FALSE))</f>
        <v>20</v>
      </c>
      <c r="Q13" s="158">
        <f>IFERROR(Table4[[#This Row],[Closing Stock]]*Table4[[#This Row],[Cost Price]],0)</f>
        <v>40500</v>
      </c>
      <c r="R13" s="58" t="str">
        <f t="shared" si="0"/>
        <v>In Stock</v>
      </c>
      <c r="S13" s="25"/>
      <c r="T13" s="25"/>
      <c r="U13" s="25"/>
      <c r="V13" s="25"/>
      <c r="W13" s="25"/>
      <c r="X13" s="25"/>
    </row>
    <row r="14" spans="1:24" x14ac:dyDescent="0.25">
      <c r="A14" s="31" t="s">
        <v>568</v>
      </c>
      <c r="B14" s="32" t="s">
        <v>466</v>
      </c>
      <c r="C14" s="50" t="str">
        <f>IF(B14="","",VLOOKUP(B14,'Product Master'!$B:$G,2,FALSE))</f>
        <v>Drinks</v>
      </c>
      <c r="D14" s="50" t="str">
        <f>IF(B14="","",VLOOKUP(B14,'Product Master'!$B:$G,3,FALSE))</f>
        <v>Pack</v>
      </c>
      <c r="E14" s="50"/>
      <c r="F14" s="50">
        <f>SUMIF('Stock Purchase'!$D:$D,B14,'Stock Purchase'!$F:$F)</f>
        <v>50</v>
      </c>
      <c r="G14" s="50">
        <f>SUMIFS('Stock Adjustment'!$E:$E,'Stock Adjustment'!$B:$B,$A14,'Stock Adjustment'!$D:$D,"Customer Returned")</f>
        <v>0</v>
      </c>
      <c r="H14" s="50">
        <f>SUMIF('Daily Sales Entry'!$D:$D,B14,'Daily Sales Entry'!$G:$G)</f>
        <v>5</v>
      </c>
      <c r="I14" s="50">
        <f>SUMIFS('Stock Adjustment'!$E:$E,'Stock Adjustment'!$B:$B,$A14,'Stock Adjustment'!$D:$D,"Staff Consumption")</f>
        <v>0</v>
      </c>
      <c r="J14" s="50">
        <f>SUMIFS('Stock Adjustment'!$E:$E,'Stock Adjustment'!$B:$B,$A14,'Stock Adjustment'!$D:$D,"Damaged")</f>
        <v>0</v>
      </c>
      <c r="K14" s="50">
        <f>SUMIFS('Stock Adjustment'!$E:$E,'Stock Adjustment'!$B:$B,$A14,'Stock Adjustment'!$D:$D,"Expired")</f>
        <v>0</v>
      </c>
      <c r="L14" s="50">
        <f>SUMIFS('Stock Adjustment'!$E:$E,'Stock Adjustment'!$B:$B,$A14,'Stock Adjustment'!$D:$D,"Supplier Returned")</f>
        <v>0</v>
      </c>
      <c r="M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45</v>
      </c>
      <c r="N14" s="53">
        <f>IF(B14="","",VLOOKUP(B14,'Product Master'!$B:$G,4,FALSE))</f>
        <v>1000</v>
      </c>
      <c r="O14" s="53">
        <f>IF(B14="","",VLOOKUP(B14,'Product Master'!$B:$G,5,FALSE))</f>
        <v>1500</v>
      </c>
      <c r="P14" s="50">
        <f>IF(B14="","",VLOOKUP(B14,'Product Master'!$B:$I,7,FALSE))</f>
        <v>20</v>
      </c>
      <c r="Q14" s="158">
        <f>IFERROR(Table4[[#This Row],[Closing Stock]]*Table4[[#This Row],[Cost Price]],0)</f>
        <v>45000</v>
      </c>
      <c r="R14" s="58" t="str">
        <f t="shared" si="0"/>
        <v>In Stock</v>
      </c>
      <c r="S14" s="25"/>
      <c r="T14" s="25"/>
      <c r="U14" s="25"/>
      <c r="V14" s="25"/>
      <c r="W14" s="25"/>
      <c r="X14" s="25"/>
    </row>
    <row r="15" spans="1:24" x14ac:dyDescent="0.25">
      <c r="A15" s="31" t="s">
        <v>569</v>
      </c>
      <c r="B15" s="32" t="s">
        <v>465</v>
      </c>
      <c r="C15" s="50" t="str">
        <f>IF(B15="","",VLOOKUP(B15,'Product Master'!$B:$G,2,FALSE))</f>
        <v>Snacks</v>
      </c>
      <c r="D15" s="50" t="str">
        <f>IF(B15="","",VLOOKUP(B15,'Product Master'!$B:$G,3,FALSE))</f>
        <v>Piece</v>
      </c>
      <c r="E15" s="50"/>
      <c r="F15" s="50">
        <f>SUMIF('Stock Purchase'!$D:$D,B15,'Stock Purchase'!$F:$F)</f>
        <v>50</v>
      </c>
      <c r="G15" s="50">
        <f>SUMIFS('Stock Adjustment'!$E:$E,'Stock Adjustment'!$B:$B,$A15,'Stock Adjustment'!$D:$D,"Customer Returned")</f>
        <v>0</v>
      </c>
      <c r="H15" s="50">
        <f>SUMIF('Daily Sales Entry'!$D:$D,B15,'Daily Sales Entry'!$G:$G)</f>
        <v>5</v>
      </c>
      <c r="I15" s="50">
        <f>SUMIFS('Stock Adjustment'!$E:$E,'Stock Adjustment'!$B:$B,$A15,'Stock Adjustment'!$D:$D,"Staff Consumption")</f>
        <v>0</v>
      </c>
      <c r="J15" s="50">
        <f>SUMIFS('Stock Adjustment'!$E:$E,'Stock Adjustment'!$B:$B,$A15,'Stock Adjustment'!$D:$D,"Damaged")</f>
        <v>0</v>
      </c>
      <c r="K15" s="50">
        <f>SUMIFS('Stock Adjustment'!$E:$E,'Stock Adjustment'!$B:$B,$A15,'Stock Adjustment'!$D:$D,"Expired")</f>
        <v>0</v>
      </c>
      <c r="L15" s="50">
        <f>SUMIFS('Stock Adjustment'!$E:$E,'Stock Adjustment'!$B:$B,$A15,'Stock Adjustment'!$D:$D,"Supplier Returned")</f>
        <v>0</v>
      </c>
      <c r="M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45</v>
      </c>
      <c r="N15" s="53">
        <f>IF(B15="","",VLOOKUP(B15,'Product Master'!$B:$G,4,FALSE))</f>
        <v>800</v>
      </c>
      <c r="O15" s="53">
        <f>IF(B15="","",VLOOKUP(B15,'Product Master'!$B:$G,5,FALSE))</f>
        <v>1500</v>
      </c>
      <c r="P15" s="50">
        <f>IF(B15="","",VLOOKUP(B15,'Product Master'!$B:$I,7,FALSE))</f>
        <v>20</v>
      </c>
      <c r="Q15" s="158">
        <f>IFERROR(Table4[[#This Row],[Closing Stock]]*Table4[[#This Row],[Cost Price]],0)</f>
        <v>36000</v>
      </c>
      <c r="R15" s="58" t="str">
        <f t="shared" si="0"/>
        <v>In Stock</v>
      </c>
      <c r="S15" s="25"/>
      <c r="T15" s="25"/>
      <c r="U15" s="25"/>
      <c r="V15" s="25"/>
      <c r="W15" s="25"/>
      <c r="X15" s="25"/>
    </row>
    <row r="16" spans="1:24" x14ac:dyDescent="0.25">
      <c r="A16" s="31" t="s">
        <v>570</v>
      </c>
      <c r="B16" s="32" t="s">
        <v>464</v>
      </c>
      <c r="C16" s="50" t="str">
        <f>IF(B16="","",VLOOKUP(B16,'Product Master'!$B:$G,2,FALSE))</f>
        <v>Drinks</v>
      </c>
      <c r="D16" s="50" t="str">
        <f>IF(B16="","",VLOOKUP(B16,'Product Master'!$B:$G,3,FALSE))</f>
        <v>Pack</v>
      </c>
      <c r="E16" s="50"/>
      <c r="F16" s="50">
        <f>SUMIF('Stock Purchase'!$D:$D,B16,'Stock Purchase'!$F:$F)</f>
        <v>50</v>
      </c>
      <c r="G16" s="50">
        <f>SUMIFS('Stock Adjustment'!$E:$E,'Stock Adjustment'!$B:$B,$A16,'Stock Adjustment'!$D:$D,"Customer Returned")</f>
        <v>0</v>
      </c>
      <c r="H16" s="50">
        <f>SUMIF('Daily Sales Entry'!$D:$D,B16,'Daily Sales Entry'!$G:$G)</f>
        <v>5</v>
      </c>
      <c r="I16" s="50">
        <f>SUMIFS('Stock Adjustment'!$E:$E,'Stock Adjustment'!$B:$B,$A16,'Stock Adjustment'!$D:$D,"Staff Consumption")</f>
        <v>0</v>
      </c>
      <c r="J16" s="50">
        <f>SUMIFS('Stock Adjustment'!$E:$E,'Stock Adjustment'!$B:$B,$A16,'Stock Adjustment'!$D:$D,"Damaged")</f>
        <v>0</v>
      </c>
      <c r="K16" s="50">
        <f>SUMIFS('Stock Adjustment'!$E:$E,'Stock Adjustment'!$B:$B,$A16,'Stock Adjustment'!$D:$D,"Expired")</f>
        <v>0</v>
      </c>
      <c r="L16" s="50">
        <f>SUMIFS('Stock Adjustment'!$E:$E,'Stock Adjustment'!$B:$B,$A16,'Stock Adjustment'!$D:$D,"Supplier Returned")</f>
        <v>0</v>
      </c>
      <c r="M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45</v>
      </c>
      <c r="N16" s="53">
        <f>IF(B16="","",VLOOKUP(B16,'Product Master'!$B:$G,4,FALSE))</f>
        <v>900</v>
      </c>
      <c r="O16" s="53">
        <f>IF(B16="","",VLOOKUP(B16,'Product Master'!$B:$G,5,FALSE))</f>
        <v>1500</v>
      </c>
      <c r="P16" s="50">
        <f>IF(B16="","",VLOOKUP(B16,'Product Master'!$B:$I,7,FALSE))</f>
        <v>20</v>
      </c>
      <c r="Q16" s="158">
        <f>IFERROR(Table4[[#This Row],[Closing Stock]]*Table4[[#This Row],[Cost Price]],0)</f>
        <v>40500</v>
      </c>
      <c r="R16" s="58" t="str">
        <f t="shared" si="0"/>
        <v>In Stock</v>
      </c>
      <c r="S16" s="25"/>
      <c r="T16" s="25"/>
      <c r="U16" s="25"/>
      <c r="V16" s="25"/>
      <c r="W16" s="25"/>
      <c r="X16" s="25"/>
    </row>
    <row r="17" spans="1:24" x14ac:dyDescent="0.25">
      <c r="A17" s="31" t="s">
        <v>571</v>
      </c>
      <c r="B17" s="32"/>
      <c r="C17" s="50" t="str">
        <f>IF(B17="","",VLOOKUP(B17,'Product Master'!$B:$G,2,FALSE))</f>
        <v/>
      </c>
      <c r="D17" s="50" t="str">
        <f>IF(B17="","",VLOOKUP(B17,'Product Master'!$B:$G,3,FALSE))</f>
        <v/>
      </c>
      <c r="E17" s="50"/>
      <c r="F17" s="50">
        <f>SUMIF('Stock Purchase'!$D:$D,B17,'Stock Purchase'!$F:$F)</f>
        <v>0</v>
      </c>
      <c r="G17" s="50">
        <f>SUMIFS('Stock Adjustment'!$E:$E,'Stock Adjustment'!$B:$B,$A17,'Stock Adjustment'!$D:$D,"Customer Returned")</f>
        <v>0</v>
      </c>
      <c r="H17" s="50">
        <f>SUMIF('Daily Sales Entry'!$D:$D,B17,'Daily Sales Entry'!$G:$G)</f>
        <v>0</v>
      </c>
      <c r="I17" s="50">
        <f>SUMIFS('Stock Adjustment'!$E:$E,'Stock Adjustment'!$B:$B,$A17,'Stock Adjustment'!$D:$D,"Staff Consumption")</f>
        <v>0</v>
      </c>
      <c r="J17" s="50">
        <f>SUMIFS('Stock Adjustment'!$E:$E,'Stock Adjustment'!$B:$B,$A17,'Stock Adjustment'!$D:$D,"Damaged")</f>
        <v>0</v>
      </c>
      <c r="K17" s="50">
        <f>SUMIFS('Stock Adjustment'!$E:$E,'Stock Adjustment'!$B:$B,$A17,'Stock Adjustment'!$D:$D,"Expired")</f>
        <v>0</v>
      </c>
      <c r="L17" s="50">
        <f>SUMIFS('Stock Adjustment'!$E:$E,'Stock Adjustment'!$B:$B,$A17,'Stock Adjustment'!$D:$D,"Supplier Returned")</f>
        <v>0</v>
      </c>
      <c r="M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" s="53" t="str">
        <f>IF(B17="","",VLOOKUP(B17,'Product Master'!$B:$G,4,FALSE))</f>
        <v/>
      </c>
      <c r="O17" s="53" t="str">
        <f>IF(B17="","",VLOOKUP(B17,'Product Master'!$B:$G,5,FALSE))</f>
        <v/>
      </c>
      <c r="P17" s="50" t="str">
        <f>IF(B17="","",VLOOKUP(B17,'Product Master'!$B:$I,7,FALSE))</f>
        <v/>
      </c>
      <c r="Q17" s="158">
        <f>IFERROR(Table4[[#This Row],[Closing Stock]]*Table4[[#This Row],[Cost Price]],0)</f>
        <v>0</v>
      </c>
      <c r="R17" s="58" t="str">
        <f t="shared" si="0"/>
        <v/>
      </c>
      <c r="S17" s="25"/>
      <c r="T17" s="25"/>
      <c r="U17" s="25"/>
      <c r="V17" s="25"/>
      <c r="W17" s="25"/>
      <c r="X17" s="25"/>
    </row>
    <row r="18" spans="1:24" x14ac:dyDescent="0.25">
      <c r="A18" s="31" t="s">
        <v>572</v>
      </c>
      <c r="B18" s="32"/>
      <c r="C18" s="50" t="str">
        <f>IF(B18="","",VLOOKUP(B18,'Product Master'!$B:$G,2,FALSE))</f>
        <v/>
      </c>
      <c r="D18" s="50" t="str">
        <f>IF(B18="","",VLOOKUP(B18,'Product Master'!$B:$G,3,FALSE))</f>
        <v/>
      </c>
      <c r="E18" s="50"/>
      <c r="F18" s="50">
        <f>SUMIF('Stock Purchase'!$D:$D,B18,'Stock Purchase'!$F:$F)</f>
        <v>0</v>
      </c>
      <c r="G18" s="50">
        <f>SUMIFS('Stock Adjustment'!$E:$E,'Stock Adjustment'!$B:$B,$A18,'Stock Adjustment'!$D:$D,"Customer Returned")</f>
        <v>0</v>
      </c>
      <c r="H18" s="50">
        <f>SUMIF('Daily Sales Entry'!$D:$D,B18,'Daily Sales Entry'!$G:$G)</f>
        <v>0</v>
      </c>
      <c r="I18" s="50">
        <f>SUMIFS('Stock Adjustment'!$E:$E,'Stock Adjustment'!$B:$B,$A18,'Stock Adjustment'!$D:$D,"Staff Consumption")</f>
        <v>0</v>
      </c>
      <c r="J18" s="50">
        <f>SUMIFS('Stock Adjustment'!$E:$E,'Stock Adjustment'!$B:$B,$A18,'Stock Adjustment'!$D:$D,"Damaged")</f>
        <v>0</v>
      </c>
      <c r="K18" s="50">
        <f>SUMIFS('Stock Adjustment'!$E:$E,'Stock Adjustment'!$B:$B,$A18,'Stock Adjustment'!$D:$D,"Expired")</f>
        <v>0</v>
      </c>
      <c r="L18" s="50">
        <f>SUMIFS('Stock Adjustment'!$E:$E,'Stock Adjustment'!$B:$B,$A18,'Stock Adjustment'!$D:$D,"Supplier Returned")</f>
        <v>0</v>
      </c>
      <c r="M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" s="53" t="str">
        <f>IF(B18="","",VLOOKUP(B18,'Product Master'!$B:$G,4,FALSE))</f>
        <v/>
      </c>
      <c r="O18" s="53" t="str">
        <f>IF(B18="","",VLOOKUP(B18,'Product Master'!$B:$G,5,FALSE))</f>
        <v/>
      </c>
      <c r="P18" s="50" t="str">
        <f>IF(B18="","",VLOOKUP(B18,'Product Master'!$B:$I,7,FALSE))</f>
        <v/>
      </c>
      <c r="Q18" s="158">
        <f>IFERROR(Table4[[#This Row],[Closing Stock]]*Table4[[#This Row],[Cost Price]],0)</f>
        <v>0</v>
      </c>
      <c r="R18" s="58" t="str">
        <f t="shared" si="0"/>
        <v/>
      </c>
      <c r="S18" s="25"/>
      <c r="T18" s="25"/>
      <c r="U18" s="25"/>
      <c r="V18" s="25"/>
      <c r="W18" s="25"/>
      <c r="X18" s="25"/>
    </row>
    <row r="19" spans="1:24" x14ac:dyDescent="0.25">
      <c r="A19" s="31" t="s">
        <v>573</v>
      </c>
      <c r="B19" s="32"/>
      <c r="C19" s="50" t="str">
        <f>IF(B19="","",VLOOKUP(B19,'Product Master'!$B:$G,2,FALSE))</f>
        <v/>
      </c>
      <c r="D19" s="50" t="str">
        <f>IF(B19="","",VLOOKUP(B19,'Product Master'!$B:$G,3,FALSE))</f>
        <v/>
      </c>
      <c r="E19" s="50"/>
      <c r="F19" s="50">
        <f>SUMIF('Stock Purchase'!$D:$D,B19,'Stock Purchase'!$F:$F)</f>
        <v>0</v>
      </c>
      <c r="G19" s="50">
        <f>SUMIFS('Stock Adjustment'!$E:$E,'Stock Adjustment'!$B:$B,$A19,'Stock Adjustment'!$D:$D,"Customer Returned")</f>
        <v>0</v>
      </c>
      <c r="H19" s="50">
        <f>SUMIF('Daily Sales Entry'!$D:$D,B19,'Daily Sales Entry'!$G:$G)</f>
        <v>0</v>
      </c>
      <c r="I19" s="50">
        <f>SUMIFS('Stock Adjustment'!$E:$E,'Stock Adjustment'!$B:$B,$A19,'Stock Adjustment'!$D:$D,"Staff Consumption")</f>
        <v>0</v>
      </c>
      <c r="J19" s="50">
        <f>SUMIFS('Stock Adjustment'!$E:$E,'Stock Adjustment'!$B:$B,$A19,'Stock Adjustment'!$D:$D,"Damaged")</f>
        <v>0</v>
      </c>
      <c r="K19" s="50">
        <f>SUMIFS('Stock Adjustment'!$E:$E,'Stock Adjustment'!$B:$B,$A19,'Stock Adjustment'!$D:$D,"Expired")</f>
        <v>0</v>
      </c>
      <c r="L19" s="50">
        <f>SUMIFS('Stock Adjustment'!$E:$E,'Stock Adjustment'!$B:$B,$A19,'Stock Adjustment'!$D:$D,"Supplier Returned")</f>
        <v>0</v>
      </c>
      <c r="M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" s="53" t="str">
        <f>IF(B19="","",VLOOKUP(B19,'Product Master'!$B:$G,4,FALSE))</f>
        <v/>
      </c>
      <c r="O19" s="53" t="str">
        <f>IF(B19="","",VLOOKUP(B19,'Product Master'!$B:$G,5,FALSE))</f>
        <v/>
      </c>
      <c r="P19" s="50" t="str">
        <f>IF(B19="","",VLOOKUP(B19,'Product Master'!$B:$I,7,FALSE))</f>
        <v/>
      </c>
      <c r="Q19" s="158">
        <f>IFERROR(Table4[[#This Row],[Closing Stock]]*Table4[[#This Row],[Cost Price]],0)</f>
        <v>0</v>
      </c>
      <c r="R19" s="58" t="str">
        <f t="shared" si="0"/>
        <v/>
      </c>
      <c r="S19" s="25"/>
      <c r="T19" s="25"/>
      <c r="U19" s="25"/>
      <c r="V19" s="25"/>
      <c r="W19" s="25"/>
      <c r="X19" s="25"/>
    </row>
    <row r="20" spans="1:24" x14ac:dyDescent="0.25">
      <c r="A20" s="31" t="s">
        <v>574</v>
      </c>
      <c r="B20" s="32"/>
      <c r="C20" s="50" t="str">
        <f>IF(B20="","",VLOOKUP(B20,'Product Master'!$B:$G,2,FALSE))</f>
        <v/>
      </c>
      <c r="D20" s="50" t="str">
        <f>IF(B20="","",VLOOKUP(B20,'Product Master'!$B:$G,3,FALSE))</f>
        <v/>
      </c>
      <c r="E20" s="50"/>
      <c r="F20" s="50">
        <f>SUMIF('Stock Purchase'!$D:$D,B20,'Stock Purchase'!$F:$F)</f>
        <v>0</v>
      </c>
      <c r="G20" s="50">
        <f>SUMIFS('Stock Adjustment'!$E:$E,'Stock Adjustment'!$B:$B,$A20,'Stock Adjustment'!$D:$D,"Customer Returned")</f>
        <v>0</v>
      </c>
      <c r="H20" s="50">
        <f>SUMIF('Daily Sales Entry'!$D:$D,B20,'Daily Sales Entry'!$G:$G)</f>
        <v>0</v>
      </c>
      <c r="I20" s="50">
        <f>SUMIFS('Stock Adjustment'!$E:$E,'Stock Adjustment'!$B:$B,$A20,'Stock Adjustment'!$D:$D,"Staff Consumption")</f>
        <v>0</v>
      </c>
      <c r="J20" s="50">
        <f>SUMIFS('Stock Adjustment'!$E:$E,'Stock Adjustment'!$B:$B,$A20,'Stock Adjustment'!$D:$D,"Damaged")</f>
        <v>0</v>
      </c>
      <c r="K20" s="50">
        <f>SUMIFS('Stock Adjustment'!$E:$E,'Stock Adjustment'!$B:$B,$A20,'Stock Adjustment'!$D:$D,"Expired")</f>
        <v>0</v>
      </c>
      <c r="L20" s="50">
        <f>SUMIFS('Stock Adjustment'!$E:$E,'Stock Adjustment'!$B:$B,$A20,'Stock Adjustment'!$D:$D,"Supplier Returned")</f>
        <v>0</v>
      </c>
      <c r="M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" s="53" t="str">
        <f>IF(B20="","",VLOOKUP(B20,'Product Master'!$B:$G,4,FALSE))</f>
        <v/>
      </c>
      <c r="O20" s="53" t="str">
        <f>IF(B20="","",VLOOKUP(B20,'Product Master'!$B:$G,5,FALSE))</f>
        <v/>
      </c>
      <c r="P20" s="50" t="str">
        <f>IF(B20="","",VLOOKUP(B20,'Product Master'!$B:$I,7,FALSE))</f>
        <v/>
      </c>
      <c r="Q20" s="158">
        <f>IFERROR(Table4[[#This Row],[Closing Stock]]*Table4[[#This Row],[Cost Price]],0)</f>
        <v>0</v>
      </c>
      <c r="R20" s="58" t="str">
        <f t="shared" si="0"/>
        <v/>
      </c>
      <c r="S20" s="25"/>
      <c r="T20" s="25"/>
      <c r="U20" s="25"/>
      <c r="V20" s="25"/>
      <c r="W20" s="25"/>
      <c r="X20" s="25"/>
    </row>
    <row r="21" spans="1:24" x14ac:dyDescent="0.25">
      <c r="A21" s="31" t="s">
        <v>575</v>
      </c>
      <c r="B21" s="32"/>
      <c r="C21" s="50" t="str">
        <f>IF(B21="","",VLOOKUP(B21,'Product Master'!$B:$G,2,FALSE))</f>
        <v/>
      </c>
      <c r="D21" s="50" t="str">
        <f>IF(B21="","",VLOOKUP(B21,'Product Master'!$B:$G,3,FALSE))</f>
        <v/>
      </c>
      <c r="E21" s="50"/>
      <c r="F21" s="50">
        <f>SUMIF('Stock Purchase'!$D:$D,B21,'Stock Purchase'!$F:$F)</f>
        <v>0</v>
      </c>
      <c r="G21" s="50">
        <f>SUMIFS('Stock Adjustment'!$E:$E,'Stock Adjustment'!$B:$B,$A21,'Stock Adjustment'!$D:$D,"Customer Returned")</f>
        <v>0</v>
      </c>
      <c r="H21" s="50">
        <f>SUMIF('Daily Sales Entry'!$D:$D,B21,'Daily Sales Entry'!$G:$G)</f>
        <v>0</v>
      </c>
      <c r="I21" s="50">
        <f>SUMIFS('Stock Adjustment'!$E:$E,'Stock Adjustment'!$B:$B,$A21,'Stock Adjustment'!$D:$D,"Staff Consumption")</f>
        <v>0</v>
      </c>
      <c r="J21" s="50">
        <f>SUMIFS('Stock Adjustment'!$E:$E,'Stock Adjustment'!$B:$B,$A21,'Stock Adjustment'!$D:$D,"Damaged")</f>
        <v>0</v>
      </c>
      <c r="K21" s="50">
        <f>SUMIFS('Stock Adjustment'!$E:$E,'Stock Adjustment'!$B:$B,$A21,'Stock Adjustment'!$D:$D,"Expired")</f>
        <v>0</v>
      </c>
      <c r="L21" s="50">
        <f>SUMIFS('Stock Adjustment'!$E:$E,'Stock Adjustment'!$B:$B,$A21,'Stock Adjustment'!$D:$D,"Supplier Returned")</f>
        <v>0</v>
      </c>
      <c r="M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" s="53" t="str">
        <f>IF(B21="","",VLOOKUP(B21,'Product Master'!$B:$G,4,FALSE))</f>
        <v/>
      </c>
      <c r="O21" s="53" t="str">
        <f>IF(B21="","",VLOOKUP(B21,'Product Master'!$B:$G,5,FALSE))</f>
        <v/>
      </c>
      <c r="P21" s="50" t="str">
        <f>IF(B21="","",VLOOKUP(B21,'Product Master'!$B:$I,7,FALSE))</f>
        <v/>
      </c>
      <c r="Q21" s="158">
        <f>IFERROR(Table4[[#This Row],[Closing Stock]]*Table4[[#This Row],[Cost Price]],0)</f>
        <v>0</v>
      </c>
      <c r="R21" s="58" t="str">
        <f t="shared" si="0"/>
        <v/>
      </c>
      <c r="S21" s="25"/>
      <c r="T21" s="25"/>
      <c r="U21" s="25"/>
      <c r="V21" s="25"/>
      <c r="W21" s="25"/>
      <c r="X21" s="25"/>
    </row>
    <row r="22" spans="1:24" x14ac:dyDescent="0.25">
      <c r="A22" s="31" t="s">
        <v>576</v>
      </c>
      <c r="B22" s="32"/>
      <c r="C22" s="50" t="str">
        <f>IF(B22="","",VLOOKUP(B22,'Product Master'!$B:$G,2,FALSE))</f>
        <v/>
      </c>
      <c r="D22" s="50" t="str">
        <f>IF(B22="","",VLOOKUP(B22,'Product Master'!$B:$G,3,FALSE))</f>
        <v/>
      </c>
      <c r="E22" s="50"/>
      <c r="F22" s="50">
        <f>SUMIF('Stock Purchase'!$D:$D,B22,'Stock Purchase'!$F:$F)</f>
        <v>0</v>
      </c>
      <c r="G22" s="50">
        <f>SUMIFS('Stock Adjustment'!$E:$E,'Stock Adjustment'!$B:$B,$A22,'Stock Adjustment'!$D:$D,"Customer Returned")</f>
        <v>0</v>
      </c>
      <c r="H22" s="50">
        <f>SUMIF('Daily Sales Entry'!$D:$D,B22,'Daily Sales Entry'!$G:$G)</f>
        <v>0</v>
      </c>
      <c r="I22" s="50">
        <f>SUMIFS('Stock Adjustment'!$E:$E,'Stock Adjustment'!$B:$B,$A22,'Stock Adjustment'!$D:$D,"Staff Consumption")</f>
        <v>0</v>
      </c>
      <c r="J22" s="50">
        <f>SUMIFS('Stock Adjustment'!$E:$E,'Stock Adjustment'!$B:$B,$A22,'Stock Adjustment'!$D:$D,"Damaged")</f>
        <v>0</v>
      </c>
      <c r="K22" s="50">
        <f>SUMIFS('Stock Adjustment'!$E:$E,'Stock Adjustment'!$B:$B,$A22,'Stock Adjustment'!$D:$D,"Expired")</f>
        <v>0</v>
      </c>
      <c r="L22" s="50">
        <f>SUMIFS('Stock Adjustment'!$E:$E,'Stock Adjustment'!$B:$B,$A22,'Stock Adjustment'!$D:$D,"Supplier Returned")</f>
        <v>0</v>
      </c>
      <c r="M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" s="53" t="str">
        <f>IF(B22="","",VLOOKUP(B22,'Product Master'!$B:$G,4,FALSE))</f>
        <v/>
      </c>
      <c r="O22" s="53" t="str">
        <f>IF(B22="","",VLOOKUP(B22,'Product Master'!$B:$G,5,FALSE))</f>
        <v/>
      </c>
      <c r="P22" s="50" t="str">
        <f>IF(B22="","",VLOOKUP(B22,'Product Master'!$B:$I,7,FALSE))</f>
        <v/>
      </c>
      <c r="Q22" s="158">
        <f>IFERROR(Table4[[#This Row],[Closing Stock]]*Table4[[#This Row],[Cost Price]],0)</f>
        <v>0</v>
      </c>
      <c r="R22" s="58" t="str">
        <f t="shared" si="0"/>
        <v/>
      </c>
      <c r="S22" s="25"/>
      <c r="T22" s="25"/>
      <c r="U22" s="25"/>
      <c r="V22" s="25"/>
      <c r="W22" s="25"/>
      <c r="X22" s="25"/>
    </row>
    <row r="23" spans="1:24" x14ac:dyDescent="0.25">
      <c r="A23" s="31" t="s">
        <v>577</v>
      </c>
      <c r="B23" s="32"/>
      <c r="C23" s="50" t="str">
        <f>IF(B23="","",VLOOKUP(B23,'Product Master'!$B:$G,2,FALSE))</f>
        <v/>
      </c>
      <c r="D23" s="50" t="str">
        <f>IF(B23="","",VLOOKUP(B23,'Product Master'!$B:$G,3,FALSE))</f>
        <v/>
      </c>
      <c r="E23" s="50"/>
      <c r="F23" s="50">
        <f>SUMIF('Stock Purchase'!$D:$D,B23,'Stock Purchase'!$F:$F)</f>
        <v>0</v>
      </c>
      <c r="G23" s="50">
        <f>SUMIFS('Stock Adjustment'!$E:$E,'Stock Adjustment'!$B:$B,$A23,'Stock Adjustment'!$D:$D,"Customer Returned")</f>
        <v>0</v>
      </c>
      <c r="H23" s="50">
        <f>SUMIF('Daily Sales Entry'!$D:$D,B23,'Daily Sales Entry'!$G:$G)</f>
        <v>0</v>
      </c>
      <c r="I23" s="50">
        <f>SUMIFS('Stock Adjustment'!$E:$E,'Stock Adjustment'!$B:$B,$A23,'Stock Adjustment'!$D:$D,"Staff Consumption")</f>
        <v>0</v>
      </c>
      <c r="J23" s="50">
        <f>SUMIFS('Stock Adjustment'!$E:$E,'Stock Adjustment'!$B:$B,$A23,'Stock Adjustment'!$D:$D,"Damaged")</f>
        <v>0</v>
      </c>
      <c r="K23" s="50">
        <f>SUMIFS('Stock Adjustment'!$E:$E,'Stock Adjustment'!$B:$B,$A23,'Stock Adjustment'!$D:$D,"Expired")</f>
        <v>0</v>
      </c>
      <c r="L23" s="50">
        <f>SUMIFS('Stock Adjustment'!$E:$E,'Stock Adjustment'!$B:$B,$A23,'Stock Adjustment'!$D:$D,"Supplier Returned")</f>
        <v>0</v>
      </c>
      <c r="M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" s="53" t="str">
        <f>IF(B23="","",VLOOKUP(B23,'Product Master'!$B:$G,4,FALSE))</f>
        <v/>
      </c>
      <c r="O23" s="53" t="str">
        <f>IF(B23="","",VLOOKUP(B23,'Product Master'!$B:$G,5,FALSE))</f>
        <v/>
      </c>
      <c r="P23" s="50" t="str">
        <f>IF(B23="","",VLOOKUP(B23,'Product Master'!$B:$I,7,FALSE))</f>
        <v/>
      </c>
      <c r="Q23" s="158">
        <f>IFERROR(Table4[[#This Row],[Closing Stock]]*Table4[[#This Row],[Cost Price]],0)</f>
        <v>0</v>
      </c>
      <c r="R23" s="58" t="str">
        <f t="shared" si="0"/>
        <v/>
      </c>
      <c r="S23" s="25"/>
      <c r="T23" s="25"/>
      <c r="U23" s="25"/>
      <c r="V23" s="25"/>
      <c r="W23" s="25"/>
      <c r="X23" s="25"/>
    </row>
    <row r="24" spans="1:24" x14ac:dyDescent="0.25">
      <c r="A24" s="31" t="s">
        <v>578</v>
      </c>
      <c r="B24" s="32"/>
      <c r="C24" s="50" t="str">
        <f>IF(B24="","",VLOOKUP(B24,'Product Master'!$B:$G,2,FALSE))</f>
        <v/>
      </c>
      <c r="D24" s="50" t="str">
        <f>IF(B24="","",VLOOKUP(B24,'Product Master'!$B:$G,3,FALSE))</f>
        <v/>
      </c>
      <c r="E24" s="50"/>
      <c r="F24" s="50">
        <f>SUMIF('Stock Purchase'!$D:$D,B24,'Stock Purchase'!$F:$F)</f>
        <v>0</v>
      </c>
      <c r="G24" s="50">
        <f>SUMIFS('Stock Adjustment'!$E:$E,'Stock Adjustment'!$B:$B,$A24,'Stock Adjustment'!$D:$D,"Customer Returned")</f>
        <v>0</v>
      </c>
      <c r="H24" s="50">
        <f>SUMIF('Daily Sales Entry'!$D:$D,B24,'Daily Sales Entry'!$G:$G)</f>
        <v>0</v>
      </c>
      <c r="I24" s="50">
        <f>SUMIFS('Stock Adjustment'!$E:$E,'Stock Adjustment'!$B:$B,$A24,'Stock Adjustment'!$D:$D,"Staff Consumption")</f>
        <v>0</v>
      </c>
      <c r="J24" s="50">
        <f>SUMIFS('Stock Adjustment'!$E:$E,'Stock Adjustment'!$B:$B,$A24,'Stock Adjustment'!$D:$D,"Damaged")</f>
        <v>0</v>
      </c>
      <c r="K24" s="50">
        <f>SUMIFS('Stock Adjustment'!$E:$E,'Stock Adjustment'!$B:$B,$A24,'Stock Adjustment'!$D:$D,"Expired")</f>
        <v>0</v>
      </c>
      <c r="L24" s="50">
        <f>SUMIFS('Stock Adjustment'!$E:$E,'Stock Adjustment'!$B:$B,$A24,'Stock Adjustment'!$D:$D,"Supplier Returned")</f>
        <v>0</v>
      </c>
      <c r="M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" s="53" t="str">
        <f>IF(B24="","",VLOOKUP(B24,'Product Master'!$B:$G,4,FALSE))</f>
        <v/>
      </c>
      <c r="O24" s="53" t="str">
        <f>IF(B24="","",VLOOKUP(B24,'Product Master'!$B:$G,5,FALSE))</f>
        <v/>
      </c>
      <c r="P24" s="50" t="str">
        <f>IF(B24="","",VLOOKUP(B24,'Product Master'!$B:$I,7,FALSE))</f>
        <v/>
      </c>
      <c r="Q24" s="158">
        <f>IFERROR(Table4[[#This Row],[Closing Stock]]*Table4[[#This Row],[Cost Price]],0)</f>
        <v>0</v>
      </c>
      <c r="R24" s="58" t="str">
        <f t="shared" si="0"/>
        <v/>
      </c>
      <c r="S24" s="25"/>
      <c r="T24" s="25"/>
      <c r="U24" s="25"/>
      <c r="V24" s="25"/>
      <c r="W24" s="25"/>
      <c r="X24" s="25"/>
    </row>
    <row r="25" spans="1:24" x14ac:dyDescent="0.25">
      <c r="A25" s="31" t="s">
        <v>579</v>
      </c>
      <c r="B25" s="32"/>
      <c r="C25" s="50" t="str">
        <f>IF(B25="","",VLOOKUP(B25,'Product Master'!$B:$G,2,FALSE))</f>
        <v/>
      </c>
      <c r="D25" s="50" t="str">
        <f>IF(B25="","",VLOOKUP(B25,'Product Master'!$B:$G,3,FALSE))</f>
        <v/>
      </c>
      <c r="E25" s="50"/>
      <c r="F25" s="50">
        <f>SUMIF('Stock Purchase'!$D:$D,B25,'Stock Purchase'!$F:$F)</f>
        <v>0</v>
      </c>
      <c r="G25" s="50">
        <f>SUMIFS('Stock Adjustment'!$E:$E,'Stock Adjustment'!$B:$B,$A25,'Stock Adjustment'!$D:$D,"Customer Returned")</f>
        <v>0</v>
      </c>
      <c r="H25" s="50">
        <f>SUMIF('Daily Sales Entry'!$D:$D,B25,'Daily Sales Entry'!$G:$G)</f>
        <v>0</v>
      </c>
      <c r="I25" s="50">
        <f>SUMIFS('Stock Adjustment'!$E:$E,'Stock Adjustment'!$B:$B,$A25,'Stock Adjustment'!$D:$D,"Staff Consumption")</f>
        <v>0</v>
      </c>
      <c r="J25" s="50">
        <f>SUMIFS('Stock Adjustment'!$E:$E,'Stock Adjustment'!$B:$B,$A25,'Stock Adjustment'!$D:$D,"Damaged")</f>
        <v>0</v>
      </c>
      <c r="K25" s="50">
        <f>SUMIFS('Stock Adjustment'!$E:$E,'Stock Adjustment'!$B:$B,$A25,'Stock Adjustment'!$D:$D,"Expired")</f>
        <v>0</v>
      </c>
      <c r="L25" s="50">
        <f>SUMIFS('Stock Adjustment'!$E:$E,'Stock Adjustment'!$B:$B,$A25,'Stock Adjustment'!$D:$D,"Supplier Returned")</f>
        <v>0</v>
      </c>
      <c r="M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" s="53" t="str">
        <f>IF(B25="","",VLOOKUP(B25,'Product Master'!$B:$G,4,FALSE))</f>
        <v/>
      </c>
      <c r="O25" s="53" t="str">
        <f>IF(B25="","",VLOOKUP(B25,'Product Master'!$B:$G,5,FALSE))</f>
        <v/>
      </c>
      <c r="P25" s="50" t="str">
        <f>IF(B25="","",VLOOKUP(B25,'Product Master'!$B:$I,7,FALSE))</f>
        <v/>
      </c>
      <c r="Q25" s="158">
        <f>IFERROR(Table4[[#This Row],[Closing Stock]]*Table4[[#This Row],[Cost Price]],0)</f>
        <v>0</v>
      </c>
      <c r="R25" s="58" t="str">
        <f t="shared" si="0"/>
        <v/>
      </c>
      <c r="S25" s="25"/>
      <c r="T25" s="25"/>
      <c r="U25" s="25"/>
      <c r="V25" s="25"/>
      <c r="W25" s="25"/>
      <c r="X25" s="25"/>
    </row>
    <row r="26" spans="1:24" x14ac:dyDescent="0.25">
      <c r="A26" s="31" t="s">
        <v>580</v>
      </c>
      <c r="B26" s="32"/>
      <c r="C26" s="50" t="str">
        <f>IF(B26="","",VLOOKUP(B26,'Product Master'!$B:$G,2,FALSE))</f>
        <v/>
      </c>
      <c r="D26" s="50" t="str">
        <f>IF(B26="","",VLOOKUP(B26,'Product Master'!$B:$G,3,FALSE))</f>
        <v/>
      </c>
      <c r="E26" s="50"/>
      <c r="F26" s="50">
        <f>SUMIF('Stock Purchase'!$D:$D,B26,'Stock Purchase'!$F:$F)</f>
        <v>0</v>
      </c>
      <c r="G26" s="50">
        <f>SUMIFS('Stock Adjustment'!$E:$E,'Stock Adjustment'!$B:$B,$A26,'Stock Adjustment'!$D:$D,"Customer Returned")</f>
        <v>0</v>
      </c>
      <c r="H26" s="50">
        <f>SUMIF('Daily Sales Entry'!$D:$D,B26,'Daily Sales Entry'!$G:$G)</f>
        <v>0</v>
      </c>
      <c r="I26" s="50">
        <f>SUMIFS('Stock Adjustment'!$E:$E,'Stock Adjustment'!$B:$B,$A26,'Stock Adjustment'!$D:$D,"Staff Consumption")</f>
        <v>0</v>
      </c>
      <c r="J26" s="50">
        <f>SUMIFS('Stock Adjustment'!$E:$E,'Stock Adjustment'!$B:$B,$A26,'Stock Adjustment'!$D:$D,"Damaged")</f>
        <v>0</v>
      </c>
      <c r="K26" s="50">
        <f>SUMIFS('Stock Adjustment'!$E:$E,'Stock Adjustment'!$B:$B,$A26,'Stock Adjustment'!$D:$D,"Expired")</f>
        <v>0</v>
      </c>
      <c r="L26" s="50">
        <f>SUMIFS('Stock Adjustment'!$E:$E,'Stock Adjustment'!$B:$B,$A26,'Stock Adjustment'!$D:$D,"Supplier Returned")</f>
        <v>0</v>
      </c>
      <c r="M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" s="53" t="str">
        <f>IF(B26="","",VLOOKUP(B26,'Product Master'!$B:$G,4,FALSE))</f>
        <v/>
      </c>
      <c r="O26" s="53" t="str">
        <f>IF(B26="","",VLOOKUP(B26,'Product Master'!$B:$G,5,FALSE))</f>
        <v/>
      </c>
      <c r="P26" s="50" t="str">
        <f>IF(B26="","",VLOOKUP(B26,'Product Master'!$B:$I,7,FALSE))</f>
        <v/>
      </c>
      <c r="Q26" s="158">
        <f>IFERROR(Table4[[#This Row],[Closing Stock]]*Table4[[#This Row],[Cost Price]],0)</f>
        <v>0</v>
      </c>
      <c r="R26" s="58" t="str">
        <f t="shared" si="0"/>
        <v/>
      </c>
      <c r="S26" s="25"/>
      <c r="T26" s="25"/>
      <c r="U26" s="25"/>
      <c r="V26" s="25"/>
      <c r="W26" s="25"/>
      <c r="X26" s="25"/>
    </row>
    <row r="27" spans="1:24" x14ac:dyDescent="0.25">
      <c r="A27" s="31" t="s">
        <v>581</v>
      </c>
      <c r="B27" s="32"/>
      <c r="C27" s="50" t="str">
        <f>IF(B27="","",VLOOKUP(B27,'Product Master'!$B:$G,2,FALSE))</f>
        <v/>
      </c>
      <c r="D27" s="50" t="str">
        <f>IF(B27="","",VLOOKUP(B27,'Product Master'!$B:$G,3,FALSE))</f>
        <v/>
      </c>
      <c r="E27" s="50"/>
      <c r="F27" s="50">
        <f>SUMIF('Stock Purchase'!$D:$D,B27,'Stock Purchase'!$F:$F)</f>
        <v>0</v>
      </c>
      <c r="G27" s="50">
        <f>SUMIFS('Stock Adjustment'!$E:$E,'Stock Adjustment'!$B:$B,$A27,'Stock Adjustment'!$D:$D,"Customer Returned")</f>
        <v>0</v>
      </c>
      <c r="H27" s="50">
        <f>SUMIF('Daily Sales Entry'!$D:$D,B27,'Daily Sales Entry'!$G:$G)</f>
        <v>0</v>
      </c>
      <c r="I27" s="50">
        <f>SUMIFS('Stock Adjustment'!$E:$E,'Stock Adjustment'!$B:$B,$A27,'Stock Adjustment'!$D:$D,"Staff Consumption")</f>
        <v>0</v>
      </c>
      <c r="J27" s="50">
        <f>SUMIFS('Stock Adjustment'!$E:$E,'Stock Adjustment'!$B:$B,$A27,'Stock Adjustment'!$D:$D,"Damaged")</f>
        <v>0</v>
      </c>
      <c r="K27" s="50">
        <f>SUMIFS('Stock Adjustment'!$E:$E,'Stock Adjustment'!$B:$B,$A27,'Stock Adjustment'!$D:$D,"Expired")</f>
        <v>0</v>
      </c>
      <c r="L27" s="50">
        <f>SUMIFS('Stock Adjustment'!$E:$E,'Stock Adjustment'!$B:$B,$A27,'Stock Adjustment'!$D:$D,"Supplier Returned")</f>
        <v>0</v>
      </c>
      <c r="M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" s="53" t="str">
        <f>IF(B27="","",VLOOKUP(B27,'Product Master'!$B:$G,4,FALSE))</f>
        <v/>
      </c>
      <c r="O27" s="53" t="str">
        <f>IF(B27="","",VLOOKUP(B27,'Product Master'!$B:$G,5,FALSE))</f>
        <v/>
      </c>
      <c r="P27" s="50" t="str">
        <f>IF(B27="","",VLOOKUP(B27,'Product Master'!$B:$I,7,FALSE))</f>
        <v/>
      </c>
      <c r="Q27" s="158">
        <f>IFERROR(Table4[[#This Row],[Closing Stock]]*Table4[[#This Row],[Cost Price]],0)</f>
        <v>0</v>
      </c>
      <c r="R27" s="58" t="str">
        <f t="shared" si="0"/>
        <v/>
      </c>
      <c r="S27" s="25"/>
      <c r="T27" s="25"/>
      <c r="U27" s="25"/>
      <c r="V27" s="25"/>
      <c r="W27" s="25"/>
      <c r="X27" s="25"/>
    </row>
    <row r="28" spans="1:24" x14ac:dyDescent="0.25">
      <c r="A28" s="31" t="s">
        <v>582</v>
      </c>
      <c r="B28" s="32"/>
      <c r="C28" s="50" t="str">
        <f>IF(B28="","",VLOOKUP(B28,'Product Master'!$B:$G,2,FALSE))</f>
        <v/>
      </c>
      <c r="D28" s="50" t="str">
        <f>IF(B28="","",VLOOKUP(B28,'Product Master'!$B:$G,3,FALSE))</f>
        <v/>
      </c>
      <c r="E28" s="50"/>
      <c r="F28" s="50">
        <f>SUMIF('Stock Purchase'!$D:$D,B28,'Stock Purchase'!$F:$F)</f>
        <v>0</v>
      </c>
      <c r="G28" s="50">
        <f>SUMIFS('Stock Adjustment'!$E:$E,'Stock Adjustment'!$B:$B,$A28,'Stock Adjustment'!$D:$D,"Customer Returned")</f>
        <v>0</v>
      </c>
      <c r="H28" s="50">
        <f>SUMIF('Daily Sales Entry'!$D:$D,B28,'Daily Sales Entry'!$G:$G)</f>
        <v>0</v>
      </c>
      <c r="I28" s="50">
        <f>SUMIFS('Stock Adjustment'!$E:$E,'Stock Adjustment'!$B:$B,$A28,'Stock Adjustment'!$D:$D,"Staff Consumption")</f>
        <v>0</v>
      </c>
      <c r="J28" s="50">
        <f>SUMIFS('Stock Adjustment'!$E:$E,'Stock Adjustment'!$B:$B,$A28,'Stock Adjustment'!$D:$D,"Damaged")</f>
        <v>0</v>
      </c>
      <c r="K28" s="50">
        <f>SUMIFS('Stock Adjustment'!$E:$E,'Stock Adjustment'!$B:$B,$A28,'Stock Adjustment'!$D:$D,"Expired")</f>
        <v>0</v>
      </c>
      <c r="L28" s="50">
        <f>SUMIFS('Stock Adjustment'!$E:$E,'Stock Adjustment'!$B:$B,$A28,'Stock Adjustment'!$D:$D,"Supplier Returned")</f>
        <v>0</v>
      </c>
      <c r="M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" s="53" t="str">
        <f>IF(B28="","",VLOOKUP(B28,'Product Master'!$B:$G,4,FALSE))</f>
        <v/>
      </c>
      <c r="O28" s="53" t="str">
        <f>IF(B28="","",VLOOKUP(B28,'Product Master'!$B:$G,5,FALSE))</f>
        <v/>
      </c>
      <c r="P28" s="50" t="str">
        <f>IF(B28="","",VLOOKUP(B28,'Product Master'!$B:$I,7,FALSE))</f>
        <v/>
      </c>
      <c r="Q28" s="158">
        <f>IFERROR(Table4[[#This Row],[Closing Stock]]*Table4[[#This Row],[Cost Price]],0)</f>
        <v>0</v>
      </c>
      <c r="R28" s="58" t="str">
        <f t="shared" si="0"/>
        <v/>
      </c>
      <c r="S28" s="25"/>
      <c r="T28" s="25"/>
      <c r="U28" s="25"/>
      <c r="V28" s="25"/>
      <c r="W28" s="25"/>
      <c r="X28" s="25"/>
    </row>
    <row r="29" spans="1:24" x14ac:dyDescent="0.25">
      <c r="A29" s="31" t="s">
        <v>583</v>
      </c>
      <c r="B29" s="32"/>
      <c r="C29" s="50" t="str">
        <f>IF(B29="","",VLOOKUP(B29,'Product Master'!$B:$G,2,FALSE))</f>
        <v/>
      </c>
      <c r="D29" s="50" t="str">
        <f>IF(B29="","",VLOOKUP(B29,'Product Master'!$B:$G,3,FALSE))</f>
        <v/>
      </c>
      <c r="E29" s="50"/>
      <c r="F29" s="50">
        <f>SUMIF('Stock Purchase'!$D:$D,B29,'Stock Purchase'!$F:$F)</f>
        <v>0</v>
      </c>
      <c r="G29" s="50">
        <f>SUMIFS('Stock Adjustment'!$E:$E,'Stock Adjustment'!$B:$B,$A29,'Stock Adjustment'!$D:$D,"Customer Returned")</f>
        <v>0</v>
      </c>
      <c r="H29" s="50">
        <f>SUMIF('Daily Sales Entry'!$D:$D,B29,'Daily Sales Entry'!$G:$G)</f>
        <v>0</v>
      </c>
      <c r="I29" s="50">
        <f>SUMIFS('Stock Adjustment'!$E:$E,'Stock Adjustment'!$B:$B,$A29,'Stock Adjustment'!$D:$D,"Staff Consumption")</f>
        <v>0</v>
      </c>
      <c r="J29" s="50">
        <f>SUMIFS('Stock Adjustment'!$E:$E,'Stock Adjustment'!$B:$B,$A29,'Stock Adjustment'!$D:$D,"Damaged")</f>
        <v>0</v>
      </c>
      <c r="K29" s="50">
        <f>SUMIFS('Stock Adjustment'!$E:$E,'Stock Adjustment'!$B:$B,$A29,'Stock Adjustment'!$D:$D,"Expired")</f>
        <v>0</v>
      </c>
      <c r="L29" s="50">
        <f>SUMIFS('Stock Adjustment'!$E:$E,'Stock Adjustment'!$B:$B,$A29,'Stock Adjustment'!$D:$D,"Supplier Returned")</f>
        <v>0</v>
      </c>
      <c r="M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" s="53" t="str">
        <f>IF(B29="","",VLOOKUP(B29,'Product Master'!$B:$G,4,FALSE))</f>
        <v/>
      </c>
      <c r="O29" s="53" t="str">
        <f>IF(B29="","",VLOOKUP(B29,'Product Master'!$B:$G,5,FALSE))</f>
        <v/>
      </c>
      <c r="P29" s="50" t="str">
        <f>IF(B29="","",VLOOKUP(B29,'Product Master'!$B:$I,7,FALSE))</f>
        <v/>
      </c>
      <c r="Q29" s="158">
        <f>IFERROR(Table4[[#This Row],[Closing Stock]]*Table4[[#This Row],[Cost Price]],0)</f>
        <v>0</v>
      </c>
      <c r="R29" s="58" t="str">
        <f t="shared" si="0"/>
        <v/>
      </c>
      <c r="S29" s="25"/>
      <c r="T29" s="25"/>
      <c r="U29" s="25"/>
      <c r="V29" s="25"/>
      <c r="W29" s="25"/>
      <c r="X29" s="25"/>
    </row>
    <row r="30" spans="1:24" x14ac:dyDescent="0.25">
      <c r="A30" s="31" t="s">
        <v>584</v>
      </c>
      <c r="B30" s="32"/>
      <c r="C30" s="50" t="str">
        <f>IF(B30="","",VLOOKUP(B30,'Product Master'!$B:$G,2,FALSE))</f>
        <v/>
      </c>
      <c r="D30" s="50" t="str">
        <f>IF(B30="","",VLOOKUP(B30,'Product Master'!$B:$G,3,FALSE))</f>
        <v/>
      </c>
      <c r="E30" s="50"/>
      <c r="F30" s="50">
        <f>SUMIF('Stock Purchase'!$D:$D,B30,'Stock Purchase'!$F:$F)</f>
        <v>0</v>
      </c>
      <c r="G30" s="50">
        <f>SUMIFS('Stock Adjustment'!$E:$E,'Stock Adjustment'!$B:$B,$A30,'Stock Adjustment'!$D:$D,"Customer Returned")</f>
        <v>0</v>
      </c>
      <c r="H30" s="50">
        <f>SUMIF('Daily Sales Entry'!$D:$D,B30,'Daily Sales Entry'!$G:$G)</f>
        <v>0</v>
      </c>
      <c r="I30" s="50">
        <f>SUMIFS('Stock Adjustment'!$E:$E,'Stock Adjustment'!$B:$B,$A30,'Stock Adjustment'!$D:$D,"Staff Consumption")</f>
        <v>0</v>
      </c>
      <c r="J30" s="50">
        <f>SUMIFS('Stock Adjustment'!$E:$E,'Stock Adjustment'!$B:$B,$A30,'Stock Adjustment'!$D:$D,"Damaged")</f>
        <v>0</v>
      </c>
      <c r="K30" s="50">
        <f>SUMIFS('Stock Adjustment'!$E:$E,'Stock Adjustment'!$B:$B,$A30,'Stock Adjustment'!$D:$D,"Expired")</f>
        <v>0</v>
      </c>
      <c r="L30" s="50">
        <f>SUMIFS('Stock Adjustment'!$E:$E,'Stock Adjustment'!$B:$B,$A30,'Stock Adjustment'!$D:$D,"Supplier Returned")</f>
        <v>0</v>
      </c>
      <c r="M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" s="53" t="str">
        <f>IF(B30="","",VLOOKUP(B30,'Product Master'!$B:$G,4,FALSE))</f>
        <v/>
      </c>
      <c r="O30" s="53" t="str">
        <f>IF(B30="","",VLOOKUP(B30,'Product Master'!$B:$G,5,FALSE))</f>
        <v/>
      </c>
      <c r="P30" s="50" t="str">
        <f>IF(B30="","",VLOOKUP(B30,'Product Master'!$B:$I,7,FALSE))</f>
        <v/>
      </c>
      <c r="Q30" s="158">
        <f>IFERROR(Table4[[#This Row],[Closing Stock]]*Table4[[#This Row],[Cost Price]],0)</f>
        <v>0</v>
      </c>
      <c r="R30" s="58" t="str">
        <f t="shared" si="0"/>
        <v/>
      </c>
      <c r="S30" s="25"/>
      <c r="T30" s="25"/>
      <c r="U30" s="25"/>
      <c r="V30" s="25"/>
      <c r="W30" s="25"/>
      <c r="X30" s="25"/>
    </row>
    <row r="31" spans="1:24" x14ac:dyDescent="0.25">
      <c r="A31" s="31" t="s">
        <v>585</v>
      </c>
      <c r="B31" s="32"/>
      <c r="C31" s="50" t="str">
        <f>IF(B31="","",VLOOKUP(B31,'Product Master'!$B:$G,2,FALSE))</f>
        <v/>
      </c>
      <c r="D31" s="50" t="str">
        <f>IF(B31="","",VLOOKUP(B31,'Product Master'!$B:$G,3,FALSE))</f>
        <v/>
      </c>
      <c r="E31" s="50"/>
      <c r="F31" s="50">
        <f>SUMIF('Stock Purchase'!$D:$D,B31,'Stock Purchase'!$F:$F)</f>
        <v>0</v>
      </c>
      <c r="G31" s="50">
        <f>SUMIFS('Stock Adjustment'!$E:$E,'Stock Adjustment'!$B:$B,$A31,'Stock Adjustment'!$D:$D,"Customer Returned")</f>
        <v>0</v>
      </c>
      <c r="H31" s="50">
        <f>SUMIF('Daily Sales Entry'!$D:$D,B31,'Daily Sales Entry'!$G:$G)</f>
        <v>0</v>
      </c>
      <c r="I31" s="50">
        <f>SUMIFS('Stock Adjustment'!$E:$E,'Stock Adjustment'!$B:$B,$A31,'Stock Adjustment'!$D:$D,"Staff Consumption")</f>
        <v>0</v>
      </c>
      <c r="J31" s="50">
        <f>SUMIFS('Stock Adjustment'!$E:$E,'Stock Adjustment'!$B:$B,$A31,'Stock Adjustment'!$D:$D,"Damaged")</f>
        <v>0</v>
      </c>
      <c r="K31" s="50">
        <f>SUMIFS('Stock Adjustment'!$E:$E,'Stock Adjustment'!$B:$B,$A31,'Stock Adjustment'!$D:$D,"Expired")</f>
        <v>0</v>
      </c>
      <c r="L31" s="50">
        <f>SUMIFS('Stock Adjustment'!$E:$E,'Stock Adjustment'!$B:$B,$A31,'Stock Adjustment'!$D:$D,"Supplier Returned")</f>
        <v>0</v>
      </c>
      <c r="M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" s="53" t="str">
        <f>IF(B31="","",VLOOKUP(B31,'Product Master'!$B:$G,4,FALSE))</f>
        <v/>
      </c>
      <c r="O31" s="53" t="str">
        <f>IF(B31="","",VLOOKUP(B31,'Product Master'!$B:$G,5,FALSE))</f>
        <v/>
      </c>
      <c r="P31" s="50" t="str">
        <f>IF(B31="","",VLOOKUP(B31,'Product Master'!$B:$I,7,FALSE))</f>
        <v/>
      </c>
      <c r="Q31" s="158">
        <f>IFERROR(Table4[[#This Row],[Closing Stock]]*Table4[[#This Row],[Cost Price]],0)</f>
        <v>0</v>
      </c>
      <c r="R31" s="58" t="str">
        <f t="shared" si="0"/>
        <v/>
      </c>
      <c r="S31" s="25"/>
      <c r="T31" s="25"/>
      <c r="U31" s="25"/>
      <c r="V31" s="25"/>
      <c r="W31" s="25"/>
      <c r="X31" s="25"/>
    </row>
    <row r="32" spans="1:24" x14ac:dyDescent="0.25">
      <c r="A32" s="31" t="s">
        <v>586</v>
      </c>
      <c r="B32" s="32"/>
      <c r="C32" s="50" t="str">
        <f>IF(B32="","",VLOOKUP(B32,'Product Master'!$B:$G,2,FALSE))</f>
        <v/>
      </c>
      <c r="D32" s="50" t="str">
        <f>IF(B32="","",VLOOKUP(B32,'Product Master'!$B:$G,3,FALSE))</f>
        <v/>
      </c>
      <c r="E32" s="50"/>
      <c r="F32" s="50">
        <f>SUMIF('Stock Purchase'!$D:$D,B32,'Stock Purchase'!$F:$F)</f>
        <v>0</v>
      </c>
      <c r="G32" s="50">
        <f>SUMIFS('Stock Adjustment'!$E:$E,'Stock Adjustment'!$B:$B,$A32,'Stock Adjustment'!$D:$D,"Customer Returned")</f>
        <v>0</v>
      </c>
      <c r="H32" s="50">
        <f>SUMIF('Daily Sales Entry'!$D:$D,B32,'Daily Sales Entry'!$G:$G)</f>
        <v>0</v>
      </c>
      <c r="I32" s="50">
        <f>SUMIFS('Stock Adjustment'!$E:$E,'Stock Adjustment'!$B:$B,$A32,'Stock Adjustment'!$D:$D,"Staff Consumption")</f>
        <v>0</v>
      </c>
      <c r="J32" s="50">
        <f>SUMIFS('Stock Adjustment'!$E:$E,'Stock Adjustment'!$B:$B,$A32,'Stock Adjustment'!$D:$D,"Damaged")</f>
        <v>0</v>
      </c>
      <c r="K32" s="50">
        <f>SUMIFS('Stock Adjustment'!$E:$E,'Stock Adjustment'!$B:$B,$A32,'Stock Adjustment'!$D:$D,"Expired")</f>
        <v>0</v>
      </c>
      <c r="L32" s="50">
        <f>SUMIFS('Stock Adjustment'!$E:$E,'Stock Adjustment'!$B:$B,$A32,'Stock Adjustment'!$D:$D,"Supplier Returned")</f>
        <v>0</v>
      </c>
      <c r="M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" s="53" t="str">
        <f>IF(B32="","",VLOOKUP(B32,'Product Master'!$B:$G,4,FALSE))</f>
        <v/>
      </c>
      <c r="O32" s="53" t="str">
        <f>IF(B32="","",VLOOKUP(B32,'Product Master'!$B:$G,5,FALSE))</f>
        <v/>
      </c>
      <c r="P32" s="50" t="str">
        <f>IF(B32="","",VLOOKUP(B32,'Product Master'!$B:$I,7,FALSE))</f>
        <v/>
      </c>
      <c r="Q32" s="158">
        <f>IFERROR(Table4[[#This Row],[Closing Stock]]*Table4[[#This Row],[Cost Price]],0)</f>
        <v>0</v>
      </c>
      <c r="R32" s="58" t="str">
        <f t="shared" si="0"/>
        <v/>
      </c>
      <c r="S32" s="25"/>
      <c r="T32" s="25"/>
      <c r="U32" s="25"/>
      <c r="V32" s="25"/>
      <c r="W32" s="25"/>
      <c r="X32" s="25"/>
    </row>
    <row r="33" spans="1:24" x14ac:dyDescent="0.25">
      <c r="A33" s="31" t="s">
        <v>587</v>
      </c>
      <c r="B33" s="32"/>
      <c r="C33" s="50" t="str">
        <f>IF(B33="","",VLOOKUP(B33,'Product Master'!$B:$G,2,FALSE))</f>
        <v/>
      </c>
      <c r="D33" s="50" t="str">
        <f>IF(B33="","",VLOOKUP(B33,'Product Master'!$B:$G,3,FALSE))</f>
        <v/>
      </c>
      <c r="E33" s="50"/>
      <c r="F33" s="50">
        <f>SUMIF('Stock Purchase'!$D:$D,B33,'Stock Purchase'!$F:$F)</f>
        <v>0</v>
      </c>
      <c r="G33" s="50">
        <f>SUMIFS('Stock Adjustment'!$E:$E,'Stock Adjustment'!$B:$B,$A33,'Stock Adjustment'!$D:$D,"Customer Returned")</f>
        <v>0</v>
      </c>
      <c r="H33" s="50">
        <f>SUMIF('Daily Sales Entry'!$D:$D,B33,'Daily Sales Entry'!$G:$G)</f>
        <v>0</v>
      </c>
      <c r="I33" s="50">
        <f>SUMIFS('Stock Adjustment'!$E:$E,'Stock Adjustment'!$B:$B,$A33,'Stock Adjustment'!$D:$D,"Staff Consumption")</f>
        <v>0</v>
      </c>
      <c r="J33" s="50">
        <f>SUMIFS('Stock Adjustment'!$E:$E,'Stock Adjustment'!$B:$B,$A33,'Stock Adjustment'!$D:$D,"Damaged")</f>
        <v>0</v>
      </c>
      <c r="K33" s="50">
        <f>SUMIFS('Stock Adjustment'!$E:$E,'Stock Adjustment'!$B:$B,$A33,'Stock Adjustment'!$D:$D,"Expired")</f>
        <v>0</v>
      </c>
      <c r="L33" s="50">
        <f>SUMIFS('Stock Adjustment'!$E:$E,'Stock Adjustment'!$B:$B,$A33,'Stock Adjustment'!$D:$D,"Supplier Returned")</f>
        <v>0</v>
      </c>
      <c r="M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" s="53" t="str">
        <f>IF(B33="","",VLOOKUP(B33,'Product Master'!$B:$G,4,FALSE))</f>
        <v/>
      </c>
      <c r="O33" s="53" t="str">
        <f>IF(B33="","",VLOOKUP(B33,'Product Master'!$B:$G,5,FALSE))</f>
        <v/>
      </c>
      <c r="P33" s="50" t="str">
        <f>IF(B33="","",VLOOKUP(B33,'Product Master'!$B:$I,7,FALSE))</f>
        <v/>
      </c>
      <c r="Q33" s="158">
        <f>IFERROR(Table4[[#This Row],[Closing Stock]]*Table4[[#This Row],[Cost Price]],0)</f>
        <v>0</v>
      </c>
      <c r="R33" s="58" t="str">
        <f t="shared" si="0"/>
        <v/>
      </c>
      <c r="S33" s="25"/>
      <c r="T33" s="25"/>
      <c r="U33" s="25"/>
      <c r="V33" s="25"/>
      <c r="W33" s="25"/>
      <c r="X33" s="25"/>
    </row>
    <row r="34" spans="1:24" x14ac:dyDescent="0.25">
      <c r="A34" s="31" t="s">
        <v>588</v>
      </c>
      <c r="B34" s="32"/>
      <c r="C34" s="50" t="str">
        <f>IF(B34="","",VLOOKUP(B34,'Product Master'!$B:$G,2,FALSE))</f>
        <v/>
      </c>
      <c r="D34" s="50" t="str">
        <f>IF(B34="","",VLOOKUP(B34,'Product Master'!$B:$G,3,FALSE))</f>
        <v/>
      </c>
      <c r="E34" s="50"/>
      <c r="F34" s="50">
        <f>SUMIF('Stock Purchase'!$D:$D,B34,'Stock Purchase'!$F:$F)</f>
        <v>0</v>
      </c>
      <c r="G34" s="50">
        <f>SUMIFS('Stock Adjustment'!$E:$E,'Stock Adjustment'!$B:$B,$A34,'Stock Adjustment'!$D:$D,"Customer Returned")</f>
        <v>0</v>
      </c>
      <c r="H34" s="50">
        <f>SUMIF('Daily Sales Entry'!$D:$D,B34,'Daily Sales Entry'!$G:$G)</f>
        <v>0</v>
      </c>
      <c r="I34" s="50">
        <f>SUMIFS('Stock Adjustment'!$E:$E,'Stock Adjustment'!$B:$B,$A34,'Stock Adjustment'!$D:$D,"Staff Consumption")</f>
        <v>0</v>
      </c>
      <c r="J34" s="50">
        <f>SUMIFS('Stock Adjustment'!$E:$E,'Stock Adjustment'!$B:$B,$A34,'Stock Adjustment'!$D:$D,"Damaged")</f>
        <v>0</v>
      </c>
      <c r="K34" s="50">
        <f>SUMIFS('Stock Adjustment'!$E:$E,'Stock Adjustment'!$B:$B,$A34,'Stock Adjustment'!$D:$D,"Expired")</f>
        <v>0</v>
      </c>
      <c r="L34" s="50">
        <f>SUMIFS('Stock Adjustment'!$E:$E,'Stock Adjustment'!$B:$B,$A34,'Stock Adjustment'!$D:$D,"Supplier Returned")</f>
        <v>0</v>
      </c>
      <c r="M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" s="53" t="str">
        <f>IF(B34="","",VLOOKUP(B34,'Product Master'!$B:$G,4,FALSE))</f>
        <v/>
      </c>
      <c r="O34" s="53" t="str">
        <f>IF(B34="","",VLOOKUP(B34,'Product Master'!$B:$G,5,FALSE))</f>
        <v/>
      </c>
      <c r="P34" s="50" t="str">
        <f>IF(B34="","",VLOOKUP(B34,'Product Master'!$B:$I,7,FALSE))</f>
        <v/>
      </c>
      <c r="Q34" s="158">
        <f>IFERROR(Table4[[#This Row],[Closing Stock]]*Table4[[#This Row],[Cost Price]],0)</f>
        <v>0</v>
      </c>
      <c r="R34" s="58" t="str">
        <f t="shared" si="0"/>
        <v/>
      </c>
      <c r="S34" s="25"/>
      <c r="T34" s="25"/>
      <c r="U34" s="25"/>
      <c r="V34" s="25"/>
      <c r="W34" s="25"/>
      <c r="X34" s="25"/>
    </row>
    <row r="35" spans="1:24" x14ac:dyDescent="0.25">
      <c r="A35" s="31" t="s">
        <v>589</v>
      </c>
      <c r="B35" s="32"/>
      <c r="C35" s="50" t="str">
        <f>IF(B35="","",VLOOKUP(B35,'Product Master'!$B:$G,2,FALSE))</f>
        <v/>
      </c>
      <c r="D35" s="50" t="str">
        <f>IF(B35="","",VLOOKUP(B35,'Product Master'!$B:$G,3,FALSE))</f>
        <v/>
      </c>
      <c r="E35" s="50"/>
      <c r="F35" s="50">
        <f>SUMIF('Stock Purchase'!$D:$D,B35,'Stock Purchase'!$F:$F)</f>
        <v>0</v>
      </c>
      <c r="G35" s="50">
        <f>SUMIFS('Stock Adjustment'!$E:$E,'Stock Adjustment'!$B:$B,$A35,'Stock Adjustment'!$D:$D,"Customer Returned")</f>
        <v>0</v>
      </c>
      <c r="H35" s="50">
        <f>SUMIF('Daily Sales Entry'!$D:$D,B35,'Daily Sales Entry'!$G:$G)</f>
        <v>0</v>
      </c>
      <c r="I35" s="50">
        <f>SUMIFS('Stock Adjustment'!$E:$E,'Stock Adjustment'!$B:$B,$A35,'Stock Adjustment'!$D:$D,"Staff Consumption")</f>
        <v>0</v>
      </c>
      <c r="J35" s="50">
        <f>SUMIFS('Stock Adjustment'!$E:$E,'Stock Adjustment'!$B:$B,$A35,'Stock Adjustment'!$D:$D,"Damaged")</f>
        <v>0</v>
      </c>
      <c r="K35" s="50">
        <f>SUMIFS('Stock Adjustment'!$E:$E,'Stock Adjustment'!$B:$B,$A35,'Stock Adjustment'!$D:$D,"Expired")</f>
        <v>0</v>
      </c>
      <c r="L35" s="50">
        <f>SUMIFS('Stock Adjustment'!$E:$E,'Stock Adjustment'!$B:$B,$A35,'Stock Adjustment'!$D:$D,"Supplier Returned")</f>
        <v>0</v>
      </c>
      <c r="M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" s="53" t="str">
        <f>IF(B35="","",VLOOKUP(B35,'Product Master'!$B:$G,4,FALSE))</f>
        <v/>
      </c>
      <c r="O35" s="53" t="str">
        <f>IF(B35="","",VLOOKUP(B35,'Product Master'!$B:$G,5,FALSE))</f>
        <v/>
      </c>
      <c r="P35" s="50" t="str">
        <f>IF(B35="","",VLOOKUP(B35,'Product Master'!$B:$I,7,FALSE))</f>
        <v/>
      </c>
      <c r="Q35" s="158">
        <f>IFERROR(Table4[[#This Row],[Closing Stock]]*Table4[[#This Row],[Cost Price]],0)</f>
        <v>0</v>
      </c>
      <c r="R35" s="58" t="str">
        <f t="shared" si="0"/>
        <v/>
      </c>
      <c r="S35" s="25"/>
      <c r="T35" s="25"/>
      <c r="U35" s="25"/>
      <c r="V35" s="25"/>
      <c r="W35" s="25"/>
      <c r="X35" s="25"/>
    </row>
    <row r="36" spans="1:24" x14ac:dyDescent="0.25">
      <c r="A36" s="31" t="s">
        <v>590</v>
      </c>
      <c r="B36" s="32"/>
      <c r="C36" s="50" t="str">
        <f>IF(B36="","",VLOOKUP(B36,'Product Master'!$B:$G,2,FALSE))</f>
        <v/>
      </c>
      <c r="D36" s="50" t="str">
        <f>IF(B36="","",VLOOKUP(B36,'Product Master'!$B:$G,3,FALSE))</f>
        <v/>
      </c>
      <c r="E36" s="50"/>
      <c r="F36" s="50">
        <f>SUMIF('Stock Purchase'!$D:$D,B36,'Stock Purchase'!$F:$F)</f>
        <v>0</v>
      </c>
      <c r="G36" s="50">
        <f>SUMIFS('Stock Adjustment'!$E:$E,'Stock Adjustment'!$B:$B,$A36,'Stock Adjustment'!$D:$D,"Customer Returned")</f>
        <v>0</v>
      </c>
      <c r="H36" s="50">
        <f>SUMIF('Daily Sales Entry'!$D:$D,B36,'Daily Sales Entry'!$G:$G)</f>
        <v>0</v>
      </c>
      <c r="I36" s="50">
        <f>SUMIFS('Stock Adjustment'!$E:$E,'Stock Adjustment'!$B:$B,$A36,'Stock Adjustment'!$D:$D,"Staff Consumption")</f>
        <v>0</v>
      </c>
      <c r="J36" s="50">
        <f>SUMIFS('Stock Adjustment'!$E:$E,'Stock Adjustment'!$B:$B,$A36,'Stock Adjustment'!$D:$D,"Damaged")</f>
        <v>0</v>
      </c>
      <c r="K36" s="50">
        <f>SUMIFS('Stock Adjustment'!$E:$E,'Stock Adjustment'!$B:$B,$A36,'Stock Adjustment'!$D:$D,"Expired")</f>
        <v>0</v>
      </c>
      <c r="L36" s="50">
        <f>SUMIFS('Stock Adjustment'!$E:$E,'Stock Adjustment'!$B:$B,$A36,'Stock Adjustment'!$D:$D,"Supplier Returned")</f>
        <v>0</v>
      </c>
      <c r="M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" s="53" t="str">
        <f>IF(B36="","",VLOOKUP(B36,'Product Master'!$B:$G,4,FALSE))</f>
        <v/>
      </c>
      <c r="O36" s="53" t="str">
        <f>IF(B36="","",VLOOKUP(B36,'Product Master'!$B:$G,5,FALSE))</f>
        <v/>
      </c>
      <c r="P36" s="50" t="str">
        <f>IF(B36="","",VLOOKUP(B36,'Product Master'!$B:$I,7,FALSE))</f>
        <v/>
      </c>
      <c r="Q36" s="158">
        <f>IFERROR(Table4[[#This Row],[Closing Stock]]*Table4[[#This Row],[Cost Price]],0)</f>
        <v>0</v>
      </c>
      <c r="R36" s="58" t="str">
        <f t="shared" si="0"/>
        <v/>
      </c>
      <c r="S36" s="25"/>
      <c r="T36" s="25"/>
      <c r="U36" s="25"/>
      <c r="V36" s="25"/>
      <c r="W36" s="25"/>
      <c r="X36" s="25"/>
    </row>
    <row r="37" spans="1:24" x14ac:dyDescent="0.25">
      <c r="A37" s="31" t="s">
        <v>591</v>
      </c>
      <c r="B37" s="32"/>
      <c r="C37" s="50" t="str">
        <f>IF(B37="","",VLOOKUP(B37,'Product Master'!$B:$G,2,FALSE))</f>
        <v/>
      </c>
      <c r="D37" s="50" t="str">
        <f>IF(B37="","",VLOOKUP(B37,'Product Master'!$B:$G,3,FALSE))</f>
        <v/>
      </c>
      <c r="E37" s="50"/>
      <c r="F37" s="50">
        <f>SUMIF('Stock Purchase'!$D:$D,B37,'Stock Purchase'!$F:$F)</f>
        <v>0</v>
      </c>
      <c r="G37" s="50">
        <f>SUMIFS('Stock Adjustment'!$E:$E,'Stock Adjustment'!$B:$B,$A37,'Stock Adjustment'!$D:$D,"Customer Returned")</f>
        <v>0</v>
      </c>
      <c r="H37" s="50">
        <f>SUMIF('Daily Sales Entry'!$D:$D,B37,'Daily Sales Entry'!$G:$G)</f>
        <v>0</v>
      </c>
      <c r="I37" s="50">
        <f>SUMIFS('Stock Adjustment'!$E:$E,'Stock Adjustment'!$B:$B,$A37,'Stock Adjustment'!$D:$D,"Staff Consumption")</f>
        <v>0</v>
      </c>
      <c r="J37" s="50">
        <f>SUMIFS('Stock Adjustment'!$E:$E,'Stock Adjustment'!$B:$B,$A37,'Stock Adjustment'!$D:$D,"Damaged")</f>
        <v>0</v>
      </c>
      <c r="K37" s="50">
        <f>SUMIFS('Stock Adjustment'!$E:$E,'Stock Adjustment'!$B:$B,$A37,'Stock Adjustment'!$D:$D,"Expired")</f>
        <v>0</v>
      </c>
      <c r="L37" s="50">
        <f>SUMIFS('Stock Adjustment'!$E:$E,'Stock Adjustment'!$B:$B,$A37,'Stock Adjustment'!$D:$D,"Supplier Returned")</f>
        <v>0</v>
      </c>
      <c r="M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" s="53" t="str">
        <f>IF(B37="","",VLOOKUP(B37,'Product Master'!$B:$G,4,FALSE))</f>
        <v/>
      </c>
      <c r="O37" s="53" t="str">
        <f>IF(B37="","",VLOOKUP(B37,'Product Master'!$B:$G,5,FALSE))</f>
        <v/>
      </c>
      <c r="P37" s="50" t="str">
        <f>IF(B37="","",VLOOKUP(B37,'Product Master'!$B:$I,7,FALSE))</f>
        <v/>
      </c>
      <c r="Q37" s="158">
        <f>IFERROR(Table4[[#This Row],[Closing Stock]]*Table4[[#This Row],[Cost Price]],0)</f>
        <v>0</v>
      </c>
      <c r="R37" s="58" t="str">
        <f t="shared" si="0"/>
        <v/>
      </c>
      <c r="S37" s="25"/>
      <c r="T37" s="25"/>
      <c r="U37" s="25"/>
      <c r="V37" s="25"/>
      <c r="W37" s="25"/>
      <c r="X37" s="25"/>
    </row>
    <row r="38" spans="1:24" x14ac:dyDescent="0.25">
      <c r="A38" s="31" t="s">
        <v>592</v>
      </c>
      <c r="B38" s="32"/>
      <c r="C38" s="50" t="str">
        <f>IF(B38="","",VLOOKUP(B38,'Product Master'!$B:$G,2,FALSE))</f>
        <v/>
      </c>
      <c r="D38" s="50" t="str">
        <f>IF(B38="","",VLOOKUP(B38,'Product Master'!$B:$G,3,FALSE))</f>
        <v/>
      </c>
      <c r="E38" s="50"/>
      <c r="F38" s="50">
        <f>SUMIF('Stock Purchase'!$D:$D,B38,'Stock Purchase'!$F:$F)</f>
        <v>0</v>
      </c>
      <c r="G38" s="50">
        <f>SUMIFS('Stock Adjustment'!$E:$E,'Stock Adjustment'!$B:$B,$A38,'Stock Adjustment'!$D:$D,"Customer Returned")</f>
        <v>0</v>
      </c>
      <c r="H38" s="50">
        <f>SUMIF('Daily Sales Entry'!$D:$D,B38,'Daily Sales Entry'!$G:$G)</f>
        <v>0</v>
      </c>
      <c r="I38" s="50">
        <f>SUMIFS('Stock Adjustment'!$E:$E,'Stock Adjustment'!$B:$B,$A38,'Stock Adjustment'!$D:$D,"Staff Consumption")</f>
        <v>0</v>
      </c>
      <c r="J38" s="50">
        <f>SUMIFS('Stock Adjustment'!$E:$E,'Stock Adjustment'!$B:$B,$A38,'Stock Adjustment'!$D:$D,"Damaged")</f>
        <v>0</v>
      </c>
      <c r="K38" s="50">
        <f>SUMIFS('Stock Adjustment'!$E:$E,'Stock Adjustment'!$B:$B,$A38,'Stock Adjustment'!$D:$D,"Expired")</f>
        <v>0</v>
      </c>
      <c r="L38" s="50">
        <f>SUMIFS('Stock Adjustment'!$E:$E,'Stock Adjustment'!$B:$B,$A38,'Stock Adjustment'!$D:$D,"Supplier Returned")</f>
        <v>0</v>
      </c>
      <c r="M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" s="53" t="str">
        <f>IF(B38="","",VLOOKUP(B38,'Product Master'!$B:$G,4,FALSE))</f>
        <v/>
      </c>
      <c r="O38" s="53" t="str">
        <f>IF(B38="","",VLOOKUP(B38,'Product Master'!$B:$G,5,FALSE))</f>
        <v/>
      </c>
      <c r="P38" s="50" t="str">
        <f>IF(B38="","",VLOOKUP(B38,'Product Master'!$B:$I,7,FALSE))</f>
        <v/>
      </c>
      <c r="Q38" s="158">
        <f>IFERROR(Table4[[#This Row],[Closing Stock]]*Table4[[#This Row],[Cost Price]],0)</f>
        <v>0</v>
      </c>
      <c r="R38" s="58" t="str">
        <f t="shared" si="0"/>
        <v/>
      </c>
      <c r="S38" s="25"/>
      <c r="T38" s="25"/>
      <c r="U38" s="25"/>
      <c r="V38" s="25"/>
      <c r="W38" s="25"/>
      <c r="X38" s="25"/>
    </row>
    <row r="39" spans="1:24" x14ac:dyDescent="0.25">
      <c r="A39" s="31" t="s">
        <v>593</v>
      </c>
      <c r="B39" s="32"/>
      <c r="C39" s="50" t="str">
        <f>IF(B39="","",VLOOKUP(B39,'Product Master'!$B:$G,2,FALSE))</f>
        <v/>
      </c>
      <c r="D39" s="50" t="str">
        <f>IF(B39="","",VLOOKUP(B39,'Product Master'!$B:$G,3,FALSE))</f>
        <v/>
      </c>
      <c r="E39" s="50"/>
      <c r="F39" s="50">
        <f>SUMIF('Stock Purchase'!$D:$D,B39,'Stock Purchase'!$F:$F)</f>
        <v>0</v>
      </c>
      <c r="G39" s="50">
        <f>SUMIFS('Stock Adjustment'!$E:$E,'Stock Adjustment'!$B:$B,$A39,'Stock Adjustment'!$D:$D,"Customer Returned")</f>
        <v>0</v>
      </c>
      <c r="H39" s="50">
        <f>SUMIF('Daily Sales Entry'!$D:$D,B39,'Daily Sales Entry'!$G:$G)</f>
        <v>0</v>
      </c>
      <c r="I39" s="50">
        <f>SUMIFS('Stock Adjustment'!$E:$E,'Stock Adjustment'!$B:$B,$A39,'Stock Adjustment'!$D:$D,"Staff Consumption")</f>
        <v>0</v>
      </c>
      <c r="J39" s="50">
        <f>SUMIFS('Stock Adjustment'!$E:$E,'Stock Adjustment'!$B:$B,$A39,'Stock Adjustment'!$D:$D,"Damaged")</f>
        <v>0</v>
      </c>
      <c r="K39" s="50">
        <f>SUMIFS('Stock Adjustment'!$E:$E,'Stock Adjustment'!$B:$B,$A39,'Stock Adjustment'!$D:$D,"Expired")</f>
        <v>0</v>
      </c>
      <c r="L39" s="50">
        <f>SUMIFS('Stock Adjustment'!$E:$E,'Stock Adjustment'!$B:$B,$A39,'Stock Adjustment'!$D:$D,"Supplier Returned")</f>
        <v>0</v>
      </c>
      <c r="M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" s="53" t="str">
        <f>IF(B39="","",VLOOKUP(B39,'Product Master'!$B:$G,4,FALSE))</f>
        <v/>
      </c>
      <c r="O39" s="53" t="str">
        <f>IF(B39="","",VLOOKUP(B39,'Product Master'!$B:$G,5,FALSE))</f>
        <v/>
      </c>
      <c r="P39" s="50" t="str">
        <f>IF(B39="","",VLOOKUP(B39,'Product Master'!$B:$I,7,FALSE))</f>
        <v/>
      </c>
      <c r="Q39" s="158">
        <f>IFERROR(Table4[[#This Row],[Closing Stock]]*Table4[[#This Row],[Cost Price]],0)</f>
        <v>0</v>
      </c>
      <c r="R39" s="58" t="str">
        <f t="shared" si="0"/>
        <v/>
      </c>
      <c r="S39" s="25"/>
      <c r="T39" s="25"/>
      <c r="U39" s="25"/>
      <c r="V39" s="25"/>
      <c r="W39" s="25"/>
      <c r="X39" s="25"/>
    </row>
    <row r="40" spans="1:24" x14ac:dyDescent="0.25">
      <c r="A40" s="31" t="s">
        <v>594</v>
      </c>
      <c r="B40" s="32"/>
      <c r="C40" s="50" t="str">
        <f>IF(B40="","",VLOOKUP(B40,'Product Master'!$B:$G,2,FALSE))</f>
        <v/>
      </c>
      <c r="D40" s="50" t="str">
        <f>IF(B40="","",VLOOKUP(B40,'Product Master'!$B:$G,3,FALSE))</f>
        <v/>
      </c>
      <c r="E40" s="50"/>
      <c r="F40" s="50">
        <f>SUMIF('Stock Purchase'!$D:$D,B40,'Stock Purchase'!$F:$F)</f>
        <v>0</v>
      </c>
      <c r="G40" s="50">
        <f>SUMIFS('Stock Adjustment'!$E:$E,'Stock Adjustment'!$B:$B,$A40,'Stock Adjustment'!$D:$D,"Customer Returned")</f>
        <v>0</v>
      </c>
      <c r="H40" s="50">
        <f>SUMIF('Daily Sales Entry'!$D:$D,B40,'Daily Sales Entry'!$G:$G)</f>
        <v>0</v>
      </c>
      <c r="I40" s="50">
        <f>SUMIFS('Stock Adjustment'!$E:$E,'Stock Adjustment'!$B:$B,$A40,'Stock Adjustment'!$D:$D,"Staff Consumption")</f>
        <v>0</v>
      </c>
      <c r="J40" s="50">
        <f>SUMIFS('Stock Adjustment'!$E:$E,'Stock Adjustment'!$B:$B,$A40,'Stock Adjustment'!$D:$D,"Damaged")</f>
        <v>0</v>
      </c>
      <c r="K40" s="50">
        <f>SUMIFS('Stock Adjustment'!$E:$E,'Stock Adjustment'!$B:$B,$A40,'Stock Adjustment'!$D:$D,"Expired")</f>
        <v>0</v>
      </c>
      <c r="L40" s="50">
        <f>SUMIFS('Stock Adjustment'!$E:$E,'Stock Adjustment'!$B:$B,$A40,'Stock Adjustment'!$D:$D,"Supplier Returned")</f>
        <v>0</v>
      </c>
      <c r="M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" s="53" t="str">
        <f>IF(B40="","",VLOOKUP(B40,'Product Master'!$B:$G,4,FALSE))</f>
        <v/>
      </c>
      <c r="O40" s="53" t="str">
        <f>IF(B40="","",VLOOKUP(B40,'Product Master'!$B:$G,5,FALSE))</f>
        <v/>
      </c>
      <c r="P40" s="50" t="str">
        <f>IF(B40="","",VLOOKUP(B40,'Product Master'!$B:$I,7,FALSE))</f>
        <v/>
      </c>
      <c r="Q40" s="158">
        <f>IFERROR(Table4[[#This Row],[Closing Stock]]*Table4[[#This Row],[Cost Price]],0)</f>
        <v>0</v>
      </c>
      <c r="R40" s="58" t="str">
        <f t="shared" si="0"/>
        <v/>
      </c>
      <c r="S40" s="25"/>
      <c r="T40" s="25"/>
      <c r="U40" s="25"/>
      <c r="V40" s="25"/>
      <c r="W40" s="25"/>
      <c r="X40" s="25"/>
    </row>
    <row r="41" spans="1:24" x14ac:dyDescent="0.25">
      <c r="A41" s="31" t="s">
        <v>595</v>
      </c>
      <c r="B41" s="32"/>
      <c r="C41" s="50" t="str">
        <f>IF(B41="","",VLOOKUP(B41,'Product Master'!$B:$G,2,FALSE))</f>
        <v/>
      </c>
      <c r="D41" s="50" t="str">
        <f>IF(B41="","",VLOOKUP(B41,'Product Master'!$B:$G,3,FALSE))</f>
        <v/>
      </c>
      <c r="E41" s="50"/>
      <c r="F41" s="50">
        <f>SUMIF('Stock Purchase'!$D:$D,B41,'Stock Purchase'!$F:$F)</f>
        <v>0</v>
      </c>
      <c r="G41" s="50">
        <f>SUMIFS('Stock Adjustment'!$E:$E,'Stock Adjustment'!$B:$B,$A41,'Stock Adjustment'!$D:$D,"Customer Returned")</f>
        <v>0</v>
      </c>
      <c r="H41" s="50">
        <f>SUMIF('Daily Sales Entry'!$D:$D,B41,'Daily Sales Entry'!$G:$G)</f>
        <v>0</v>
      </c>
      <c r="I41" s="50">
        <f>SUMIFS('Stock Adjustment'!$E:$E,'Stock Adjustment'!$B:$B,$A41,'Stock Adjustment'!$D:$D,"Staff Consumption")</f>
        <v>0</v>
      </c>
      <c r="J41" s="50">
        <f>SUMIFS('Stock Adjustment'!$E:$E,'Stock Adjustment'!$B:$B,$A41,'Stock Adjustment'!$D:$D,"Damaged")</f>
        <v>0</v>
      </c>
      <c r="K41" s="50">
        <f>SUMIFS('Stock Adjustment'!$E:$E,'Stock Adjustment'!$B:$B,$A41,'Stock Adjustment'!$D:$D,"Expired")</f>
        <v>0</v>
      </c>
      <c r="L41" s="50">
        <f>SUMIFS('Stock Adjustment'!$E:$E,'Stock Adjustment'!$B:$B,$A41,'Stock Adjustment'!$D:$D,"Supplier Returned")</f>
        <v>0</v>
      </c>
      <c r="M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" s="53" t="str">
        <f>IF(B41="","",VLOOKUP(B41,'Product Master'!$B:$G,4,FALSE))</f>
        <v/>
      </c>
      <c r="O41" s="53" t="str">
        <f>IF(B41="","",VLOOKUP(B41,'Product Master'!$B:$G,5,FALSE))</f>
        <v/>
      </c>
      <c r="P41" s="50" t="str">
        <f>IF(B41="","",VLOOKUP(B41,'Product Master'!$B:$I,7,FALSE))</f>
        <v/>
      </c>
      <c r="Q41" s="158">
        <f>IFERROR(Table4[[#This Row],[Closing Stock]]*Table4[[#This Row],[Cost Price]],0)</f>
        <v>0</v>
      </c>
      <c r="R41" s="58" t="str">
        <f t="shared" si="0"/>
        <v/>
      </c>
      <c r="S41" s="25"/>
      <c r="T41" s="25"/>
      <c r="U41" s="25"/>
      <c r="V41" s="25"/>
      <c r="W41" s="25"/>
      <c r="X41" s="25"/>
    </row>
    <row r="42" spans="1:24" x14ac:dyDescent="0.25">
      <c r="A42" s="31" t="s">
        <v>596</v>
      </c>
      <c r="B42" s="32"/>
      <c r="C42" s="50" t="str">
        <f>IF(B42="","",VLOOKUP(B42,'Product Master'!$B:$G,2,FALSE))</f>
        <v/>
      </c>
      <c r="D42" s="50" t="str">
        <f>IF(B42="","",VLOOKUP(B42,'Product Master'!$B:$G,3,FALSE))</f>
        <v/>
      </c>
      <c r="E42" s="50"/>
      <c r="F42" s="50">
        <f>SUMIF('Stock Purchase'!$D:$D,B42,'Stock Purchase'!$F:$F)</f>
        <v>0</v>
      </c>
      <c r="G42" s="50">
        <f>SUMIFS('Stock Adjustment'!$E:$E,'Stock Adjustment'!$B:$B,$A42,'Stock Adjustment'!$D:$D,"Customer Returned")</f>
        <v>0</v>
      </c>
      <c r="H42" s="50">
        <f>SUMIF('Daily Sales Entry'!$D:$D,B42,'Daily Sales Entry'!$G:$G)</f>
        <v>0</v>
      </c>
      <c r="I42" s="50">
        <f>SUMIFS('Stock Adjustment'!$E:$E,'Stock Adjustment'!$B:$B,$A42,'Stock Adjustment'!$D:$D,"Staff Consumption")</f>
        <v>0</v>
      </c>
      <c r="J42" s="50">
        <f>SUMIFS('Stock Adjustment'!$E:$E,'Stock Adjustment'!$B:$B,$A42,'Stock Adjustment'!$D:$D,"Damaged")</f>
        <v>0</v>
      </c>
      <c r="K42" s="50">
        <f>SUMIFS('Stock Adjustment'!$E:$E,'Stock Adjustment'!$B:$B,$A42,'Stock Adjustment'!$D:$D,"Expired")</f>
        <v>0</v>
      </c>
      <c r="L42" s="50">
        <f>SUMIFS('Stock Adjustment'!$E:$E,'Stock Adjustment'!$B:$B,$A42,'Stock Adjustment'!$D:$D,"Supplier Returned")</f>
        <v>0</v>
      </c>
      <c r="M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" s="53" t="str">
        <f>IF(B42="","",VLOOKUP(B42,'Product Master'!$B:$G,4,FALSE))</f>
        <v/>
      </c>
      <c r="O42" s="53" t="str">
        <f>IF(B42="","",VLOOKUP(B42,'Product Master'!$B:$G,5,FALSE))</f>
        <v/>
      </c>
      <c r="P42" s="50" t="str">
        <f>IF(B42="","",VLOOKUP(B42,'Product Master'!$B:$I,7,FALSE))</f>
        <v/>
      </c>
      <c r="Q42" s="158">
        <f>IFERROR(Table4[[#This Row],[Closing Stock]]*Table4[[#This Row],[Cost Price]],0)</f>
        <v>0</v>
      </c>
      <c r="R42" s="58" t="str">
        <f t="shared" si="0"/>
        <v/>
      </c>
      <c r="S42" s="25"/>
      <c r="T42" s="25"/>
      <c r="U42" s="25"/>
      <c r="V42" s="25"/>
      <c r="W42" s="25"/>
      <c r="X42" s="25"/>
    </row>
    <row r="43" spans="1:24" x14ac:dyDescent="0.25">
      <c r="A43" s="31" t="s">
        <v>597</v>
      </c>
      <c r="B43" s="32"/>
      <c r="C43" s="50" t="str">
        <f>IF(B43="","",VLOOKUP(B43,'Product Master'!$B:$G,2,FALSE))</f>
        <v/>
      </c>
      <c r="D43" s="50" t="str">
        <f>IF(B43="","",VLOOKUP(B43,'Product Master'!$B:$G,3,FALSE))</f>
        <v/>
      </c>
      <c r="E43" s="50"/>
      <c r="F43" s="50">
        <f>SUMIF('Stock Purchase'!$D:$D,B43,'Stock Purchase'!$F:$F)</f>
        <v>0</v>
      </c>
      <c r="G43" s="50">
        <f>SUMIFS('Stock Adjustment'!$E:$E,'Stock Adjustment'!$B:$B,$A43,'Stock Adjustment'!$D:$D,"Customer Returned")</f>
        <v>0</v>
      </c>
      <c r="H43" s="50">
        <f>SUMIF('Daily Sales Entry'!$D:$D,B43,'Daily Sales Entry'!$G:$G)</f>
        <v>0</v>
      </c>
      <c r="I43" s="50">
        <f>SUMIFS('Stock Adjustment'!$E:$E,'Stock Adjustment'!$B:$B,$A43,'Stock Adjustment'!$D:$D,"Staff Consumption")</f>
        <v>0</v>
      </c>
      <c r="J43" s="50">
        <f>SUMIFS('Stock Adjustment'!$E:$E,'Stock Adjustment'!$B:$B,$A43,'Stock Adjustment'!$D:$D,"Damaged")</f>
        <v>0</v>
      </c>
      <c r="K43" s="50">
        <f>SUMIFS('Stock Adjustment'!$E:$E,'Stock Adjustment'!$B:$B,$A43,'Stock Adjustment'!$D:$D,"Expired")</f>
        <v>0</v>
      </c>
      <c r="L43" s="50">
        <f>SUMIFS('Stock Adjustment'!$E:$E,'Stock Adjustment'!$B:$B,$A43,'Stock Adjustment'!$D:$D,"Supplier Returned")</f>
        <v>0</v>
      </c>
      <c r="M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" s="53" t="str">
        <f>IF(B43="","",VLOOKUP(B43,'Product Master'!$B:$G,4,FALSE))</f>
        <v/>
      </c>
      <c r="O43" s="53" t="str">
        <f>IF(B43="","",VLOOKUP(B43,'Product Master'!$B:$G,5,FALSE))</f>
        <v/>
      </c>
      <c r="P43" s="50" t="str">
        <f>IF(B43="","",VLOOKUP(B43,'Product Master'!$B:$I,7,FALSE))</f>
        <v/>
      </c>
      <c r="Q43" s="158">
        <f>IFERROR(Table4[[#This Row],[Closing Stock]]*Table4[[#This Row],[Cost Price]],0)</f>
        <v>0</v>
      </c>
      <c r="R43" s="58" t="str">
        <f t="shared" si="0"/>
        <v/>
      </c>
      <c r="S43" s="25"/>
      <c r="T43" s="25"/>
      <c r="U43" s="25"/>
      <c r="V43" s="25"/>
      <c r="W43" s="25"/>
      <c r="X43" s="25"/>
    </row>
    <row r="44" spans="1:24" x14ac:dyDescent="0.25">
      <c r="A44" s="31" t="s">
        <v>598</v>
      </c>
      <c r="B44" s="32"/>
      <c r="C44" s="50" t="str">
        <f>IF(B44="","",VLOOKUP(B44,'Product Master'!$B:$G,2,FALSE))</f>
        <v/>
      </c>
      <c r="D44" s="50" t="str">
        <f>IF(B44="","",VLOOKUP(B44,'Product Master'!$B:$G,3,FALSE))</f>
        <v/>
      </c>
      <c r="E44" s="50"/>
      <c r="F44" s="50">
        <f>SUMIF('Stock Purchase'!$D:$D,B44,'Stock Purchase'!$F:$F)</f>
        <v>0</v>
      </c>
      <c r="G44" s="50">
        <f>SUMIFS('Stock Adjustment'!$E:$E,'Stock Adjustment'!$B:$B,$A44,'Stock Adjustment'!$D:$D,"Customer Returned")</f>
        <v>0</v>
      </c>
      <c r="H44" s="50">
        <f>SUMIF('Daily Sales Entry'!$D:$D,B44,'Daily Sales Entry'!$G:$G)</f>
        <v>0</v>
      </c>
      <c r="I44" s="50">
        <f>SUMIFS('Stock Adjustment'!$E:$E,'Stock Adjustment'!$B:$B,$A44,'Stock Adjustment'!$D:$D,"Staff Consumption")</f>
        <v>0</v>
      </c>
      <c r="J44" s="50">
        <f>SUMIFS('Stock Adjustment'!$E:$E,'Stock Adjustment'!$B:$B,$A44,'Stock Adjustment'!$D:$D,"Damaged")</f>
        <v>0</v>
      </c>
      <c r="K44" s="50">
        <f>SUMIFS('Stock Adjustment'!$E:$E,'Stock Adjustment'!$B:$B,$A44,'Stock Adjustment'!$D:$D,"Expired")</f>
        <v>0</v>
      </c>
      <c r="L44" s="50">
        <f>SUMIFS('Stock Adjustment'!$E:$E,'Stock Adjustment'!$B:$B,$A44,'Stock Adjustment'!$D:$D,"Supplier Returned")</f>
        <v>0</v>
      </c>
      <c r="M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" s="53" t="str">
        <f>IF(B44="","",VLOOKUP(B44,'Product Master'!$B:$G,4,FALSE))</f>
        <v/>
      </c>
      <c r="O44" s="53" t="str">
        <f>IF(B44="","",VLOOKUP(B44,'Product Master'!$B:$G,5,FALSE))</f>
        <v/>
      </c>
      <c r="P44" s="50" t="str">
        <f>IF(B44="","",VLOOKUP(B44,'Product Master'!$B:$I,7,FALSE))</f>
        <v/>
      </c>
      <c r="Q44" s="158">
        <f>IFERROR(Table4[[#This Row],[Closing Stock]]*Table4[[#This Row],[Cost Price]],0)</f>
        <v>0</v>
      </c>
      <c r="R44" s="58" t="str">
        <f t="shared" si="0"/>
        <v/>
      </c>
      <c r="S44" s="25"/>
      <c r="T44" s="25"/>
      <c r="U44" s="25"/>
      <c r="V44" s="25"/>
      <c r="W44" s="25"/>
      <c r="X44" s="25"/>
    </row>
    <row r="45" spans="1:24" x14ac:dyDescent="0.25">
      <c r="A45" s="31" t="s">
        <v>599</v>
      </c>
      <c r="B45" s="32"/>
      <c r="C45" s="50" t="str">
        <f>IF(B45="","",VLOOKUP(B45,'Product Master'!$B:$G,2,FALSE))</f>
        <v/>
      </c>
      <c r="D45" s="50" t="str">
        <f>IF(B45="","",VLOOKUP(B45,'Product Master'!$B:$G,3,FALSE))</f>
        <v/>
      </c>
      <c r="E45" s="50"/>
      <c r="F45" s="50">
        <f>SUMIF('Stock Purchase'!$D:$D,B45,'Stock Purchase'!$F:$F)</f>
        <v>0</v>
      </c>
      <c r="G45" s="50">
        <f>SUMIFS('Stock Adjustment'!$E:$E,'Stock Adjustment'!$B:$B,$A45,'Stock Adjustment'!$D:$D,"Customer Returned")</f>
        <v>0</v>
      </c>
      <c r="H45" s="50">
        <f>SUMIF('Daily Sales Entry'!$D:$D,B45,'Daily Sales Entry'!$G:$G)</f>
        <v>0</v>
      </c>
      <c r="I45" s="50">
        <f>SUMIFS('Stock Adjustment'!$E:$E,'Stock Adjustment'!$B:$B,$A45,'Stock Adjustment'!$D:$D,"Staff Consumption")</f>
        <v>0</v>
      </c>
      <c r="J45" s="50">
        <f>SUMIFS('Stock Adjustment'!$E:$E,'Stock Adjustment'!$B:$B,$A45,'Stock Adjustment'!$D:$D,"Damaged")</f>
        <v>0</v>
      </c>
      <c r="K45" s="50">
        <f>SUMIFS('Stock Adjustment'!$E:$E,'Stock Adjustment'!$B:$B,$A45,'Stock Adjustment'!$D:$D,"Expired")</f>
        <v>0</v>
      </c>
      <c r="L45" s="50">
        <f>SUMIFS('Stock Adjustment'!$E:$E,'Stock Adjustment'!$B:$B,$A45,'Stock Adjustment'!$D:$D,"Supplier Returned")</f>
        <v>0</v>
      </c>
      <c r="M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" s="53" t="str">
        <f>IF(B45="","",VLOOKUP(B45,'Product Master'!$B:$G,4,FALSE))</f>
        <v/>
      </c>
      <c r="O45" s="53" t="str">
        <f>IF(B45="","",VLOOKUP(B45,'Product Master'!$B:$G,5,FALSE))</f>
        <v/>
      </c>
      <c r="P45" s="50" t="str">
        <f>IF(B45="","",VLOOKUP(B45,'Product Master'!$B:$I,7,FALSE))</f>
        <v/>
      </c>
      <c r="Q45" s="158">
        <f>IFERROR(Table4[[#This Row],[Closing Stock]]*Table4[[#This Row],[Cost Price]],0)</f>
        <v>0</v>
      </c>
      <c r="R45" s="58" t="str">
        <f t="shared" si="0"/>
        <v/>
      </c>
      <c r="S45" s="25"/>
      <c r="T45" s="25"/>
      <c r="U45" s="25"/>
      <c r="V45" s="25"/>
      <c r="W45" s="25"/>
      <c r="X45" s="25"/>
    </row>
    <row r="46" spans="1:24" x14ac:dyDescent="0.25">
      <c r="A46" s="31" t="s">
        <v>600</v>
      </c>
      <c r="B46" s="32"/>
      <c r="C46" s="50" t="str">
        <f>IF(B46="","",VLOOKUP(B46,'Product Master'!$B:$G,2,FALSE))</f>
        <v/>
      </c>
      <c r="D46" s="50" t="str">
        <f>IF(B46="","",VLOOKUP(B46,'Product Master'!$B:$G,3,FALSE))</f>
        <v/>
      </c>
      <c r="E46" s="50"/>
      <c r="F46" s="50">
        <f>SUMIF('Stock Purchase'!$D:$D,B46,'Stock Purchase'!$F:$F)</f>
        <v>0</v>
      </c>
      <c r="G46" s="50">
        <f>SUMIFS('Stock Adjustment'!$E:$E,'Stock Adjustment'!$B:$B,$A46,'Stock Adjustment'!$D:$D,"Customer Returned")</f>
        <v>0</v>
      </c>
      <c r="H46" s="50">
        <f>SUMIF('Daily Sales Entry'!$D:$D,B46,'Daily Sales Entry'!$G:$G)</f>
        <v>0</v>
      </c>
      <c r="I46" s="50">
        <f>SUMIFS('Stock Adjustment'!$E:$E,'Stock Adjustment'!$B:$B,$A46,'Stock Adjustment'!$D:$D,"Staff Consumption")</f>
        <v>0</v>
      </c>
      <c r="J46" s="50">
        <f>SUMIFS('Stock Adjustment'!$E:$E,'Stock Adjustment'!$B:$B,$A46,'Stock Adjustment'!$D:$D,"Damaged")</f>
        <v>0</v>
      </c>
      <c r="K46" s="50">
        <f>SUMIFS('Stock Adjustment'!$E:$E,'Stock Adjustment'!$B:$B,$A46,'Stock Adjustment'!$D:$D,"Expired")</f>
        <v>0</v>
      </c>
      <c r="L46" s="50">
        <f>SUMIFS('Stock Adjustment'!$E:$E,'Stock Adjustment'!$B:$B,$A46,'Stock Adjustment'!$D:$D,"Supplier Returned")</f>
        <v>0</v>
      </c>
      <c r="M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" s="53" t="str">
        <f>IF(B46="","",VLOOKUP(B46,'Product Master'!$B:$G,4,FALSE))</f>
        <v/>
      </c>
      <c r="O46" s="53" t="str">
        <f>IF(B46="","",VLOOKUP(B46,'Product Master'!$B:$G,5,FALSE))</f>
        <v/>
      </c>
      <c r="P46" s="50" t="str">
        <f>IF(B46="","",VLOOKUP(B46,'Product Master'!$B:$I,7,FALSE))</f>
        <v/>
      </c>
      <c r="Q46" s="158">
        <f>IFERROR(Table4[[#This Row],[Closing Stock]]*Table4[[#This Row],[Cost Price]],0)</f>
        <v>0</v>
      </c>
      <c r="R46" s="58" t="str">
        <f t="shared" si="0"/>
        <v/>
      </c>
      <c r="S46" s="25"/>
      <c r="T46" s="25"/>
      <c r="U46" s="25"/>
      <c r="V46" s="25"/>
      <c r="W46" s="25"/>
      <c r="X46" s="25"/>
    </row>
    <row r="47" spans="1:24" x14ac:dyDescent="0.25">
      <c r="A47" s="31" t="s">
        <v>601</v>
      </c>
      <c r="B47" s="32"/>
      <c r="C47" s="50" t="str">
        <f>IF(B47="","",VLOOKUP(B47,'Product Master'!$B:$G,2,FALSE))</f>
        <v/>
      </c>
      <c r="D47" s="50" t="str">
        <f>IF(B47="","",VLOOKUP(B47,'Product Master'!$B:$G,3,FALSE))</f>
        <v/>
      </c>
      <c r="E47" s="50"/>
      <c r="F47" s="50">
        <f>SUMIF('Stock Purchase'!$D:$D,B47,'Stock Purchase'!$F:$F)</f>
        <v>0</v>
      </c>
      <c r="G47" s="50">
        <f>SUMIFS('Stock Adjustment'!$E:$E,'Stock Adjustment'!$B:$B,$A47,'Stock Adjustment'!$D:$D,"Customer Returned")</f>
        <v>0</v>
      </c>
      <c r="H47" s="50">
        <f>SUMIF('Daily Sales Entry'!$D:$D,B47,'Daily Sales Entry'!$G:$G)</f>
        <v>0</v>
      </c>
      <c r="I47" s="50">
        <f>SUMIFS('Stock Adjustment'!$E:$E,'Stock Adjustment'!$B:$B,$A47,'Stock Adjustment'!$D:$D,"Staff Consumption")</f>
        <v>0</v>
      </c>
      <c r="J47" s="50">
        <f>SUMIFS('Stock Adjustment'!$E:$E,'Stock Adjustment'!$B:$B,$A47,'Stock Adjustment'!$D:$D,"Damaged")</f>
        <v>0</v>
      </c>
      <c r="K47" s="50">
        <f>SUMIFS('Stock Adjustment'!$E:$E,'Stock Adjustment'!$B:$B,$A47,'Stock Adjustment'!$D:$D,"Expired")</f>
        <v>0</v>
      </c>
      <c r="L47" s="50">
        <f>SUMIFS('Stock Adjustment'!$E:$E,'Stock Adjustment'!$B:$B,$A47,'Stock Adjustment'!$D:$D,"Supplier Returned")</f>
        <v>0</v>
      </c>
      <c r="M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" s="53" t="str">
        <f>IF(B47="","",VLOOKUP(B47,'Product Master'!$B:$G,4,FALSE))</f>
        <v/>
      </c>
      <c r="O47" s="53" t="str">
        <f>IF(B47="","",VLOOKUP(B47,'Product Master'!$B:$G,5,FALSE))</f>
        <v/>
      </c>
      <c r="P47" s="50" t="str">
        <f>IF(B47="","",VLOOKUP(B47,'Product Master'!$B:$I,7,FALSE))</f>
        <v/>
      </c>
      <c r="Q47" s="158">
        <f>IFERROR(Table4[[#This Row],[Closing Stock]]*Table4[[#This Row],[Cost Price]],0)</f>
        <v>0</v>
      </c>
      <c r="R47" s="58" t="str">
        <f t="shared" si="0"/>
        <v/>
      </c>
      <c r="S47" s="25"/>
      <c r="T47" s="25"/>
      <c r="U47" s="25"/>
      <c r="V47" s="25"/>
      <c r="W47" s="25"/>
      <c r="X47" s="25"/>
    </row>
    <row r="48" spans="1:24" x14ac:dyDescent="0.25">
      <c r="A48" s="31" t="s">
        <v>602</v>
      </c>
      <c r="B48" s="32"/>
      <c r="C48" s="50" t="str">
        <f>IF(B48="","",VLOOKUP(B48,'Product Master'!$B:$G,2,FALSE))</f>
        <v/>
      </c>
      <c r="D48" s="50" t="str">
        <f>IF(B48="","",VLOOKUP(B48,'Product Master'!$B:$G,3,FALSE))</f>
        <v/>
      </c>
      <c r="E48" s="50"/>
      <c r="F48" s="50">
        <f>SUMIF('Stock Purchase'!$D:$D,B48,'Stock Purchase'!$F:$F)</f>
        <v>0</v>
      </c>
      <c r="G48" s="50">
        <f>SUMIFS('Stock Adjustment'!$E:$E,'Stock Adjustment'!$B:$B,$A48,'Stock Adjustment'!$D:$D,"Customer Returned")</f>
        <v>0</v>
      </c>
      <c r="H48" s="50">
        <f>SUMIF('Daily Sales Entry'!$D:$D,B48,'Daily Sales Entry'!$G:$G)</f>
        <v>0</v>
      </c>
      <c r="I48" s="50">
        <f>SUMIFS('Stock Adjustment'!$E:$E,'Stock Adjustment'!$B:$B,$A48,'Stock Adjustment'!$D:$D,"Staff Consumption")</f>
        <v>0</v>
      </c>
      <c r="J48" s="50">
        <f>SUMIFS('Stock Adjustment'!$E:$E,'Stock Adjustment'!$B:$B,$A48,'Stock Adjustment'!$D:$D,"Damaged")</f>
        <v>0</v>
      </c>
      <c r="K48" s="50">
        <f>SUMIFS('Stock Adjustment'!$E:$E,'Stock Adjustment'!$B:$B,$A48,'Stock Adjustment'!$D:$D,"Expired")</f>
        <v>0</v>
      </c>
      <c r="L48" s="50">
        <f>SUMIFS('Stock Adjustment'!$E:$E,'Stock Adjustment'!$B:$B,$A48,'Stock Adjustment'!$D:$D,"Supplier Returned")</f>
        <v>0</v>
      </c>
      <c r="M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" s="53" t="str">
        <f>IF(B48="","",VLOOKUP(B48,'Product Master'!$B:$G,4,FALSE))</f>
        <v/>
      </c>
      <c r="O48" s="53" t="str">
        <f>IF(B48="","",VLOOKUP(B48,'Product Master'!$B:$G,5,FALSE))</f>
        <v/>
      </c>
      <c r="P48" s="50" t="str">
        <f>IF(B48="","",VLOOKUP(B48,'Product Master'!$B:$I,7,FALSE))</f>
        <v/>
      </c>
      <c r="Q48" s="158">
        <f>IFERROR(Table4[[#This Row],[Closing Stock]]*Table4[[#This Row],[Cost Price]],0)</f>
        <v>0</v>
      </c>
      <c r="R48" s="58" t="str">
        <f t="shared" si="0"/>
        <v/>
      </c>
      <c r="S48" s="25"/>
      <c r="T48" s="25"/>
      <c r="U48" s="25"/>
      <c r="V48" s="25"/>
      <c r="W48" s="25"/>
      <c r="X48" s="25"/>
    </row>
    <row r="49" spans="1:24" x14ac:dyDescent="0.25">
      <c r="A49" s="31" t="s">
        <v>603</v>
      </c>
      <c r="B49" s="32"/>
      <c r="C49" s="50" t="str">
        <f>IF(B49="","",VLOOKUP(B49,'Product Master'!$B:$G,2,FALSE))</f>
        <v/>
      </c>
      <c r="D49" s="50" t="str">
        <f>IF(B49="","",VLOOKUP(B49,'Product Master'!$B:$G,3,FALSE))</f>
        <v/>
      </c>
      <c r="E49" s="50"/>
      <c r="F49" s="50">
        <f>SUMIF('Stock Purchase'!$D:$D,B49,'Stock Purchase'!$F:$F)</f>
        <v>0</v>
      </c>
      <c r="G49" s="50">
        <f>SUMIFS('Stock Adjustment'!$E:$E,'Stock Adjustment'!$B:$B,$A49,'Stock Adjustment'!$D:$D,"Customer Returned")</f>
        <v>0</v>
      </c>
      <c r="H49" s="50">
        <f>SUMIF('Daily Sales Entry'!$D:$D,B49,'Daily Sales Entry'!$G:$G)</f>
        <v>0</v>
      </c>
      <c r="I49" s="50">
        <f>SUMIFS('Stock Adjustment'!$E:$E,'Stock Adjustment'!$B:$B,$A49,'Stock Adjustment'!$D:$D,"Staff Consumption")</f>
        <v>0</v>
      </c>
      <c r="J49" s="50">
        <f>SUMIFS('Stock Adjustment'!$E:$E,'Stock Adjustment'!$B:$B,$A49,'Stock Adjustment'!$D:$D,"Damaged")</f>
        <v>0</v>
      </c>
      <c r="K49" s="50">
        <f>SUMIFS('Stock Adjustment'!$E:$E,'Stock Adjustment'!$B:$B,$A49,'Stock Adjustment'!$D:$D,"Expired")</f>
        <v>0</v>
      </c>
      <c r="L49" s="50">
        <f>SUMIFS('Stock Adjustment'!$E:$E,'Stock Adjustment'!$B:$B,$A49,'Stock Adjustment'!$D:$D,"Supplier Returned")</f>
        <v>0</v>
      </c>
      <c r="M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" s="53" t="str">
        <f>IF(B49="","",VLOOKUP(B49,'Product Master'!$B:$G,4,FALSE))</f>
        <v/>
      </c>
      <c r="O49" s="53" t="str">
        <f>IF(B49="","",VLOOKUP(B49,'Product Master'!$B:$G,5,FALSE))</f>
        <v/>
      </c>
      <c r="P49" s="50" t="str">
        <f>IF(B49="","",VLOOKUP(B49,'Product Master'!$B:$I,7,FALSE))</f>
        <v/>
      </c>
      <c r="Q49" s="158">
        <f>IFERROR(Table4[[#This Row],[Closing Stock]]*Table4[[#This Row],[Cost Price]],0)</f>
        <v>0</v>
      </c>
      <c r="R49" s="58" t="str">
        <f t="shared" si="0"/>
        <v/>
      </c>
      <c r="S49" s="25"/>
      <c r="T49" s="25"/>
      <c r="U49" s="25"/>
      <c r="V49" s="25"/>
      <c r="W49" s="25"/>
      <c r="X49" s="25"/>
    </row>
    <row r="50" spans="1:24" x14ac:dyDescent="0.25">
      <c r="A50" s="31" t="s">
        <v>604</v>
      </c>
      <c r="B50" s="32"/>
      <c r="C50" s="50" t="str">
        <f>IF(B50="","",VLOOKUP(B50,'Product Master'!$B:$G,2,FALSE))</f>
        <v/>
      </c>
      <c r="D50" s="50" t="str">
        <f>IF(B50="","",VLOOKUP(B50,'Product Master'!$B:$G,3,FALSE))</f>
        <v/>
      </c>
      <c r="E50" s="50"/>
      <c r="F50" s="50">
        <f>SUMIF('Stock Purchase'!$D:$D,B50,'Stock Purchase'!$F:$F)</f>
        <v>0</v>
      </c>
      <c r="G50" s="50">
        <f>SUMIFS('Stock Adjustment'!$E:$E,'Stock Adjustment'!$B:$B,$A50,'Stock Adjustment'!$D:$D,"Customer Returned")</f>
        <v>0</v>
      </c>
      <c r="H50" s="50">
        <f>SUMIF('Daily Sales Entry'!$D:$D,B50,'Daily Sales Entry'!$G:$G)</f>
        <v>0</v>
      </c>
      <c r="I50" s="50">
        <f>SUMIFS('Stock Adjustment'!$E:$E,'Stock Adjustment'!$B:$B,$A50,'Stock Adjustment'!$D:$D,"Staff Consumption")</f>
        <v>0</v>
      </c>
      <c r="J50" s="50">
        <f>SUMIFS('Stock Adjustment'!$E:$E,'Stock Adjustment'!$B:$B,$A50,'Stock Adjustment'!$D:$D,"Damaged")</f>
        <v>0</v>
      </c>
      <c r="K50" s="50">
        <f>SUMIFS('Stock Adjustment'!$E:$E,'Stock Adjustment'!$B:$B,$A50,'Stock Adjustment'!$D:$D,"Expired")</f>
        <v>0</v>
      </c>
      <c r="L50" s="50">
        <f>SUMIFS('Stock Adjustment'!$E:$E,'Stock Adjustment'!$B:$B,$A50,'Stock Adjustment'!$D:$D,"Supplier Returned")</f>
        <v>0</v>
      </c>
      <c r="M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" s="53" t="str">
        <f>IF(B50="","",VLOOKUP(B50,'Product Master'!$B:$G,4,FALSE))</f>
        <v/>
      </c>
      <c r="O50" s="53" t="str">
        <f>IF(B50="","",VLOOKUP(B50,'Product Master'!$B:$G,5,FALSE))</f>
        <v/>
      </c>
      <c r="P50" s="50" t="str">
        <f>IF(B50="","",VLOOKUP(B50,'Product Master'!$B:$I,7,FALSE))</f>
        <v/>
      </c>
      <c r="Q50" s="158">
        <f>IFERROR(Table4[[#This Row],[Closing Stock]]*Table4[[#This Row],[Cost Price]],0)</f>
        <v>0</v>
      </c>
      <c r="R50" s="58" t="str">
        <f t="shared" si="0"/>
        <v/>
      </c>
      <c r="S50" s="25"/>
      <c r="T50" s="25"/>
      <c r="U50" s="25"/>
      <c r="V50" s="25"/>
      <c r="W50" s="25"/>
      <c r="X50" s="25"/>
    </row>
    <row r="51" spans="1:24" x14ac:dyDescent="0.25">
      <c r="A51" s="31" t="s">
        <v>605</v>
      </c>
      <c r="B51" s="32"/>
      <c r="C51" s="50" t="str">
        <f>IF(B51="","",VLOOKUP(B51,'Product Master'!$B:$G,2,FALSE))</f>
        <v/>
      </c>
      <c r="D51" s="50" t="str">
        <f>IF(B51="","",VLOOKUP(B51,'Product Master'!$B:$G,3,FALSE))</f>
        <v/>
      </c>
      <c r="E51" s="50"/>
      <c r="F51" s="50">
        <f>SUMIF('Stock Purchase'!$D:$D,B51,'Stock Purchase'!$F:$F)</f>
        <v>0</v>
      </c>
      <c r="G51" s="50">
        <f>SUMIFS('Stock Adjustment'!$E:$E,'Stock Adjustment'!$B:$B,$A51,'Stock Adjustment'!$D:$D,"Customer Returned")</f>
        <v>0</v>
      </c>
      <c r="H51" s="50">
        <f>SUMIF('Daily Sales Entry'!$D:$D,B51,'Daily Sales Entry'!$G:$G)</f>
        <v>0</v>
      </c>
      <c r="I51" s="50">
        <f>SUMIFS('Stock Adjustment'!$E:$E,'Stock Adjustment'!$B:$B,$A51,'Stock Adjustment'!$D:$D,"Staff Consumption")</f>
        <v>0</v>
      </c>
      <c r="J51" s="50">
        <f>SUMIFS('Stock Adjustment'!$E:$E,'Stock Adjustment'!$B:$B,$A51,'Stock Adjustment'!$D:$D,"Damaged")</f>
        <v>0</v>
      </c>
      <c r="K51" s="50">
        <f>SUMIFS('Stock Adjustment'!$E:$E,'Stock Adjustment'!$B:$B,$A51,'Stock Adjustment'!$D:$D,"Expired")</f>
        <v>0</v>
      </c>
      <c r="L51" s="50">
        <f>SUMIFS('Stock Adjustment'!$E:$E,'Stock Adjustment'!$B:$B,$A51,'Stock Adjustment'!$D:$D,"Supplier Returned")</f>
        <v>0</v>
      </c>
      <c r="M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" s="53" t="str">
        <f>IF(B51="","",VLOOKUP(B51,'Product Master'!$B:$G,4,FALSE))</f>
        <v/>
      </c>
      <c r="O51" s="53" t="str">
        <f>IF(B51="","",VLOOKUP(B51,'Product Master'!$B:$G,5,FALSE))</f>
        <v/>
      </c>
      <c r="P51" s="50" t="str">
        <f>IF(B51="","",VLOOKUP(B51,'Product Master'!$B:$I,7,FALSE))</f>
        <v/>
      </c>
      <c r="Q51" s="158">
        <f>IFERROR(Table4[[#This Row],[Closing Stock]]*Table4[[#This Row],[Cost Price]],0)</f>
        <v>0</v>
      </c>
      <c r="R51" s="58" t="str">
        <f t="shared" si="0"/>
        <v/>
      </c>
      <c r="S51" s="25"/>
      <c r="T51" s="25"/>
      <c r="U51" s="25"/>
      <c r="V51" s="25"/>
      <c r="W51" s="25"/>
      <c r="X51" s="25"/>
    </row>
    <row r="52" spans="1:24" x14ac:dyDescent="0.25">
      <c r="A52" s="31" t="s">
        <v>612</v>
      </c>
      <c r="B52" s="32"/>
      <c r="C52" s="50" t="str">
        <f>IF(B52="","",VLOOKUP(B52,'Product Master'!$B:$G,2,FALSE))</f>
        <v/>
      </c>
      <c r="D52" s="50" t="str">
        <f>IF(B52="","",VLOOKUP(B52,'Product Master'!$B:$G,3,FALSE))</f>
        <v/>
      </c>
      <c r="E52" s="50"/>
      <c r="F52" s="50">
        <f>SUMIF('Stock Purchase'!$D:$D,B52,'Stock Purchase'!$F:$F)</f>
        <v>0</v>
      </c>
      <c r="G52" s="50">
        <f>SUMIFS('Stock Adjustment'!$E:$E,'Stock Adjustment'!$B:$B,$A52,'Stock Adjustment'!$D:$D,"Customer Returned")</f>
        <v>0</v>
      </c>
      <c r="H52" s="50">
        <f>SUMIF('Daily Sales Entry'!$D:$D,B52,'Daily Sales Entry'!$G:$G)</f>
        <v>0</v>
      </c>
      <c r="I52" s="50">
        <f>SUMIFS('Stock Adjustment'!$E:$E,'Stock Adjustment'!$B:$B,$A52,'Stock Adjustment'!$D:$D,"Staff Consumption")</f>
        <v>0</v>
      </c>
      <c r="J52" s="50">
        <f>SUMIFS('Stock Adjustment'!$E:$E,'Stock Adjustment'!$B:$B,$A52,'Stock Adjustment'!$D:$D,"Damaged")</f>
        <v>0</v>
      </c>
      <c r="K52" s="50">
        <f>SUMIFS('Stock Adjustment'!$E:$E,'Stock Adjustment'!$B:$B,$A52,'Stock Adjustment'!$D:$D,"Expired")</f>
        <v>0</v>
      </c>
      <c r="L52" s="50">
        <f>SUMIFS('Stock Adjustment'!$E:$E,'Stock Adjustment'!$B:$B,$A52,'Stock Adjustment'!$D:$D,"Supplier Returned")</f>
        <v>0</v>
      </c>
      <c r="M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" s="53" t="str">
        <f>IF(B52="","",VLOOKUP(B52,'Product Master'!$B:$G,4,FALSE))</f>
        <v/>
      </c>
      <c r="O52" s="53" t="str">
        <f>IF(B52="","",VLOOKUP(B52,'Product Master'!$B:$G,5,FALSE))</f>
        <v/>
      </c>
      <c r="P52" s="50" t="str">
        <f>IF(B52="","",VLOOKUP(B52,'Product Master'!$B:$I,7,FALSE))</f>
        <v/>
      </c>
      <c r="Q52" s="158">
        <f>IFERROR(Table4[[#This Row],[Closing Stock]]*Table4[[#This Row],[Cost Price]],0)</f>
        <v>0</v>
      </c>
      <c r="R52" s="58" t="str">
        <f t="shared" si="0"/>
        <v/>
      </c>
      <c r="S52" s="25"/>
      <c r="T52" s="25"/>
      <c r="U52" s="25"/>
      <c r="V52" s="25"/>
      <c r="W52" s="25"/>
      <c r="X52" s="25"/>
    </row>
    <row r="53" spans="1:24" x14ac:dyDescent="0.25">
      <c r="A53" s="31" t="s">
        <v>613</v>
      </c>
      <c r="B53" s="32"/>
      <c r="C53" s="50" t="str">
        <f>IF(B53="","",VLOOKUP(B53,'Product Master'!$B:$G,2,FALSE))</f>
        <v/>
      </c>
      <c r="D53" s="50" t="str">
        <f>IF(B53="","",VLOOKUP(B53,'Product Master'!$B:$G,3,FALSE))</f>
        <v/>
      </c>
      <c r="E53" s="50"/>
      <c r="F53" s="50">
        <f>SUMIF('Stock Purchase'!$D:$D,B53,'Stock Purchase'!$F:$F)</f>
        <v>0</v>
      </c>
      <c r="G53" s="50">
        <f>SUMIFS('Stock Adjustment'!$E:$E,'Stock Adjustment'!$B:$B,$A53,'Stock Adjustment'!$D:$D,"Customer Returned")</f>
        <v>0</v>
      </c>
      <c r="H53" s="50">
        <f>SUMIF('Daily Sales Entry'!$D:$D,B53,'Daily Sales Entry'!$G:$G)</f>
        <v>0</v>
      </c>
      <c r="I53" s="50">
        <f>SUMIFS('Stock Adjustment'!$E:$E,'Stock Adjustment'!$B:$B,$A53,'Stock Adjustment'!$D:$D,"Staff Consumption")</f>
        <v>0</v>
      </c>
      <c r="J53" s="50">
        <f>SUMIFS('Stock Adjustment'!$E:$E,'Stock Adjustment'!$B:$B,$A53,'Stock Adjustment'!$D:$D,"Damaged")</f>
        <v>0</v>
      </c>
      <c r="K53" s="50">
        <f>SUMIFS('Stock Adjustment'!$E:$E,'Stock Adjustment'!$B:$B,$A53,'Stock Adjustment'!$D:$D,"Expired")</f>
        <v>0</v>
      </c>
      <c r="L53" s="50">
        <f>SUMIFS('Stock Adjustment'!$E:$E,'Stock Adjustment'!$B:$B,$A53,'Stock Adjustment'!$D:$D,"Supplier Returned")</f>
        <v>0</v>
      </c>
      <c r="M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" s="53" t="str">
        <f>IF(B53="","",VLOOKUP(B53,'Product Master'!$B:$G,4,FALSE))</f>
        <v/>
      </c>
      <c r="O53" s="53" t="str">
        <f>IF(B53="","",VLOOKUP(B53,'Product Master'!$B:$G,5,FALSE))</f>
        <v/>
      </c>
      <c r="P53" s="50" t="str">
        <f>IF(B53="","",VLOOKUP(B53,'Product Master'!$B:$I,7,FALSE))</f>
        <v/>
      </c>
      <c r="Q53" s="158">
        <f>IFERROR(Table4[[#This Row],[Closing Stock]]*Table4[[#This Row],[Cost Price]],0)</f>
        <v>0</v>
      </c>
      <c r="R53" s="58" t="str">
        <f t="shared" si="0"/>
        <v/>
      </c>
      <c r="S53" s="25"/>
      <c r="T53" s="25"/>
      <c r="U53" s="25"/>
      <c r="V53" s="25"/>
      <c r="W53" s="25"/>
      <c r="X53" s="25"/>
    </row>
    <row r="54" spans="1:24" x14ac:dyDescent="0.25">
      <c r="A54" s="31" t="s">
        <v>614</v>
      </c>
      <c r="B54" s="32"/>
      <c r="C54" s="50" t="str">
        <f>IF(B54="","",VLOOKUP(B54,'Product Master'!$B:$G,2,FALSE))</f>
        <v/>
      </c>
      <c r="D54" s="50" t="str">
        <f>IF(B54="","",VLOOKUP(B54,'Product Master'!$B:$G,3,FALSE))</f>
        <v/>
      </c>
      <c r="E54" s="50"/>
      <c r="F54" s="50">
        <f>SUMIF('Stock Purchase'!$D:$D,B54,'Stock Purchase'!$F:$F)</f>
        <v>0</v>
      </c>
      <c r="G54" s="50">
        <f>SUMIFS('Stock Adjustment'!$E:$E,'Stock Adjustment'!$B:$B,$A54,'Stock Adjustment'!$D:$D,"Customer Returned")</f>
        <v>0</v>
      </c>
      <c r="H54" s="50">
        <f>SUMIF('Daily Sales Entry'!$D:$D,B54,'Daily Sales Entry'!$G:$G)</f>
        <v>0</v>
      </c>
      <c r="I54" s="50">
        <f>SUMIFS('Stock Adjustment'!$E:$E,'Stock Adjustment'!$B:$B,$A54,'Stock Adjustment'!$D:$D,"Staff Consumption")</f>
        <v>0</v>
      </c>
      <c r="J54" s="50">
        <f>SUMIFS('Stock Adjustment'!$E:$E,'Stock Adjustment'!$B:$B,$A54,'Stock Adjustment'!$D:$D,"Damaged")</f>
        <v>0</v>
      </c>
      <c r="K54" s="50">
        <f>SUMIFS('Stock Adjustment'!$E:$E,'Stock Adjustment'!$B:$B,$A54,'Stock Adjustment'!$D:$D,"Expired")</f>
        <v>0</v>
      </c>
      <c r="L54" s="50">
        <f>SUMIFS('Stock Adjustment'!$E:$E,'Stock Adjustment'!$B:$B,$A54,'Stock Adjustment'!$D:$D,"Supplier Returned")</f>
        <v>0</v>
      </c>
      <c r="M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" s="53" t="str">
        <f>IF(B54="","",VLOOKUP(B54,'Product Master'!$B:$G,4,FALSE))</f>
        <v/>
      </c>
      <c r="O54" s="53" t="str">
        <f>IF(B54="","",VLOOKUP(B54,'Product Master'!$B:$G,5,FALSE))</f>
        <v/>
      </c>
      <c r="P54" s="50" t="str">
        <f>IF(B54="","",VLOOKUP(B54,'Product Master'!$B:$I,7,FALSE))</f>
        <v/>
      </c>
      <c r="Q54" s="158">
        <f>IFERROR(Table4[[#This Row],[Closing Stock]]*Table4[[#This Row],[Cost Price]],0)</f>
        <v>0</v>
      </c>
      <c r="R54" s="58" t="str">
        <f t="shared" si="0"/>
        <v/>
      </c>
      <c r="S54" s="25"/>
      <c r="T54" s="25"/>
      <c r="U54" s="25"/>
      <c r="V54" s="25"/>
      <c r="W54" s="25"/>
      <c r="X54" s="25"/>
    </row>
    <row r="55" spans="1:24" x14ac:dyDescent="0.25">
      <c r="A55" s="31" t="s">
        <v>615</v>
      </c>
      <c r="B55" s="32"/>
      <c r="C55" s="50" t="str">
        <f>IF(B55="","",VLOOKUP(B55,'Product Master'!$B:$G,2,FALSE))</f>
        <v/>
      </c>
      <c r="D55" s="50" t="str">
        <f>IF(B55="","",VLOOKUP(B55,'Product Master'!$B:$G,3,FALSE))</f>
        <v/>
      </c>
      <c r="E55" s="50"/>
      <c r="F55" s="50">
        <f>SUMIF('Stock Purchase'!$D:$D,B55,'Stock Purchase'!$F:$F)</f>
        <v>0</v>
      </c>
      <c r="G55" s="50">
        <f>SUMIFS('Stock Adjustment'!$E:$E,'Stock Adjustment'!$B:$B,$A55,'Stock Adjustment'!$D:$D,"Customer Returned")</f>
        <v>0</v>
      </c>
      <c r="H55" s="50">
        <f>SUMIF('Daily Sales Entry'!$D:$D,B55,'Daily Sales Entry'!$G:$G)</f>
        <v>0</v>
      </c>
      <c r="I55" s="50">
        <f>SUMIFS('Stock Adjustment'!$E:$E,'Stock Adjustment'!$B:$B,$A55,'Stock Adjustment'!$D:$D,"Staff Consumption")</f>
        <v>0</v>
      </c>
      <c r="J55" s="50">
        <f>SUMIFS('Stock Adjustment'!$E:$E,'Stock Adjustment'!$B:$B,$A55,'Stock Adjustment'!$D:$D,"Damaged")</f>
        <v>0</v>
      </c>
      <c r="K55" s="50">
        <f>SUMIFS('Stock Adjustment'!$E:$E,'Stock Adjustment'!$B:$B,$A55,'Stock Adjustment'!$D:$D,"Expired")</f>
        <v>0</v>
      </c>
      <c r="L55" s="50">
        <f>SUMIFS('Stock Adjustment'!$E:$E,'Stock Adjustment'!$B:$B,$A55,'Stock Adjustment'!$D:$D,"Supplier Returned")</f>
        <v>0</v>
      </c>
      <c r="M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" s="53" t="str">
        <f>IF(B55="","",VLOOKUP(B55,'Product Master'!$B:$G,4,FALSE))</f>
        <v/>
      </c>
      <c r="O55" s="53" t="str">
        <f>IF(B55="","",VLOOKUP(B55,'Product Master'!$B:$G,5,FALSE))</f>
        <v/>
      </c>
      <c r="P55" s="50" t="str">
        <f>IF(B55="","",VLOOKUP(B55,'Product Master'!$B:$I,7,FALSE))</f>
        <v/>
      </c>
      <c r="Q55" s="158">
        <f>IFERROR(Table4[[#This Row],[Closing Stock]]*Table4[[#This Row],[Cost Price]],0)</f>
        <v>0</v>
      </c>
      <c r="R55" s="58" t="str">
        <f t="shared" si="0"/>
        <v/>
      </c>
      <c r="S55" s="25"/>
      <c r="T55" s="25"/>
      <c r="U55" s="25"/>
      <c r="V55" s="25"/>
      <c r="W55" s="25"/>
      <c r="X55" s="25"/>
    </row>
    <row r="56" spans="1:24" x14ac:dyDescent="0.25">
      <c r="A56" s="31" t="s">
        <v>616</v>
      </c>
      <c r="B56" s="32"/>
      <c r="C56" s="50" t="str">
        <f>IF(B56="","",VLOOKUP(B56,'Product Master'!$B:$G,2,FALSE))</f>
        <v/>
      </c>
      <c r="D56" s="50" t="str">
        <f>IF(B56="","",VLOOKUP(B56,'Product Master'!$B:$G,3,FALSE))</f>
        <v/>
      </c>
      <c r="E56" s="50"/>
      <c r="F56" s="50">
        <f>SUMIF('Stock Purchase'!$D:$D,B56,'Stock Purchase'!$F:$F)</f>
        <v>0</v>
      </c>
      <c r="G56" s="50">
        <f>SUMIFS('Stock Adjustment'!$E:$E,'Stock Adjustment'!$B:$B,$A56,'Stock Adjustment'!$D:$D,"Customer Returned")</f>
        <v>0</v>
      </c>
      <c r="H56" s="50">
        <f>SUMIF('Daily Sales Entry'!$D:$D,B56,'Daily Sales Entry'!$G:$G)</f>
        <v>0</v>
      </c>
      <c r="I56" s="50">
        <f>SUMIFS('Stock Adjustment'!$E:$E,'Stock Adjustment'!$B:$B,$A56,'Stock Adjustment'!$D:$D,"Staff Consumption")</f>
        <v>0</v>
      </c>
      <c r="J56" s="50">
        <f>SUMIFS('Stock Adjustment'!$E:$E,'Stock Adjustment'!$B:$B,$A56,'Stock Adjustment'!$D:$D,"Damaged")</f>
        <v>0</v>
      </c>
      <c r="K56" s="50">
        <f>SUMIFS('Stock Adjustment'!$E:$E,'Stock Adjustment'!$B:$B,$A56,'Stock Adjustment'!$D:$D,"Expired")</f>
        <v>0</v>
      </c>
      <c r="L56" s="50">
        <f>SUMIFS('Stock Adjustment'!$E:$E,'Stock Adjustment'!$B:$B,$A56,'Stock Adjustment'!$D:$D,"Supplier Returned")</f>
        <v>0</v>
      </c>
      <c r="M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" s="53" t="str">
        <f>IF(B56="","",VLOOKUP(B56,'Product Master'!$B:$G,4,FALSE))</f>
        <v/>
      </c>
      <c r="O56" s="53" t="str">
        <f>IF(B56="","",VLOOKUP(B56,'Product Master'!$B:$G,5,FALSE))</f>
        <v/>
      </c>
      <c r="P56" s="50" t="str">
        <f>IF(B56="","",VLOOKUP(B56,'Product Master'!$B:$I,7,FALSE))</f>
        <v/>
      </c>
      <c r="Q56" s="158">
        <f>IFERROR(Table4[[#This Row],[Closing Stock]]*Table4[[#This Row],[Cost Price]],0)</f>
        <v>0</v>
      </c>
      <c r="R56" s="58" t="str">
        <f t="shared" si="0"/>
        <v/>
      </c>
      <c r="S56" s="25"/>
      <c r="T56" s="25"/>
      <c r="U56" s="25"/>
      <c r="V56" s="25"/>
      <c r="W56" s="25"/>
      <c r="X56" s="25"/>
    </row>
    <row r="57" spans="1:24" x14ac:dyDescent="0.25">
      <c r="A57" s="31" t="s">
        <v>617</v>
      </c>
      <c r="B57" s="32"/>
      <c r="C57" s="50" t="str">
        <f>IF(B57="","",VLOOKUP(B57,'Product Master'!$B:$G,2,FALSE))</f>
        <v/>
      </c>
      <c r="D57" s="50" t="str">
        <f>IF(B57="","",VLOOKUP(B57,'Product Master'!$B:$G,3,FALSE))</f>
        <v/>
      </c>
      <c r="E57" s="50"/>
      <c r="F57" s="50">
        <f>SUMIF('Stock Purchase'!$D:$D,B57,'Stock Purchase'!$F:$F)</f>
        <v>0</v>
      </c>
      <c r="G57" s="50">
        <f>SUMIFS('Stock Adjustment'!$E:$E,'Stock Adjustment'!$B:$B,$A57,'Stock Adjustment'!$D:$D,"Customer Returned")</f>
        <v>0</v>
      </c>
      <c r="H57" s="50">
        <f>SUMIF('Daily Sales Entry'!$D:$D,B57,'Daily Sales Entry'!$G:$G)</f>
        <v>0</v>
      </c>
      <c r="I57" s="50">
        <f>SUMIFS('Stock Adjustment'!$E:$E,'Stock Adjustment'!$B:$B,$A57,'Stock Adjustment'!$D:$D,"Staff Consumption")</f>
        <v>0</v>
      </c>
      <c r="J57" s="50">
        <f>SUMIFS('Stock Adjustment'!$E:$E,'Stock Adjustment'!$B:$B,$A57,'Stock Adjustment'!$D:$D,"Damaged")</f>
        <v>0</v>
      </c>
      <c r="K57" s="50">
        <f>SUMIFS('Stock Adjustment'!$E:$E,'Stock Adjustment'!$B:$B,$A57,'Stock Adjustment'!$D:$D,"Expired")</f>
        <v>0</v>
      </c>
      <c r="L57" s="50">
        <f>SUMIFS('Stock Adjustment'!$E:$E,'Stock Adjustment'!$B:$B,$A57,'Stock Adjustment'!$D:$D,"Supplier Returned")</f>
        <v>0</v>
      </c>
      <c r="M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" s="53" t="str">
        <f>IF(B57="","",VLOOKUP(B57,'Product Master'!$B:$G,4,FALSE))</f>
        <v/>
      </c>
      <c r="O57" s="53" t="str">
        <f>IF(B57="","",VLOOKUP(B57,'Product Master'!$B:$G,5,FALSE))</f>
        <v/>
      </c>
      <c r="P57" s="50" t="str">
        <f>IF(B57="","",VLOOKUP(B57,'Product Master'!$B:$I,7,FALSE))</f>
        <v/>
      </c>
      <c r="Q57" s="158">
        <f>IFERROR(Table4[[#This Row],[Closing Stock]]*Table4[[#This Row],[Cost Price]],0)</f>
        <v>0</v>
      </c>
      <c r="R57" s="58" t="str">
        <f t="shared" si="0"/>
        <v/>
      </c>
      <c r="S57" s="25"/>
      <c r="T57" s="25"/>
      <c r="U57" s="25"/>
      <c r="V57" s="25"/>
      <c r="W57" s="25"/>
      <c r="X57" s="25"/>
    </row>
    <row r="58" spans="1:24" x14ac:dyDescent="0.25">
      <c r="A58" s="31" t="s">
        <v>618</v>
      </c>
      <c r="B58" s="32"/>
      <c r="C58" s="50" t="str">
        <f>IF(B58="","",VLOOKUP(B58,'Product Master'!$B:$G,2,FALSE))</f>
        <v/>
      </c>
      <c r="D58" s="50" t="str">
        <f>IF(B58="","",VLOOKUP(B58,'Product Master'!$B:$G,3,FALSE))</f>
        <v/>
      </c>
      <c r="E58" s="50"/>
      <c r="F58" s="50">
        <f>SUMIF('Stock Purchase'!$D:$D,B58,'Stock Purchase'!$F:$F)</f>
        <v>0</v>
      </c>
      <c r="G58" s="50">
        <f>SUMIFS('Stock Adjustment'!$E:$E,'Stock Adjustment'!$B:$B,$A58,'Stock Adjustment'!$D:$D,"Customer Returned")</f>
        <v>0</v>
      </c>
      <c r="H58" s="50">
        <f>SUMIF('Daily Sales Entry'!$D:$D,B58,'Daily Sales Entry'!$G:$G)</f>
        <v>0</v>
      </c>
      <c r="I58" s="50">
        <f>SUMIFS('Stock Adjustment'!$E:$E,'Stock Adjustment'!$B:$B,$A58,'Stock Adjustment'!$D:$D,"Staff Consumption")</f>
        <v>0</v>
      </c>
      <c r="J58" s="50">
        <f>SUMIFS('Stock Adjustment'!$E:$E,'Stock Adjustment'!$B:$B,$A58,'Stock Adjustment'!$D:$D,"Damaged")</f>
        <v>0</v>
      </c>
      <c r="K58" s="50">
        <f>SUMIFS('Stock Adjustment'!$E:$E,'Stock Adjustment'!$B:$B,$A58,'Stock Adjustment'!$D:$D,"Expired")</f>
        <v>0</v>
      </c>
      <c r="L58" s="50">
        <f>SUMIFS('Stock Adjustment'!$E:$E,'Stock Adjustment'!$B:$B,$A58,'Stock Adjustment'!$D:$D,"Supplier Returned")</f>
        <v>0</v>
      </c>
      <c r="M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" s="53" t="str">
        <f>IF(B58="","",VLOOKUP(B58,'Product Master'!$B:$G,4,FALSE))</f>
        <v/>
      </c>
      <c r="O58" s="53" t="str">
        <f>IF(B58="","",VLOOKUP(B58,'Product Master'!$B:$G,5,FALSE))</f>
        <v/>
      </c>
      <c r="P58" s="50" t="str">
        <f>IF(B58="","",VLOOKUP(B58,'Product Master'!$B:$I,7,FALSE))</f>
        <v/>
      </c>
      <c r="Q58" s="158">
        <f>IFERROR(Table4[[#This Row],[Closing Stock]]*Table4[[#This Row],[Cost Price]],0)</f>
        <v>0</v>
      </c>
      <c r="R58" s="58" t="str">
        <f t="shared" si="0"/>
        <v/>
      </c>
      <c r="S58" s="25"/>
      <c r="T58" s="25"/>
      <c r="U58" s="25"/>
      <c r="V58" s="25"/>
      <c r="W58" s="25"/>
      <c r="X58" s="25"/>
    </row>
    <row r="59" spans="1:24" x14ac:dyDescent="0.25">
      <c r="A59" s="31" t="s">
        <v>619</v>
      </c>
      <c r="B59" s="32"/>
      <c r="C59" s="50" t="str">
        <f>IF(B59="","",VLOOKUP(B59,'Product Master'!$B:$G,2,FALSE))</f>
        <v/>
      </c>
      <c r="D59" s="50" t="str">
        <f>IF(B59="","",VLOOKUP(B59,'Product Master'!$B:$G,3,FALSE))</f>
        <v/>
      </c>
      <c r="E59" s="50"/>
      <c r="F59" s="50">
        <f>SUMIF('Stock Purchase'!$D:$D,B59,'Stock Purchase'!$F:$F)</f>
        <v>0</v>
      </c>
      <c r="G59" s="50">
        <f>SUMIFS('Stock Adjustment'!$E:$E,'Stock Adjustment'!$B:$B,$A59,'Stock Adjustment'!$D:$D,"Customer Returned")</f>
        <v>0</v>
      </c>
      <c r="H59" s="50">
        <f>SUMIF('Daily Sales Entry'!$D:$D,B59,'Daily Sales Entry'!$G:$G)</f>
        <v>0</v>
      </c>
      <c r="I59" s="50">
        <f>SUMIFS('Stock Adjustment'!$E:$E,'Stock Adjustment'!$B:$B,$A59,'Stock Adjustment'!$D:$D,"Staff Consumption")</f>
        <v>0</v>
      </c>
      <c r="J59" s="50">
        <f>SUMIFS('Stock Adjustment'!$E:$E,'Stock Adjustment'!$B:$B,$A59,'Stock Adjustment'!$D:$D,"Damaged")</f>
        <v>0</v>
      </c>
      <c r="K59" s="50">
        <f>SUMIFS('Stock Adjustment'!$E:$E,'Stock Adjustment'!$B:$B,$A59,'Stock Adjustment'!$D:$D,"Expired")</f>
        <v>0</v>
      </c>
      <c r="L59" s="50">
        <f>SUMIFS('Stock Adjustment'!$E:$E,'Stock Adjustment'!$B:$B,$A59,'Stock Adjustment'!$D:$D,"Supplier Returned")</f>
        <v>0</v>
      </c>
      <c r="M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" s="53" t="str">
        <f>IF(B59="","",VLOOKUP(B59,'Product Master'!$B:$G,4,FALSE))</f>
        <v/>
      </c>
      <c r="O59" s="53" t="str">
        <f>IF(B59="","",VLOOKUP(B59,'Product Master'!$B:$G,5,FALSE))</f>
        <v/>
      </c>
      <c r="P59" s="50" t="str">
        <f>IF(B59="","",VLOOKUP(B59,'Product Master'!$B:$I,7,FALSE))</f>
        <v/>
      </c>
      <c r="Q59" s="158">
        <f>IFERROR(Table4[[#This Row],[Closing Stock]]*Table4[[#This Row],[Cost Price]],0)</f>
        <v>0</v>
      </c>
      <c r="R59" s="58" t="str">
        <f t="shared" si="0"/>
        <v/>
      </c>
      <c r="S59" s="25"/>
      <c r="T59" s="25"/>
      <c r="U59" s="25"/>
      <c r="V59" s="25"/>
      <c r="W59" s="25"/>
      <c r="X59" s="25"/>
    </row>
    <row r="60" spans="1:24" x14ac:dyDescent="0.25">
      <c r="A60" s="31" t="s">
        <v>620</v>
      </c>
      <c r="B60" s="32"/>
      <c r="C60" s="50" t="str">
        <f>IF(B60="","",VLOOKUP(B60,'Product Master'!$B:$G,2,FALSE))</f>
        <v/>
      </c>
      <c r="D60" s="50" t="str">
        <f>IF(B60="","",VLOOKUP(B60,'Product Master'!$B:$G,3,FALSE))</f>
        <v/>
      </c>
      <c r="E60" s="50"/>
      <c r="F60" s="50">
        <f>SUMIF('Stock Purchase'!$D:$D,B60,'Stock Purchase'!$F:$F)</f>
        <v>0</v>
      </c>
      <c r="G60" s="50">
        <f>SUMIFS('Stock Adjustment'!$E:$E,'Stock Adjustment'!$B:$B,$A60,'Stock Adjustment'!$D:$D,"Customer Returned")</f>
        <v>0</v>
      </c>
      <c r="H60" s="50">
        <f>SUMIF('Daily Sales Entry'!$D:$D,B60,'Daily Sales Entry'!$G:$G)</f>
        <v>0</v>
      </c>
      <c r="I60" s="50">
        <f>SUMIFS('Stock Adjustment'!$E:$E,'Stock Adjustment'!$B:$B,$A60,'Stock Adjustment'!$D:$D,"Staff Consumption")</f>
        <v>0</v>
      </c>
      <c r="J60" s="50">
        <f>SUMIFS('Stock Adjustment'!$E:$E,'Stock Adjustment'!$B:$B,$A60,'Stock Adjustment'!$D:$D,"Damaged")</f>
        <v>0</v>
      </c>
      <c r="K60" s="50">
        <f>SUMIFS('Stock Adjustment'!$E:$E,'Stock Adjustment'!$B:$B,$A60,'Stock Adjustment'!$D:$D,"Expired")</f>
        <v>0</v>
      </c>
      <c r="L60" s="50">
        <f>SUMIFS('Stock Adjustment'!$E:$E,'Stock Adjustment'!$B:$B,$A60,'Stock Adjustment'!$D:$D,"Supplier Returned")</f>
        <v>0</v>
      </c>
      <c r="M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" s="53" t="str">
        <f>IF(B60="","",VLOOKUP(B60,'Product Master'!$B:$G,4,FALSE))</f>
        <v/>
      </c>
      <c r="O60" s="53" t="str">
        <f>IF(B60="","",VLOOKUP(B60,'Product Master'!$B:$G,5,FALSE))</f>
        <v/>
      </c>
      <c r="P60" s="50" t="str">
        <f>IF(B60="","",VLOOKUP(B60,'Product Master'!$B:$I,7,FALSE))</f>
        <v/>
      </c>
      <c r="Q60" s="158">
        <f>IFERROR(Table4[[#This Row],[Closing Stock]]*Table4[[#This Row],[Cost Price]],0)</f>
        <v>0</v>
      </c>
      <c r="R60" s="58" t="str">
        <f t="shared" si="0"/>
        <v/>
      </c>
      <c r="S60" s="25"/>
      <c r="T60" s="25"/>
      <c r="U60" s="25"/>
      <c r="V60" s="25"/>
      <c r="W60" s="25"/>
      <c r="X60" s="25"/>
    </row>
    <row r="61" spans="1:24" x14ac:dyDescent="0.25">
      <c r="A61" s="31" t="s">
        <v>621</v>
      </c>
      <c r="B61" s="32"/>
      <c r="C61" s="50" t="str">
        <f>IF(B61="","",VLOOKUP(B61,'Product Master'!$B:$G,2,FALSE))</f>
        <v/>
      </c>
      <c r="D61" s="50" t="str">
        <f>IF(B61="","",VLOOKUP(B61,'Product Master'!$B:$G,3,FALSE))</f>
        <v/>
      </c>
      <c r="E61" s="50"/>
      <c r="F61" s="50">
        <f>SUMIF('Stock Purchase'!$D:$D,B61,'Stock Purchase'!$F:$F)</f>
        <v>0</v>
      </c>
      <c r="G61" s="50">
        <f>SUMIFS('Stock Adjustment'!$E:$E,'Stock Adjustment'!$B:$B,$A61,'Stock Adjustment'!$D:$D,"Customer Returned")</f>
        <v>0</v>
      </c>
      <c r="H61" s="50">
        <f>SUMIF('Daily Sales Entry'!$D:$D,B61,'Daily Sales Entry'!$G:$G)</f>
        <v>0</v>
      </c>
      <c r="I61" s="50">
        <f>SUMIFS('Stock Adjustment'!$E:$E,'Stock Adjustment'!$B:$B,$A61,'Stock Adjustment'!$D:$D,"Staff Consumption")</f>
        <v>0</v>
      </c>
      <c r="J61" s="50">
        <f>SUMIFS('Stock Adjustment'!$E:$E,'Stock Adjustment'!$B:$B,$A61,'Stock Adjustment'!$D:$D,"Damaged")</f>
        <v>0</v>
      </c>
      <c r="K61" s="50">
        <f>SUMIFS('Stock Adjustment'!$E:$E,'Stock Adjustment'!$B:$B,$A61,'Stock Adjustment'!$D:$D,"Expired")</f>
        <v>0</v>
      </c>
      <c r="L61" s="50">
        <f>SUMIFS('Stock Adjustment'!$E:$E,'Stock Adjustment'!$B:$B,$A61,'Stock Adjustment'!$D:$D,"Supplier Returned")</f>
        <v>0</v>
      </c>
      <c r="M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" s="53" t="str">
        <f>IF(B61="","",VLOOKUP(B61,'Product Master'!$B:$G,4,FALSE))</f>
        <v/>
      </c>
      <c r="O61" s="53" t="str">
        <f>IF(B61="","",VLOOKUP(B61,'Product Master'!$B:$G,5,FALSE))</f>
        <v/>
      </c>
      <c r="P61" s="50" t="str">
        <f>IF(B61="","",VLOOKUP(B61,'Product Master'!$B:$I,7,FALSE))</f>
        <v/>
      </c>
      <c r="Q61" s="158">
        <f>IFERROR(Table4[[#This Row],[Closing Stock]]*Table4[[#This Row],[Cost Price]],0)</f>
        <v>0</v>
      </c>
      <c r="R61" s="58" t="str">
        <f t="shared" si="0"/>
        <v/>
      </c>
      <c r="S61" s="25"/>
      <c r="T61" s="25"/>
      <c r="U61" s="25"/>
      <c r="V61" s="25"/>
      <c r="W61" s="25"/>
      <c r="X61" s="25"/>
    </row>
    <row r="62" spans="1:24" x14ac:dyDescent="0.25">
      <c r="A62" s="31" t="s">
        <v>622</v>
      </c>
      <c r="B62" s="32"/>
      <c r="C62" s="50" t="str">
        <f>IF(B62="","",VLOOKUP(B62,'Product Master'!$B:$G,2,FALSE))</f>
        <v/>
      </c>
      <c r="D62" s="50" t="str">
        <f>IF(B62="","",VLOOKUP(B62,'Product Master'!$B:$G,3,FALSE))</f>
        <v/>
      </c>
      <c r="E62" s="50"/>
      <c r="F62" s="50">
        <f>SUMIF('Stock Purchase'!$D:$D,B62,'Stock Purchase'!$F:$F)</f>
        <v>0</v>
      </c>
      <c r="G62" s="50">
        <f>SUMIFS('Stock Adjustment'!$E:$E,'Stock Adjustment'!$B:$B,$A62,'Stock Adjustment'!$D:$D,"Customer Returned")</f>
        <v>0</v>
      </c>
      <c r="H62" s="50">
        <f>SUMIF('Daily Sales Entry'!$D:$D,B62,'Daily Sales Entry'!$G:$G)</f>
        <v>0</v>
      </c>
      <c r="I62" s="50">
        <f>SUMIFS('Stock Adjustment'!$E:$E,'Stock Adjustment'!$B:$B,$A62,'Stock Adjustment'!$D:$D,"Staff Consumption")</f>
        <v>0</v>
      </c>
      <c r="J62" s="50">
        <f>SUMIFS('Stock Adjustment'!$E:$E,'Stock Adjustment'!$B:$B,$A62,'Stock Adjustment'!$D:$D,"Damaged")</f>
        <v>0</v>
      </c>
      <c r="K62" s="50">
        <f>SUMIFS('Stock Adjustment'!$E:$E,'Stock Adjustment'!$B:$B,$A62,'Stock Adjustment'!$D:$D,"Expired")</f>
        <v>0</v>
      </c>
      <c r="L62" s="50">
        <f>SUMIFS('Stock Adjustment'!$E:$E,'Stock Adjustment'!$B:$B,$A62,'Stock Adjustment'!$D:$D,"Supplier Returned")</f>
        <v>0</v>
      </c>
      <c r="M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" s="53" t="str">
        <f>IF(B62="","",VLOOKUP(B62,'Product Master'!$B:$G,4,FALSE))</f>
        <v/>
      </c>
      <c r="O62" s="53" t="str">
        <f>IF(B62="","",VLOOKUP(B62,'Product Master'!$B:$G,5,FALSE))</f>
        <v/>
      </c>
      <c r="P62" s="50" t="str">
        <f>IF(B62="","",VLOOKUP(B62,'Product Master'!$B:$I,7,FALSE))</f>
        <v/>
      </c>
      <c r="Q62" s="158">
        <f>IFERROR(Table4[[#This Row],[Closing Stock]]*Table4[[#This Row],[Cost Price]],0)</f>
        <v>0</v>
      </c>
      <c r="R62" s="58" t="str">
        <f t="shared" si="0"/>
        <v/>
      </c>
      <c r="S62" s="25"/>
      <c r="T62" s="25"/>
      <c r="U62" s="25"/>
      <c r="V62" s="25"/>
      <c r="W62" s="25"/>
      <c r="X62" s="25"/>
    </row>
    <row r="63" spans="1:24" x14ac:dyDescent="0.25">
      <c r="A63" s="31" t="s">
        <v>623</v>
      </c>
      <c r="B63" s="32"/>
      <c r="C63" s="50" t="str">
        <f>IF(B63="","",VLOOKUP(B63,'Product Master'!$B:$G,2,FALSE))</f>
        <v/>
      </c>
      <c r="D63" s="50" t="str">
        <f>IF(B63="","",VLOOKUP(B63,'Product Master'!$B:$G,3,FALSE))</f>
        <v/>
      </c>
      <c r="E63" s="50"/>
      <c r="F63" s="50">
        <f>SUMIF('Stock Purchase'!$D:$D,B63,'Stock Purchase'!$F:$F)</f>
        <v>0</v>
      </c>
      <c r="G63" s="50">
        <f>SUMIFS('Stock Adjustment'!$E:$E,'Stock Adjustment'!$B:$B,$A63,'Stock Adjustment'!$D:$D,"Customer Returned")</f>
        <v>0</v>
      </c>
      <c r="H63" s="50">
        <f>SUMIF('Daily Sales Entry'!$D:$D,B63,'Daily Sales Entry'!$G:$G)</f>
        <v>0</v>
      </c>
      <c r="I63" s="50">
        <f>SUMIFS('Stock Adjustment'!$E:$E,'Stock Adjustment'!$B:$B,$A63,'Stock Adjustment'!$D:$D,"Staff Consumption")</f>
        <v>0</v>
      </c>
      <c r="J63" s="50">
        <f>SUMIFS('Stock Adjustment'!$E:$E,'Stock Adjustment'!$B:$B,$A63,'Stock Adjustment'!$D:$D,"Damaged")</f>
        <v>0</v>
      </c>
      <c r="K63" s="50">
        <f>SUMIFS('Stock Adjustment'!$E:$E,'Stock Adjustment'!$B:$B,$A63,'Stock Adjustment'!$D:$D,"Expired")</f>
        <v>0</v>
      </c>
      <c r="L63" s="50">
        <f>SUMIFS('Stock Adjustment'!$E:$E,'Stock Adjustment'!$B:$B,$A63,'Stock Adjustment'!$D:$D,"Supplier Returned")</f>
        <v>0</v>
      </c>
      <c r="M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" s="53" t="str">
        <f>IF(B63="","",VLOOKUP(B63,'Product Master'!$B:$G,4,FALSE))</f>
        <v/>
      </c>
      <c r="O63" s="53" t="str">
        <f>IF(B63="","",VLOOKUP(B63,'Product Master'!$B:$G,5,FALSE))</f>
        <v/>
      </c>
      <c r="P63" s="50" t="str">
        <f>IF(B63="","",VLOOKUP(B63,'Product Master'!$B:$I,7,FALSE))</f>
        <v/>
      </c>
      <c r="Q63" s="158">
        <f>IFERROR(Table4[[#This Row],[Closing Stock]]*Table4[[#This Row],[Cost Price]],0)</f>
        <v>0</v>
      </c>
      <c r="R63" s="58" t="str">
        <f t="shared" si="0"/>
        <v/>
      </c>
      <c r="S63" s="25"/>
      <c r="T63" s="25"/>
      <c r="U63" s="25"/>
      <c r="V63" s="25"/>
      <c r="W63" s="25"/>
      <c r="X63" s="25"/>
    </row>
    <row r="64" spans="1:24" x14ac:dyDescent="0.25">
      <c r="A64" s="31" t="s">
        <v>624</v>
      </c>
      <c r="B64" s="32"/>
      <c r="C64" s="50" t="str">
        <f>IF(B64="","",VLOOKUP(B64,'Product Master'!$B:$G,2,FALSE))</f>
        <v/>
      </c>
      <c r="D64" s="50" t="str">
        <f>IF(B64="","",VLOOKUP(B64,'Product Master'!$B:$G,3,FALSE))</f>
        <v/>
      </c>
      <c r="E64" s="50"/>
      <c r="F64" s="50">
        <f>SUMIF('Stock Purchase'!$D:$D,B64,'Stock Purchase'!$F:$F)</f>
        <v>0</v>
      </c>
      <c r="G64" s="50">
        <f>SUMIFS('Stock Adjustment'!$E:$E,'Stock Adjustment'!$B:$B,$A64,'Stock Adjustment'!$D:$D,"Customer Returned")</f>
        <v>0</v>
      </c>
      <c r="H64" s="50">
        <f>SUMIF('Daily Sales Entry'!$D:$D,B64,'Daily Sales Entry'!$G:$G)</f>
        <v>0</v>
      </c>
      <c r="I64" s="50">
        <f>SUMIFS('Stock Adjustment'!$E:$E,'Stock Adjustment'!$B:$B,$A64,'Stock Adjustment'!$D:$D,"Staff Consumption")</f>
        <v>0</v>
      </c>
      <c r="J64" s="50">
        <f>SUMIFS('Stock Adjustment'!$E:$E,'Stock Adjustment'!$B:$B,$A64,'Stock Adjustment'!$D:$D,"Damaged")</f>
        <v>0</v>
      </c>
      <c r="K64" s="50">
        <f>SUMIFS('Stock Adjustment'!$E:$E,'Stock Adjustment'!$B:$B,$A64,'Stock Adjustment'!$D:$D,"Expired")</f>
        <v>0</v>
      </c>
      <c r="L64" s="50">
        <f>SUMIFS('Stock Adjustment'!$E:$E,'Stock Adjustment'!$B:$B,$A64,'Stock Adjustment'!$D:$D,"Supplier Returned")</f>
        <v>0</v>
      </c>
      <c r="M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" s="53" t="str">
        <f>IF(B64="","",VLOOKUP(B64,'Product Master'!$B:$G,4,FALSE))</f>
        <v/>
      </c>
      <c r="O64" s="53" t="str">
        <f>IF(B64="","",VLOOKUP(B64,'Product Master'!$B:$G,5,FALSE))</f>
        <v/>
      </c>
      <c r="P64" s="50" t="str">
        <f>IF(B64="","",VLOOKUP(B64,'Product Master'!$B:$I,7,FALSE))</f>
        <v/>
      </c>
      <c r="Q64" s="158">
        <f>IFERROR(Table4[[#This Row],[Closing Stock]]*Table4[[#This Row],[Cost Price]],0)</f>
        <v>0</v>
      </c>
      <c r="R64" s="58" t="str">
        <f t="shared" si="0"/>
        <v/>
      </c>
      <c r="S64" s="25"/>
      <c r="T64" s="25"/>
      <c r="U64" s="25"/>
      <c r="V64" s="25"/>
      <c r="W64" s="25"/>
      <c r="X64" s="25"/>
    </row>
    <row r="65" spans="1:24" x14ac:dyDescent="0.25">
      <c r="A65" s="31" t="s">
        <v>625</v>
      </c>
      <c r="B65" s="32"/>
      <c r="C65" s="50" t="str">
        <f>IF(B65="","",VLOOKUP(B65,'Product Master'!$B:$G,2,FALSE))</f>
        <v/>
      </c>
      <c r="D65" s="50" t="str">
        <f>IF(B65="","",VLOOKUP(B65,'Product Master'!$B:$G,3,FALSE))</f>
        <v/>
      </c>
      <c r="E65" s="50"/>
      <c r="F65" s="50">
        <f>SUMIF('Stock Purchase'!$D:$D,B65,'Stock Purchase'!$F:$F)</f>
        <v>0</v>
      </c>
      <c r="G65" s="50">
        <f>SUMIFS('Stock Adjustment'!$E:$E,'Stock Adjustment'!$B:$B,$A65,'Stock Adjustment'!$D:$D,"Customer Returned")</f>
        <v>0</v>
      </c>
      <c r="H65" s="50">
        <f>SUMIF('Daily Sales Entry'!$D:$D,B65,'Daily Sales Entry'!$G:$G)</f>
        <v>0</v>
      </c>
      <c r="I65" s="50">
        <f>SUMIFS('Stock Adjustment'!$E:$E,'Stock Adjustment'!$B:$B,$A65,'Stock Adjustment'!$D:$D,"Staff Consumption")</f>
        <v>0</v>
      </c>
      <c r="J65" s="50">
        <f>SUMIFS('Stock Adjustment'!$E:$E,'Stock Adjustment'!$B:$B,$A65,'Stock Adjustment'!$D:$D,"Damaged")</f>
        <v>0</v>
      </c>
      <c r="K65" s="50">
        <f>SUMIFS('Stock Adjustment'!$E:$E,'Stock Adjustment'!$B:$B,$A65,'Stock Adjustment'!$D:$D,"Expired")</f>
        <v>0</v>
      </c>
      <c r="L65" s="50">
        <f>SUMIFS('Stock Adjustment'!$E:$E,'Stock Adjustment'!$B:$B,$A65,'Stock Adjustment'!$D:$D,"Supplier Returned")</f>
        <v>0</v>
      </c>
      <c r="M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" s="53" t="str">
        <f>IF(B65="","",VLOOKUP(B65,'Product Master'!$B:$G,4,FALSE))</f>
        <v/>
      </c>
      <c r="O65" s="53" t="str">
        <f>IF(B65="","",VLOOKUP(B65,'Product Master'!$B:$G,5,FALSE))</f>
        <v/>
      </c>
      <c r="P65" s="50" t="str">
        <f>IF(B65="","",VLOOKUP(B65,'Product Master'!$B:$I,7,FALSE))</f>
        <v/>
      </c>
      <c r="Q65" s="158">
        <f>IFERROR(Table4[[#This Row],[Closing Stock]]*Table4[[#This Row],[Cost Price]],0)</f>
        <v>0</v>
      </c>
      <c r="R65" s="58" t="str">
        <f t="shared" si="0"/>
        <v/>
      </c>
      <c r="S65" s="25"/>
      <c r="T65" s="25"/>
      <c r="U65" s="25"/>
      <c r="V65" s="25"/>
      <c r="W65" s="25"/>
      <c r="X65" s="25"/>
    </row>
    <row r="66" spans="1:24" x14ac:dyDescent="0.25">
      <c r="A66" s="31" t="s">
        <v>626</v>
      </c>
      <c r="B66" s="32"/>
      <c r="C66" s="50" t="str">
        <f>IF(B66="","",VLOOKUP(B66,'Product Master'!$B:$G,2,FALSE))</f>
        <v/>
      </c>
      <c r="D66" s="50" t="str">
        <f>IF(B66="","",VLOOKUP(B66,'Product Master'!$B:$G,3,FALSE))</f>
        <v/>
      </c>
      <c r="E66" s="50"/>
      <c r="F66" s="50">
        <f>SUMIF('Stock Purchase'!$D:$D,B66,'Stock Purchase'!$F:$F)</f>
        <v>0</v>
      </c>
      <c r="G66" s="50">
        <f>SUMIFS('Stock Adjustment'!$E:$E,'Stock Adjustment'!$B:$B,$A66,'Stock Adjustment'!$D:$D,"Customer Returned")</f>
        <v>0</v>
      </c>
      <c r="H66" s="50">
        <f>SUMIF('Daily Sales Entry'!$D:$D,B66,'Daily Sales Entry'!$G:$G)</f>
        <v>0</v>
      </c>
      <c r="I66" s="50">
        <f>SUMIFS('Stock Adjustment'!$E:$E,'Stock Adjustment'!$B:$B,$A66,'Stock Adjustment'!$D:$D,"Staff Consumption")</f>
        <v>0</v>
      </c>
      <c r="J66" s="50">
        <f>SUMIFS('Stock Adjustment'!$E:$E,'Stock Adjustment'!$B:$B,$A66,'Stock Adjustment'!$D:$D,"Damaged")</f>
        <v>0</v>
      </c>
      <c r="K66" s="50">
        <f>SUMIFS('Stock Adjustment'!$E:$E,'Stock Adjustment'!$B:$B,$A66,'Stock Adjustment'!$D:$D,"Expired")</f>
        <v>0</v>
      </c>
      <c r="L66" s="50">
        <f>SUMIFS('Stock Adjustment'!$E:$E,'Stock Adjustment'!$B:$B,$A66,'Stock Adjustment'!$D:$D,"Supplier Returned")</f>
        <v>0</v>
      </c>
      <c r="M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" s="53" t="str">
        <f>IF(B66="","",VLOOKUP(B66,'Product Master'!$B:$G,4,FALSE))</f>
        <v/>
      </c>
      <c r="O66" s="53" t="str">
        <f>IF(B66="","",VLOOKUP(B66,'Product Master'!$B:$G,5,FALSE))</f>
        <v/>
      </c>
      <c r="P66" s="50" t="str">
        <f>IF(B66="","",VLOOKUP(B66,'Product Master'!$B:$I,7,FALSE))</f>
        <v/>
      </c>
      <c r="Q66" s="158">
        <f>IFERROR(Table4[[#This Row],[Closing Stock]]*Table4[[#This Row],[Cost Price]],0)</f>
        <v>0</v>
      </c>
      <c r="R66" s="58" t="str">
        <f t="shared" ref="R66:R129" si="1">IF(B66="","",IF(M66=0,"Out of Stock",IF(M66&lt;=10,"Low Stock","In Stock")))</f>
        <v/>
      </c>
      <c r="S66" s="25"/>
      <c r="T66" s="25"/>
      <c r="U66" s="25"/>
      <c r="V66" s="25"/>
      <c r="W66" s="25"/>
      <c r="X66" s="25"/>
    </row>
    <row r="67" spans="1:24" x14ac:dyDescent="0.25">
      <c r="A67" s="31" t="s">
        <v>627</v>
      </c>
      <c r="B67" s="32"/>
      <c r="C67" s="50" t="str">
        <f>IF(B67="","",VLOOKUP(B67,'Product Master'!$B:$G,2,FALSE))</f>
        <v/>
      </c>
      <c r="D67" s="50" t="str">
        <f>IF(B67="","",VLOOKUP(B67,'Product Master'!$B:$G,3,FALSE))</f>
        <v/>
      </c>
      <c r="E67" s="50"/>
      <c r="F67" s="50">
        <f>SUMIF('Stock Purchase'!$D:$D,B67,'Stock Purchase'!$F:$F)</f>
        <v>0</v>
      </c>
      <c r="G67" s="50">
        <f>SUMIFS('Stock Adjustment'!$E:$E,'Stock Adjustment'!$B:$B,$A67,'Stock Adjustment'!$D:$D,"Customer Returned")</f>
        <v>0</v>
      </c>
      <c r="H67" s="50">
        <f>SUMIF('Daily Sales Entry'!$D:$D,B67,'Daily Sales Entry'!$G:$G)</f>
        <v>0</v>
      </c>
      <c r="I67" s="50">
        <f>SUMIFS('Stock Adjustment'!$E:$E,'Stock Adjustment'!$B:$B,$A67,'Stock Adjustment'!$D:$D,"Staff Consumption")</f>
        <v>0</v>
      </c>
      <c r="J67" s="50">
        <f>SUMIFS('Stock Adjustment'!$E:$E,'Stock Adjustment'!$B:$B,$A67,'Stock Adjustment'!$D:$D,"Damaged")</f>
        <v>0</v>
      </c>
      <c r="K67" s="50">
        <f>SUMIFS('Stock Adjustment'!$E:$E,'Stock Adjustment'!$B:$B,$A67,'Stock Adjustment'!$D:$D,"Expired")</f>
        <v>0</v>
      </c>
      <c r="L67" s="50">
        <f>SUMIFS('Stock Adjustment'!$E:$E,'Stock Adjustment'!$B:$B,$A67,'Stock Adjustment'!$D:$D,"Supplier Returned")</f>
        <v>0</v>
      </c>
      <c r="M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" s="53" t="str">
        <f>IF(B67="","",VLOOKUP(B67,'Product Master'!$B:$G,4,FALSE))</f>
        <v/>
      </c>
      <c r="O67" s="53" t="str">
        <f>IF(B67="","",VLOOKUP(B67,'Product Master'!$B:$G,5,FALSE))</f>
        <v/>
      </c>
      <c r="P67" s="50" t="str">
        <f>IF(B67="","",VLOOKUP(B67,'Product Master'!$B:$I,7,FALSE))</f>
        <v/>
      </c>
      <c r="Q67" s="158">
        <f>IFERROR(Table4[[#This Row],[Closing Stock]]*Table4[[#This Row],[Cost Price]],0)</f>
        <v>0</v>
      </c>
      <c r="R67" s="58" t="str">
        <f t="shared" si="1"/>
        <v/>
      </c>
      <c r="S67" s="25"/>
      <c r="T67" s="25"/>
      <c r="U67" s="25"/>
      <c r="V67" s="25"/>
      <c r="W67" s="25"/>
      <c r="X67" s="25"/>
    </row>
    <row r="68" spans="1:24" x14ac:dyDescent="0.25">
      <c r="A68" s="31" t="s">
        <v>628</v>
      </c>
      <c r="B68" s="32"/>
      <c r="C68" s="50" t="str">
        <f>IF(B68="","",VLOOKUP(B68,'Product Master'!$B:$G,2,FALSE))</f>
        <v/>
      </c>
      <c r="D68" s="50" t="str">
        <f>IF(B68="","",VLOOKUP(B68,'Product Master'!$B:$G,3,FALSE))</f>
        <v/>
      </c>
      <c r="E68" s="50"/>
      <c r="F68" s="50">
        <f>SUMIF('Stock Purchase'!$D:$D,B68,'Stock Purchase'!$F:$F)</f>
        <v>0</v>
      </c>
      <c r="G68" s="50">
        <f>SUMIFS('Stock Adjustment'!$E:$E,'Stock Adjustment'!$B:$B,$A68,'Stock Adjustment'!$D:$D,"Customer Returned")</f>
        <v>0</v>
      </c>
      <c r="H68" s="50">
        <f>SUMIF('Daily Sales Entry'!$D:$D,B68,'Daily Sales Entry'!$G:$G)</f>
        <v>0</v>
      </c>
      <c r="I68" s="50">
        <f>SUMIFS('Stock Adjustment'!$E:$E,'Stock Adjustment'!$B:$B,$A68,'Stock Adjustment'!$D:$D,"Staff Consumption")</f>
        <v>0</v>
      </c>
      <c r="J68" s="50">
        <f>SUMIFS('Stock Adjustment'!$E:$E,'Stock Adjustment'!$B:$B,$A68,'Stock Adjustment'!$D:$D,"Damaged")</f>
        <v>0</v>
      </c>
      <c r="K68" s="50">
        <f>SUMIFS('Stock Adjustment'!$E:$E,'Stock Adjustment'!$B:$B,$A68,'Stock Adjustment'!$D:$D,"Expired")</f>
        <v>0</v>
      </c>
      <c r="L68" s="50">
        <f>SUMIFS('Stock Adjustment'!$E:$E,'Stock Adjustment'!$B:$B,$A68,'Stock Adjustment'!$D:$D,"Supplier Returned")</f>
        <v>0</v>
      </c>
      <c r="M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" s="53" t="str">
        <f>IF(B68="","",VLOOKUP(B68,'Product Master'!$B:$G,4,FALSE))</f>
        <v/>
      </c>
      <c r="O68" s="53" t="str">
        <f>IF(B68="","",VLOOKUP(B68,'Product Master'!$B:$G,5,FALSE))</f>
        <v/>
      </c>
      <c r="P68" s="50" t="str">
        <f>IF(B68="","",VLOOKUP(B68,'Product Master'!$B:$I,7,FALSE))</f>
        <v/>
      </c>
      <c r="Q68" s="158">
        <f>IFERROR(Table4[[#This Row],[Closing Stock]]*Table4[[#This Row],[Cost Price]],0)</f>
        <v>0</v>
      </c>
      <c r="R68" s="58" t="str">
        <f t="shared" si="1"/>
        <v/>
      </c>
      <c r="S68" s="25"/>
      <c r="T68" s="25"/>
      <c r="U68" s="25"/>
      <c r="V68" s="25"/>
      <c r="W68" s="25"/>
      <c r="X68" s="25"/>
    </row>
    <row r="69" spans="1:24" x14ac:dyDescent="0.25">
      <c r="A69" s="31" t="s">
        <v>629</v>
      </c>
      <c r="B69" s="32"/>
      <c r="C69" s="50" t="str">
        <f>IF(B69="","",VLOOKUP(B69,'Product Master'!$B:$G,2,FALSE))</f>
        <v/>
      </c>
      <c r="D69" s="50" t="str">
        <f>IF(B69="","",VLOOKUP(B69,'Product Master'!$B:$G,3,FALSE))</f>
        <v/>
      </c>
      <c r="E69" s="50"/>
      <c r="F69" s="50">
        <f>SUMIF('Stock Purchase'!$D:$D,B69,'Stock Purchase'!$F:$F)</f>
        <v>0</v>
      </c>
      <c r="G69" s="50">
        <f>SUMIFS('Stock Adjustment'!$E:$E,'Stock Adjustment'!$B:$B,$A69,'Stock Adjustment'!$D:$D,"Customer Returned")</f>
        <v>0</v>
      </c>
      <c r="H69" s="50">
        <f>SUMIF('Daily Sales Entry'!$D:$D,B69,'Daily Sales Entry'!$G:$G)</f>
        <v>0</v>
      </c>
      <c r="I69" s="50">
        <f>SUMIFS('Stock Adjustment'!$E:$E,'Stock Adjustment'!$B:$B,$A69,'Stock Adjustment'!$D:$D,"Staff Consumption")</f>
        <v>0</v>
      </c>
      <c r="J69" s="50">
        <f>SUMIFS('Stock Adjustment'!$E:$E,'Stock Adjustment'!$B:$B,$A69,'Stock Adjustment'!$D:$D,"Damaged")</f>
        <v>0</v>
      </c>
      <c r="K69" s="50">
        <f>SUMIFS('Stock Adjustment'!$E:$E,'Stock Adjustment'!$B:$B,$A69,'Stock Adjustment'!$D:$D,"Expired")</f>
        <v>0</v>
      </c>
      <c r="L69" s="50">
        <f>SUMIFS('Stock Adjustment'!$E:$E,'Stock Adjustment'!$B:$B,$A69,'Stock Adjustment'!$D:$D,"Supplier Returned")</f>
        <v>0</v>
      </c>
      <c r="M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" s="53" t="str">
        <f>IF(B69="","",VLOOKUP(B69,'Product Master'!$B:$G,4,FALSE))</f>
        <v/>
      </c>
      <c r="O69" s="53" t="str">
        <f>IF(B69="","",VLOOKUP(B69,'Product Master'!$B:$G,5,FALSE))</f>
        <v/>
      </c>
      <c r="P69" s="50" t="str">
        <f>IF(B69="","",VLOOKUP(B69,'Product Master'!$B:$I,7,FALSE))</f>
        <v/>
      </c>
      <c r="Q69" s="158">
        <f>IFERROR(Table4[[#This Row],[Closing Stock]]*Table4[[#This Row],[Cost Price]],0)</f>
        <v>0</v>
      </c>
      <c r="R69" s="58" t="str">
        <f t="shared" si="1"/>
        <v/>
      </c>
      <c r="S69" s="25"/>
      <c r="T69" s="25"/>
      <c r="U69" s="25"/>
      <c r="V69" s="25"/>
      <c r="W69" s="25"/>
      <c r="X69" s="25"/>
    </row>
    <row r="70" spans="1:24" x14ac:dyDescent="0.25">
      <c r="A70" s="31" t="s">
        <v>630</v>
      </c>
      <c r="B70" s="32"/>
      <c r="C70" s="50" t="str">
        <f>IF(B70="","",VLOOKUP(B70,'Product Master'!$B:$G,2,FALSE))</f>
        <v/>
      </c>
      <c r="D70" s="50" t="str">
        <f>IF(B70="","",VLOOKUP(B70,'Product Master'!$B:$G,3,FALSE))</f>
        <v/>
      </c>
      <c r="E70" s="50"/>
      <c r="F70" s="50">
        <f>SUMIF('Stock Purchase'!$D:$D,B70,'Stock Purchase'!$F:$F)</f>
        <v>0</v>
      </c>
      <c r="G70" s="50">
        <f>SUMIFS('Stock Adjustment'!$E:$E,'Stock Adjustment'!$B:$B,$A70,'Stock Adjustment'!$D:$D,"Customer Returned")</f>
        <v>0</v>
      </c>
      <c r="H70" s="50">
        <f>SUMIF('Daily Sales Entry'!$D:$D,B70,'Daily Sales Entry'!$G:$G)</f>
        <v>0</v>
      </c>
      <c r="I70" s="50">
        <f>SUMIFS('Stock Adjustment'!$E:$E,'Stock Adjustment'!$B:$B,$A70,'Stock Adjustment'!$D:$D,"Staff Consumption")</f>
        <v>0</v>
      </c>
      <c r="J70" s="50">
        <f>SUMIFS('Stock Adjustment'!$E:$E,'Stock Adjustment'!$B:$B,$A70,'Stock Adjustment'!$D:$D,"Damaged")</f>
        <v>0</v>
      </c>
      <c r="K70" s="50">
        <f>SUMIFS('Stock Adjustment'!$E:$E,'Stock Adjustment'!$B:$B,$A70,'Stock Adjustment'!$D:$D,"Expired")</f>
        <v>0</v>
      </c>
      <c r="L70" s="50">
        <f>SUMIFS('Stock Adjustment'!$E:$E,'Stock Adjustment'!$B:$B,$A70,'Stock Adjustment'!$D:$D,"Supplier Returned")</f>
        <v>0</v>
      </c>
      <c r="M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" s="53" t="str">
        <f>IF(B70="","",VLOOKUP(B70,'Product Master'!$B:$G,4,FALSE))</f>
        <v/>
      </c>
      <c r="O70" s="53" t="str">
        <f>IF(B70="","",VLOOKUP(B70,'Product Master'!$B:$G,5,FALSE))</f>
        <v/>
      </c>
      <c r="P70" s="50" t="str">
        <f>IF(B70="","",VLOOKUP(B70,'Product Master'!$B:$I,7,FALSE))</f>
        <v/>
      </c>
      <c r="Q70" s="158">
        <f>IFERROR(Table4[[#This Row],[Closing Stock]]*Table4[[#This Row],[Cost Price]],0)</f>
        <v>0</v>
      </c>
      <c r="R70" s="58" t="str">
        <f t="shared" si="1"/>
        <v/>
      </c>
      <c r="S70" s="25"/>
      <c r="T70" s="25"/>
      <c r="U70" s="25"/>
      <c r="V70" s="25"/>
      <c r="W70" s="25"/>
      <c r="X70" s="25"/>
    </row>
    <row r="71" spans="1:24" x14ac:dyDescent="0.25">
      <c r="A71" s="31" t="s">
        <v>631</v>
      </c>
      <c r="B71" s="32"/>
      <c r="C71" s="50" t="str">
        <f>IF(B71="","",VLOOKUP(B71,'Product Master'!$B:$G,2,FALSE))</f>
        <v/>
      </c>
      <c r="D71" s="50" t="str">
        <f>IF(B71="","",VLOOKUP(B71,'Product Master'!$B:$G,3,FALSE))</f>
        <v/>
      </c>
      <c r="E71" s="50"/>
      <c r="F71" s="50">
        <f>SUMIF('Stock Purchase'!$D:$D,B71,'Stock Purchase'!$F:$F)</f>
        <v>0</v>
      </c>
      <c r="G71" s="50">
        <f>SUMIFS('Stock Adjustment'!$E:$E,'Stock Adjustment'!$B:$B,$A71,'Stock Adjustment'!$D:$D,"Customer Returned")</f>
        <v>0</v>
      </c>
      <c r="H71" s="50">
        <f>SUMIF('Daily Sales Entry'!$D:$D,B71,'Daily Sales Entry'!$G:$G)</f>
        <v>0</v>
      </c>
      <c r="I71" s="50">
        <f>SUMIFS('Stock Adjustment'!$E:$E,'Stock Adjustment'!$B:$B,$A71,'Stock Adjustment'!$D:$D,"Staff Consumption")</f>
        <v>0</v>
      </c>
      <c r="J71" s="50">
        <f>SUMIFS('Stock Adjustment'!$E:$E,'Stock Adjustment'!$B:$B,$A71,'Stock Adjustment'!$D:$D,"Damaged")</f>
        <v>0</v>
      </c>
      <c r="K71" s="50">
        <f>SUMIFS('Stock Adjustment'!$E:$E,'Stock Adjustment'!$B:$B,$A71,'Stock Adjustment'!$D:$D,"Expired")</f>
        <v>0</v>
      </c>
      <c r="L71" s="50">
        <f>SUMIFS('Stock Adjustment'!$E:$E,'Stock Adjustment'!$B:$B,$A71,'Stock Adjustment'!$D:$D,"Supplier Returned")</f>
        <v>0</v>
      </c>
      <c r="M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" s="53" t="str">
        <f>IF(B71="","",VLOOKUP(B71,'Product Master'!$B:$G,4,FALSE))</f>
        <v/>
      </c>
      <c r="O71" s="53" t="str">
        <f>IF(B71="","",VLOOKUP(B71,'Product Master'!$B:$G,5,FALSE))</f>
        <v/>
      </c>
      <c r="P71" s="50" t="str">
        <f>IF(B71="","",VLOOKUP(B71,'Product Master'!$B:$I,7,FALSE))</f>
        <v/>
      </c>
      <c r="Q71" s="158">
        <f>IFERROR(Table4[[#This Row],[Closing Stock]]*Table4[[#This Row],[Cost Price]],0)</f>
        <v>0</v>
      </c>
      <c r="R71" s="58" t="str">
        <f t="shared" si="1"/>
        <v/>
      </c>
      <c r="S71" s="25"/>
      <c r="T71" s="25"/>
      <c r="U71" s="25"/>
      <c r="V71" s="25"/>
      <c r="W71" s="25"/>
      <c r="X71" s="25"/>
    </row>
    <row r="72" spans="1:24" x14ac:dyDescent="0.25">
      <c r="A72" s="31" t="s">
        <v>632</v>
      </c>
      <c r="B72" s="32"/>
      <c r="C72" s="50" t="str">
        <f>IF(B72="","",VLOOKUP(B72,'Product Master'!$B:$G,2,FALSE))</f>
        <v/>
      </c>
      <c r="D72" s="50" t="str">
        <f>IF(B72="","",VLOOKUP(B72,'Product Master'!$B:$G,3,FALSE))</f>
        <v/>
      </c>
      <c r="E72" s="50"/>
      <c r="F72" s="50">
        <f>SUMIF('Stock Purchase'!$D:$D,B72,'Stock Purchase'!$F:$F)</f>
        <v>0</v>
      </c>
      <c r="G72" s="50">
        <f>SUMIFS('Stock Adjustment'!$E:$E,'Stock Adjustment'!$B:$B,$A72,'Stock Adjustment'!$D:$D,"Customer Returned")</f>
        <v>0</v>
      </c>
      <c r="H72" s="50">
        <f>SUMIF('Daily Sales Entry'!$D:$D,B72,'Daily Sales Entry'!$G:$G)</f>
        <v>0</v>
      </c>
      <c r="I72" s="50">
        <f>SUMIFS('Stock Adjustment'!$E:$E,'Stock Adjustment'!$B:$B,$A72,'Stock Adjustment'!$D:$D,"Staff Consumption")</f>
        <v>0</v>
      </c>
      <c r="J72" s="50">
        <f>SUMIFS('Stock Adjustment'!$E:$E,'Stock Adjustment'!$B:$B,$A72,'Stock Adjustment'!$D:$D,"Damaged")</f>
        <v>0</v>
      </c>
      <c r="K72" s="50">
        <f>SUMIFS('Stock Adjustment'!$E:$E,'Stock Adjustment'!$B:$B,$A72,'Stock Adjustment'!$D:$D,"Expired")</f>
        <v>0</v>
      </c>
      <c r="L72" s="50">
        <f>SUMIFS('Stock Adjustment'!$E:$E,'Stock Adjustment'!$B:$B,$A72,'Stock Adjustment'!$D:$D,"Supplier Returned")</f>
        <v>0</v>
      </c>
      <c r="M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" s="53" t="str">
        <f>IF(B72="","",VLOOKUP(B72,'Product Master'!$B:$G,4,FALSE))</f>
        <v/>
      </c>
      <c r="O72" s="53" t="str">
        <f>IF(B72="","",VLOOKUP(B72,'Product Master'!$B:$G,5,FALSE))</f>
        <v/>
      </c>
      <c r="P72" s="50" t="str">
        <f>IF(B72="","",VLOOKUP(B72,'Product Master'!$B:$I,7,FALSE))</f>
        <v/>
      </c>
      <c r="Q72" s="158">
        <f>IFERROR(Table4[[#This Row],[Closing Stock]]*Table4[[#This Row],[Cost Price]],0)</f>
        <v>0</v>
      </c>
      <c r="R72" s="58" t="str">
        <f t="shared" si="1"/>
        <v/>
      </c>
      <c r="S72" s="25"/>
      <c r="T72" s="25"/>
      <c r="U72" s="25"/>
      <c r="V72" s="25"/>
      <c r="W72" s="25"/>
      <c r="X72" s="25"/>
    </row>
    <row r="73" spans="1:24" x14ac:dyDescent="0.25">
      <c r="A73" s="31" t="s">
        <v>633</v>
      </c>
      <c r="B73" s="32"/>
      <c r="C73" s="50" t="str">
        <f>IF(B73="","",VLOOKUP(B73,'Product Master'!$B:$G,2,FALSE))</f>
        <v/>
      </c>
      <c r="D73" s="50" t="str">
        <f>IF(B73="","",VLOOKUP(B73,'Product Master'!$B:$G,3,FALSE))</f>
        <v/>
      </c>
      <c r="E73" s="50"/>
      <c r="F73" s="50">
        <f>SUMIF('Stock Purchase'!$D:$D,B73,'Stock Purchase'!$F:$F)</f>
        <v>0</v>
      </c>
      <c r="G73" s="50">
        <f>SUMIFS('Stock Adjustment'!$E:$E,'Stock Adjustment'!$B:$B,$A73,'Stock Adjustment'!$D:$D,"Customer Returned")</f>
        <v>0</v>
      </c>
      <c r="H73" s="50">
        <f>SUMIF('Daily Sales Entry'!$D:$D,B73,'Daily Sales Entry'!$G:$G)</f>
        <v>0</v>
      </c>
      <c r="I73" s="50">
        <f>SUMIFS('Stock Adjustment'!$E:$E,'Stock Adjustment'!$B:$B,$A73,'Stock Adjustment'!$D:$D,"Staff Consumption")</f>
        <v>0</v>
      </c>
      <c r="J73" s="50">
        <f>SUMIFS('Stock Adjustment'!$E:$E,'Stock Adjustment'!$B:$B,$A73,'Stock Adjustment'!$D:$D,"Damaged")</f>
        <v>0</v>
      </c>
      <c r="K73" s="50">
        <f>SUMIFS('Stock Adjustment'!$E:$E,'Stock Adjustment'!$B:$B,$A73,'Stock Adjustment'!$D:$D,"Expired")</f>
        <v>0</v>
      </c>
      <c r="L73" s="50">
        <f>SUMIFS('Stock Adjustment'!$E:$E,'Stock Adjustment'!$B:$B,$A73,'Stock Adjustment'!$D:$D,"Supplier Returned")</f>
        <v>0</v>
      </c>
      <c r="M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" s="53" t="str">
        <f>IF(B73="","",VLOOKUP(B73,'Product Master'!$B:$G,4,FALSE))</f>
        <v/>
      </c>
      <c r="O73" s="53" t="str">
        <f>IF(B73="","",VLOOKUP(B73,'Product Master'!$B:$G,5,FALSE))</f>
        <v/>
      </c>
      <c r="P73" s="50" t="str">
        <f>IF(B73="","",VLOOKUP(B73,'Product Master'!$B:$I,7,FALSE))</f>
        <v/>
      </c>
      <c r="Q73" s="158">
        <f>IFERROR(Table4[[#This Row],[Closing Stock]]*Table4[[#This Row],[Cost Price]],0)</f>
        <v>0</v>
      </c>
      <c r="R73" s="58" t="str">
        <f t="shared" si="1"/>
        <v/>
      </c>
      <c r="S73" s="25"/>
      <c r="T73" s="25"/>
      <c r="U73" s="25"/>
      <c r="V73" s="25"/>
      <c r="W73" s="25"/>
      <c r="X73" s="25"/>
    </row>
    <row r="74" spans="1:24" x14ac:dyDescent="0.25">
      <c r="A74" s="31" t="s">
        <v>634</v>
      </c>
      <c r="B74" s="32"/>
      <c r="C74" s="50" t="str">
        <f>IF(B74="","",VLOOKUP(B74,'Product Master'!$B:$G,2,FALSE))</f>
        <v/>
      </c>
      <c r="D74" s="50" t="str">
        <f>IF(B74="","",VLOOKUP(B74,'Product Master'!$B:$G,3,FALSE))</f>
        <v/>
      </c>
      <c r="E74" s="50"/>
      <c r="F74" s="50">
        <f>SUMIF('Stock Purchase'!$D:$D,B74,'Stock Purchase'!$F:$F)</f>
        <v>0</v>
      </c>
      <c r="G74" s="50">
        <f>SUMIFS('Stock Adjustment'!$E:$E,'Stock Adjustment'!$B:$B,$A74,'Stock Adjustment'!$D:$D,"Customer Returned")</f>
        <v>0</v>
      </c>
      <c r="H74" s="50">
        <f>SUMIF('Daily Sales Entry'!$D:$D,B74,'Daily Sales Entry'!$G:$G)</f>
        <v>0</v>
      </c>
      <c r="I74" s="50">
        <f>SUMIFS('Stock Adjustment'!$E:$E,'Stock Adjustment'!$B:$B,$A74,'Stock Adjustment'!$D:$D,"Staff Consumption")</f>
        <v>0</v>
      </c>
      <c r="J74" s="50">
        <f>SUMIFS('Stock Adjustment'!$E:$E,'Stock Adjustment'!$B:$B,$A74,'Stock Adjustment'!$D:$D,"Damaged")</f>
        <v>0</v>
      </c>
      <c r="K74" s="50">
        <f>SUMIFS('Stock Adjustment'!$E:$E,'Stock Adjustment'!$B:$B,$A74,'Stock Adjustment'!$D:$D,"Expired")</f>
        <v>0</v>
      </c>
      <c r="L74" s="50">
        <f>SUMIFS('Stock Adjustment'!$E:$E,'Stock Adjustment'!$B:$B,$A74,'Stock Adjustment'!$D:$D,"Supplier Returned")</f>
        <v>0</v>
      </c>
      <c r="M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" s="53" t="str">
        <f>IF(B74="","",VLOOKUP(B74,'Product Master'!$B:$G,4,FALSE))</f>
        <v/>
      </c>
      <c r="O74" s="53" t="str">
        <f>IF(B74="","",VLOOKUP(B74,'Product Master'!$B:$G,5,FALSE))</f>
        <v/>
      </c>
      <c r="P74" s="50" t="str">
        <f>IF(B74="","",VLOOKUP(B74,'Product Master'!$B:$I,7,FALSE))</f>
        <v/>
      </c>
      <c r="Q74" s="158">
        <f>IFERROR(Table4[[#This Row],[Closing Stock]]*Table4[[#This Row],[Cost Price]],0)</f>
        <v>0</v>
      </c>
      <c r="R74" s="58" t="str">
        <f t="shared" si="1"/>
        <v/>
      </c>
      <c r="S74" s="25"/>
      <c r="T74" s="25"/>
      <c r="U74" s="25"/>
      <c r="V74" s="25"/>
      <c r="W74" s="25"/>
      <c r="X74" s="25"/>
    </row>
    <row r="75" spans="1:24" x14ac:dyDescent="0.25">
      <c r="A75" s="31" t="s">
        <v>635</v>
      </c>
      <c r="B75" s="32"/>
      <c r="C75" s="50" t="str">
        <f>IF(B75="","",VLOOKUP(B75,'Product Master'!$B:$G,2,FALSE))</f>
        <v/>
      </c>
      <c r="D75" s="50" t="str">
        <f>IF(B75="","",VLOOKUP(B75,'Product Master'!$B:$G,3,FALSE))</f>
        <v/>
      </c>
      <c r="E75" s="50"/>
      <c r="F75" s="50">
        <f>SUMIF('Stock Purchase'!$D:$D,B75,'Stock Purchase'!$F:$F)</f>
        <v>0</v>
      </c>
      <c r="G75" s="50">
        <f>SUMIFS('Stock Adjustment'!$E:$E,'Stock Adjustment'!$B:$B,$A75,'Stock Adjustment'!$D:$D,"Customer Returned")</f>
        <v>0</v>
      </c>
      <c r="H75" s="50">
        <f>SUMIF('Daily Sales Entry'!$D:$D,B75,'Daily Sales Entry'!$G:$G)</f>
        <v>0</v>
      </c>
      <c r="I75" s="50">
        <f>SUMIFS('Stock Adjustment'!$E:$E,'Stock Adjustment'!$B:$B,$A75,'Stock Adjustment'!$D:$D,"Staff Consumption")</f>
        <v>0</v>
      </c>
      <c r="J75" s="50">
        <f>SUMIFS('Stock Adjustment'!$E:$E,'Stock Adjustment'!$B:$B,$A75,'Stock Adjustment'!$D:$D,"Damaged")</f>
        <v>0</v>
      </c>
      <c r="K75" s="50">
        <f>SUMIFS('Stock Adjustment'!$E:$E,'Stock Adjustment'!$B:$B,$A75,'Stock Adjustment'!$D:$D,"Expired")</f>
        <v>0</v>
      </c>
      <c r="L75" s="50">
        <f>SUMIFS('Stock Adjustment'!$E:$E,'Stock Adjustment'!$B:$B,$A75,'Stock Adjustment'!$D:$D,"Supplier Returned")</f>
        <v>0</v>
      </c>
      <c r="M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" s="53" t="str">
        <f>IF(B75="","",VLOOKUP(B75,'Product Master'!$B:$G,4,FALSE))</f>
        <v/>
      </c>
      <c r="O75" s="53" t="str">
        <f>IF(B75="","",VLOOKUP(B75,'Product Master'!$B:$G,5,FALSE))</f>
        <v/>
      </c>
      <c r="P75" s="50" t="str">
        <f>IF(B75="","",VLOOKUP(B75,'Product Master'!$B:$I,7,FALSE))</f>
        <v/>
      </c>
      <c r="Q75" s="158">
        <f>IFERROR(Table4[[#This Row],[Closing Stock]]*Table4[[#This Row],[Cost Price]],0)</f>
        <v>0</v>
      </c>
      <c r="R75" s="58" t="str">
        <f t="shared" si="1"/>
        <v/>
      </c>
      <c r="S75" s="25"/>
      <c r="T75" s="25"/>
      <c r="U75" s="25"/>
      <c r="V75" s="25"/>
      <c r="W75" s="25"/>
      <c r="X75" s="25"/>
    </row>
    <row r="76" spans="1:24" x14ac:dyDescent="0.25">
      <c r="A76" s="31" t="s">
        <v>636</v>
      </c>
      <c r="B76" s="32"/>
      <c r="C76" s="50" t="str">
        <f>IF(B76="","",VLOOKUP(B76,'Product Master'!$B:$G,2,FALSE))</f>
        <v/>
      </c>
      <c r="D76" s="50" t="str">
        <f>IF(B76="","",VLOOKUP(B76,'Product Master'!$B:$G,3,FALSE))</f>
        <v/>
      </c>
      <c r="E76" s="50"/>
      <c r="F76" s="50">
        <f>SUMIF('Stock Purchase'!$D:$D,B76,'Stock Purchase'!$F:$F)</f>
        <v>0</v>
      </c>
      <c r="G76" s="50">
        <f>SUMIFS('Stock Adjustment'!$E:$E,'Stock Adjustment'!$B:$B,$A76,'Stock Adjustment'!$D:$D,"Customer Returned")</f>
        <v>0</v>
      </c>
      <c r="H76" s="50">
        <f>SUMIF('Daily Sales Entry'!$D:$D,B76,'Daily Sales Entry'!$G:$G)</f>
        <v>0</v>
      </c>
      <c r="I76" s="50">
        <f>SUMIFS('Stock Adjustment'!$E:$E,'Stock Adjustment'!$B:$B,$A76,'Stock Adjustment'!$D:$D,"Staff Consumption")</f>
        <v>0</v>
      </c>
      <c r="J76" s="50">
        <f>SUMIFS('Stock Adjustment'!$E:$E,'Stock Adjustment'!$B:$B,$A76,'Stock Adjustment'!$D:$D,"Damaged")</f>
        <v>0</v>
      </c>
      <c r="K76" s="50">
        <f>SUMIFS('Stock Adjustment'!$E:$E,'Stock Adjustment'!$B:$B,$A76,'Stock Adjustment'!$D:$D,"Expired")</f>
        <v>0</v>
      </c>
      <c r="L76" s="50">
        <f>SUMIFS('Stock Adjustment'!$E:$E,'Stock Adjustment'!$B:$B,$A76,'Stock Adjustment'!$D:$D,"Supplier Returned")</f>
        <v>0</v>
      </c>
      <c r="M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" s="53" t="str">
        <f>IF(B76="","",VLOOKUP(B76,'Product Master'!$B:$G,4,FALSE))</f>
        <v/>
      </c>
      <c r="O76" s="53" t="str">
        <f>IF(B76="","",VLOOKUP(B76,'Product Master'!$B:$G,5,FALSE))</f>
        <v/>
      </c>
      <c r="P76" s="50" t="str">
        <f>IF(B76="","",VLOOKUP(B76,'Product Master'!$B:$I,7,FALSE))</f>
        <v/>
      </c>
      <c r="Q76" s="158">
        <f>IFERROR(Table4[[#This Row],[Closing Stock]]*Table4[[#This Row],[Cost Price]],0)</f>
        <v>0</v>
      </c>
      <c r="R76" s="58" t="str">
        <f t="shared" si="1"/>
        <v/>
      </c>
      <c r="S76" s="25"/>
      <c r="T76" s="25"/>
      <c r="U76" s="25"/>
      <c r="V76" s="25"/>
      <c r="W76" s="25"/>
      <c r="X76" s="25"/>
    </row>
    <row r="77" spans="1:24" x14ac:dyDescent="0.25">
      <c r="A77" s="31" t="s">
        <v>637</v>
      </c>
      <c r="B77" s="32"/>
      <c r="C77" s="50" t="str">
        <f>IF(B77="","",VLOOKUP(B77,'Product Master'!$B:$G,2,FALSE))</f>
        <v/>
      </c>
      <c r="D77" s="50" t="str">
        <f>IF(B77="","",VLOOKUP(B77,'Product Master'!$B:$G,3,FALSE))</f>
        <v/>
      </c>
      <c r="E77" s="50"/>
      <c r="F77" s="50">
        <f>SUMIF('Stock Purchase'!$D:$D,B77,'Stock Purchase'!$F:$F)</f>
        <v>0</v>
      </c>
      <c r="G77" s="50">
        <f>SUMIFS('Stock Adjustment'!$E:$E,'Stock Adjustment'!$B:$B,$A77,'Stock Adjustment'!$D:$D,"Customer Returned")</f>
        <v>0</v>
      </c>
      <c r="H77" s="50">
        <f>SUMIF('Daily Sales Entry'!$D:$D,B77,'Daily Sales Entry'!$G:$G)</f>
        <v>0</v>
      </c>
      <c r="I77" s="50">
        <f>SUMIFS('Stock Adjustment'!$E:$E,'Stock Adjustment'!$B:$B,$A77,'Stock Adjustment'!$D:$D,"Staff Consumption")</f>
        <v>0</v>
      </c>
      <c r="J77" s="50">
        <f>SUMIFS('Stock Adjustment'!$E:$E,'Stock Adjustment'!$B:$B,$A77,'Stock Adjustment'!$D:$D,"Damaged")</f>
        <v>0</v>
      </c>
      <c r="K77" s="50">
        <f>SUMIFS('Stock Adjustment'!$E:$E,'Stock Adjustment'!$B:$B,$A77,'Stock Adjustment'!$D:$D,"Expired")</f>
        <v>0</v>
      </c>
      <c r="L77" s="50">
        <f>SUMIFS('Stock Adjustment'!$E:$E,'Stock Adjustment'!$B:$B,$A77,'Stock Adjustment'!$D:$D,"Supplier Returned")</f>
        <v>0</v>
      </c>
      <c r="M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" s="53" t="str">
        <f>IF(B77="","",VLOOKUP(B77,'Product Master'!$B:$G,4,FALSE))</f>
        <v/>
      </c>
      <c r="O77" s="53" t="str">
        <f>IF(B77="","",VLOOKUP(B77,'Product Master'!$B:$G,5,FALSE))</f>
        <v/>
      </c>
      <c r="P77" s="50" t="str">
        <f>IF(B77="","",VLOOKUP(B77,'Product Master'!$B:$I,7,FALSE))</f>
        <v/>
      </c>
      <c r="Q77" s="158">
        <f>IFERROR(Table4[[#This Row],[Closing Stock]]*Table4[[#This Row],[Cost Price]],0)</f>
        <v>0</v>
      </c>
      <c r="R77" s="58" t="str">
        <f t="shared" si="1"/>
        <v/>
      </c>
      <c r="S77" s="25"/>
      <c r="T77" s="25"/>
      <c r="U77" s="25"/>
      <c r="V77" s="25"/>
      <c r="W77" s="25"/>
      <c r="X77" s="25"/>
    </row>
    <row r="78" spans="1:24" x14ac:dyDescent="0.25">
      <c r="A78" s="31" t="s">
        <v>638</v>
      </c>
      <c r="B78" s="32"/>
      <c r="C78" s="50" t="str">
        <f>IF(B78="","",VLOOKUP(B78,'Product Master'!$B:$G,2,FALSE))</f>
        <v/>
      </c>
      <c r="D78" s="50" t="str">
        <f>IF(B78="","",VLOOKUP(B78,'Product Master'!$B:$G,3,FALSE))</f>
        <v/>
      </c>
      <c r="E78" s="50"/>
      <c r="F78" s="50">
        <f>SUMIF('Stock Purchase'!$D:$D,B78,'Stock Purchase'!$F:$F)</f>
        <v>0</v>
      </c>
      <c r="G78" s="50">
        <f>SUMIFS('Stock Adjustment'!$E:$E,'Stock Adjustment'!$B:$B,$A78,'Stock Adjustment'!$D:$D,"Customer Returned")</f>
        <v>0</v>
      </c>
      <c r="H78" s="50">
        <f>SUMIF('Daily Sales Entry'!$D:$D,B78,'Daily Sales Entry'!$G:$G)</f>
        <v>0</v>
      </c>
      <c r="I78" s="50">
        <f>SUMIFS('Stock Adjustment'!$E:$E,'Stock Adjustment'!$B:$B,$A78,'Stock Adjustment'!$D:$D,"Staff Consumption")</f>
        <v>0</v>
      </c>
      <c r="J78" s="50">
        <f>SUMIFS('Stock Adjustment'!$E:$E,'Stock Adjustment'!$B:$B,$A78,'Stock Adjustment'!$D:$D,"Damaged")</f>
        <v>0</v>
      </c>
      <c r="K78" s="50">
        <f>SUMIFS('Stock Adjustment'!$E:$E,'Stock Adjustment'!$B:$B,$A78,'Stock Adjustment'!$D:$D,"Expired")</f>
        <v>0</v>
      </c>
      <c r="L78" s="50">
        <f>SUMIFS('Stock Adjustment'!$E:$E,'Stock Adjustment'!$B:$B,$A78,'Stock Adjustment'!$D:$D,"Supplier Returned")</f>
        <v>0</v>
      </c>
      <c r="M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" s="53" t="str">
        <f>IF(B78="","",VLOOKUP(B78,'Product Master'!$B:$G,4,FALSE))</f>
        <v/>
      </c>
      <c r="O78" s="53" t="str">
        <f>IF(B78="","",VLOOKUP(B78,'Product Master'!$B:$G,5,FALSE))</f>
        <v/>
      </c>
      <c r="P78" s="50" t="str">
        <f>IF(B78="","",VLOOKUP(B78,'Product Master'!$B:$I,7,FALSE))</f>
        <v/>
      </c>
      <c r="Q78" s="158">
        <f>IFERROR(Table4[[#This Row],[Closing Stock]]*Table4[[#This Row],[Cost Price]],0)</f>
        <v>0</v>
      </c>
      <c r="R78" s="58" t="str">
        <f t="shared" si="1"/>
        <v/>
      </c>
      <c r="S78" s="25"/>
      <c r="T78" s="25"/>
      <c r="U78" s="25"/>
      <c r="V78" s="25"/>
      <c r="W78" s="25"/>
      <c r="X78" s="25"/>
    </row>
    <row r="79" spans="1:24" x14ac:dyDescent="0.25">
      <c r="A79" s="31" t="s">
        <v>639</v>
      </c>
      <c r="B79" s="32"/>
      <c r="C79" s="50" t="str">
        <f>IF(B79="","",VLOOKUP(B79,'Product Master'!$B:$G,2,FALSE))</f>
        <v/>
      </c>
      <c r="D79" s="50" t="str">
        <f>IF(B79="","",VLOOKUP(B79,'Product Master'!$B:$G,3,FALSE))</f>
        <v/>
      </c>
      <c r="E79" s="50"/>
      <c r="F79" s="50">
        <f>SUMIF('Stock Purchase'!$D:$D,B79,'Stock Purchase'!$F:$F)</f>
        <v>0</v>
      </c>
      <c r="G79" s="50">
        <f>SUMIFS('Stock Adjustment'!$E:$E,'Stock Adjustment'!$B:$B,$A79,'Stock Adjustment'!$D:$D,"Customer Returned")</f>
        <v>0</v>
      </c>
      <c r="H79" s="50">
        <f>SUMIF('Daily Sales Entry'!$D:$D,B79,'Daily Sales Entry'!$G:$G)</f>
        <v>0</v>
      </c>
      <c r="I79" s="50">
        <f>SUMIFS('Stock Adjustment'!$E:$E,'Stock Adjustment'!$B:$B,$A79,'Stock Adjustment'!$D:$D,"Staff Consumption")</f>
        <v>0</v>
      </c>
      <c r="J79" s="50">
        <f>SUMIFS('Stock Adjustment'!$E:$E,'Stock Adjustment'!$B:$B,$A79,'Stock Adjustment'!$D:$D,"Damaged")</f>
        <v>0</v>
      </c>
      <c r="K79" s="50">
        <f>SUMIFS('Stock Adjustment'!$E:$E,'Stock Adjustment'!$B:$B,$A79,'Stock Adjustment'!$D:$D,"Expired")</f>
        <v>0</v>
      </c>
      <c r="L79" s="50">
        <f>SUMIFS('Stock Adjustment'!$E:$E,'Stock Adjustment'!$B:$B,$A79,'Stock Adjustment'!$D:$D,"Supplier Returned")</f>
        <v>0</v>
      </c>
      <c r="M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" s="53" t="str">
        <f>IF(B79="","",VLOOKUP(B79,'Product Master'!$B:$G,4,FALSE))</f>
        <v/>
      </c>
      <c r="O79" s="53" t="str">
        <f>IF(B79="","",VLOOKUP(B79,'Product Master'!$B:$G,5,FALSE))</f>
        <v/>
      </c>
      <c r="P79" s="50" t="str">
        <f>IF(B79="","",VLOOKUP(B79,'Product Master'!$B:$I,7,FALSE))</f>
        <v/>
      </c>
      <c r="Q79" s="158">
        <f>IFERROR(Table4[[#This Row],[Closing Stock]]*Table4[[#This Row],[Cost Price]],0)</f>
        <v>0</v>
      </c>
      <c r="R79" s="58" t="str">
        <f t="shared" si="1"/>
        <v/>
      </c>
      <c r="S79" s="25"/>
      <c r="T79" s="25"/>
      <c r="U79" s="25"/>
      <c r="V79" s="25"/>
      <c r="W79" s="25"/>
      <c r="X79" s="25"/>
    </row>
    <row r="80" spans="1:24" x14ac:dyDescent="0.25">
      <c r="A80" s="31" t="s">
        <v>640</v>
      </c>
      <c r="B80" s="32"/>
      <c r="C80" s="50" t="str">
        <f>IF(B80="","",VLOOKUP(B80,'Product Master'!$B:$G,2,FALSE))</f>
        <v/>
      </c>
      <c r="D80" s="50" t="str">
        <f>IF(B80="","",VLOOKUP(B80,'Product Master'!$B:$G,3,FALSE))</f>
        <v/>
      </c>
      <c r="E80" s="50"/>
      <c r="F80" s="50">
        <f>SUMIF('Stock Purchase'!$D:$D,B80,'Stock Purchase'!$F:$F)</f>
        <v>0</v>
      </c>
      <c r="G80" s="50">
        <f>SUMIFS('Stock Adjustment'!$E:$E,'Stock Adjustment'!$B:$B,$A80,'Stock Adjustment'!$D:$D,"Customer Returned")</f>
        <v>0</v>
      </c>
      <c r="H80" s="50">
        <f>SUMIF('Daily Sales Entry'!$D:$D,B80,'Daily Sales Entry'!$G:$G)</f>
        <v>0</v>
      </c>
      <c r="I80" s="50">
        <f>SUMIFS('Stock Adjustment'!$E:$E,'Stock Adjustment'!$B:$B,$A80,'Stock Adjustment'!$D:$D,"Staff Consumption")</f>
        <v>0</v>
      </c>
      <c r="J80" s="50">
        <f>SUMIFS('Stock Adjustment'!$E:$E,'Stock Adjustment'!$B:$B,$A80,'Stock Adjustment'!$D:$D,"Damaged")</f>
        <v>0</v>
      </c>
      <c r="K80" s="50">
        <f>SUMIFS('Stock Adjustment'!$E:$E,'Stock Adjustment'!$B:$B,$A80,'Stock Adjustment'!$D:$D,"Expired")</f>
        <v>0</v>
      </c>
      <c r="L80" s="50">
        <f>SUMIFS('Stock Adjustment'!$E:$E,'Stock Adjustment'!$B:$B,$A80,'Stock Adjustment'!$D:$D,"Supplier Returned")</f>
        <v>0</v>
      </c>
      <c r="M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" s="53" t="str">
        <f>IF(B80="","",VLOOKUP(B80,'Product Master'!$B:$G,4,FALSE))</f>
        <v/>
      </c>
      <c r="O80" s="53" t="str">
        <f>IF(B80="","",VLOOKUP(B80,'Product Master'!$B:$G,5,FALSE))</f>
        <v/>
      </c>
      <c r="P80" s="50" t="str">
        <f>IF(B80="","",VLOOKUP(B80,'Product Master'!$B:$I,7,FALSE))</f>
        <v/>
      </c>
      <c r="Q80" s="158">
        <f>IFERROR(Table4[[#This Row],[Closing Stock]]*Table4[[#This Row],[Cost Price]],0)</f>
        <v>0</v>
      </c>
      <c r="R80" s="58" t="str">
        <f t="shared" si="1"/>
        <v/>
      </c>
      <c r="S80" s="25"/>
      <c r="T80" s="25"/>
      <c r="U80" s="25"/>
      <c r="V80" s="25"/>
      <c r="W80" s="25"/>
      <c r="X80" s="25"/>
    </row>
    <row r="81" spans="1:24" x14ac:dyDescent="0.25">
      <c r="A81" s="31" t="s">
        <v>641</v>
      </c>
      <c r="B81" s="32"/>
      <c r="C81" s="50" t="str">
        <f>IF(B81="","",VLOOKUP(B81,'Product Master'!$B:$G,2,FALSE))</f>
        <v/>
      </c>
      <c r="D81" s="50" t="str">
        <f>IF(B81="","",VLOOKUP(B81,'Product Master'!$B:$G,3,FALSE))</f>
        <v/>
      </c>
      <c r="E81" s="50"/>
      <c r="F81" s="50">
        <f>SUMIF('Stock Purchase'!$D:$D,B81,'Stock Purchase'!$F:$F)</f>
        <v>0</v>
      </c>
      <c r="G81" s="50">
        <f>SUMIFS('Stock Adjustment'!$E:$E,'Stock Adjustment'!$B:$B,$A81,'Stock Adjustment'!$D:$D,"Customer Returned")</f>
        <v>0</v>
      </c>
      <c r="H81" s="50">
        <f>SUMIF('Daily Sales Entry'!$D:$D,B81,'Daily Sales Entry'!$G:$G)</f>
        <v>0</v>
      </c>
      <c r="I81" s="50">
        <f>SUMIFS('Stock Adjustment'!$E:$E,'Stock Adjustment'!$B:$B,$A81,'Stock Adjustment'!$D:$D,"Staff Consumption")</f>
        <v>0</v>
      </c>
      <c r="J81" s="50">
        <f>SUMIFS('Stock Adjustment'!$E:$E,'Stock Adjustment'!$B:$B,$A81,'Stock Adjustment'!$D:$D,"Damaged")</f>
        <v>0</v>
      </c>
      <c r="K81" s="50">
        <f>SUMIFS('Stock Adjustment'!$E:$E,'Stock Adjustment'!$B:$B,$A81,'Stock Adjustment'!$D:$D,"Expired")</f>
        <v>0</v>
      </c>
      <c r="L81" s="50">
        <f>SUMIFS('Stock Adjustment'!$E:$E,'Stock Adjustment'!$B:$B,$A81,'Stock Adjustment'!$D:$D,"Supplier Returned")</f>
        <v>0</v>
      </c>
      <c r="M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" s="53" t="str">
        <f>IF(B81="","",VLOOKUP(B81,'Product Master'!$B:$G,4,FALSE))</f>
        <v/>
      </c>
      <c r="O81" s="53" t="str">
        <f>IF(B81="","",VLOOKUP(B81,'Product Master'!$B:$G,5,FALSE))</f>
        <v/>
      </c>
      <c r="P81" s="50" t="str">
        <f>IF(B81="","",VLOOKUP(B81,'Product Master'!$B:$I,7,FALSE))</f>
        <v/>
      </c>
      <c r="Q81" s="158">
        <f>IFERROR(Table4[[#This Row],[Closing Stock]]*Table4[[#This Row],[Cost Price]],0)</f>
        <v>0</v>
      </c>
      <c r="R81" s="58" t="str">
        <f t="shared" si="1"/>
        <v/>
      </c>
      <c r="S81" s="25"/>
      <c r="T81" s="25"/>
      <c r="U81" s="25"/>
      <c r="V81" s="25"/>
      <c r="W81" s="25"/>
      <c r="X81" s="25"/>
    </row>
    <row r="82" spans="1:24" x14ac:dyDescent="0.25">
      <c r="A82" s="31" t="s">
        <v>642</v>
      </c>
      <c r="B82" s="32"/>
      <c r="C82" s="50" t="str">
        <f>IF(B82="","",VLOOKUP(B82,'Product Master'!$B:$G,2,FALSE))</f>
        <v/>
      </c>
      <c r="D82" s="50" t="str">
        <f>IF(B82="","",VLOOKUP(B82,'Product Master'!$B:$G,3,FALSE))</f>
        <v/>
      </c>
      <c r="E82" s="50"/>
      <c r="F82" s="50">
        <f>SUMIF('Stock Purchase'!$D:$D,B82,'Stock Purchase'!$F:$F)</f>
        <v>0</v>
      </c>
      <c r="G82" s="50">
        <f>SUMIFS('Stock Adjustment'!$E:$E,'Stock Adjustment'!$B:$B,$A82,'Stock Adjustment'!$D:$D,"Customer Returned")</f>
        <v>0</v>
      </c>
      <c r="H82" s="50">
        <f>SUMIF('Daily Sales Entry'!$D:$D,B82,'Daily Sales Entry'!$G:$G)</f>
        <v>0</v>
      </c>
      <c r="I82" s="50">
        <f>SUMIFS('Stock Adjustment'!$E:$E,'Stock Adjustment'!$B:$B,$A82,'Stock Adjustment'!$D:$D,"Staff Consumption")</f>
        <v>0</v>
      </c>
      <c r="J82" s="50">
        <f>SUMIFS('Stock Adjustment'!$E:$E,'Stock Adjustment'!$B:$B,$A82,'Stock Adjustment'!$D:$D,"Damaged")</f>
        <v>0</v>
      </c>
      <c r="K82" s="50">
        <f>SUMIFS('Stock Adjustment'!$E:$E,'Stock Adjustment'!$B:$B,$A82,'Stock Adjustment'!$D:$D,"Expired")</f>
        <v>0</v>
      </c>
      <c r="L82" s="50">
        <f>SUMIFS('Stock Adjustment'!$E:$E,'Stock Adjustment'!$B:$B,$A82,'Stock Adjustment'!$D:$D,"Supplier Returned")</f>
        <v>0</v>
      </c>
      <c r="M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" s="53" t="str">
        <f>IF(B82="","",VLOOKUP(B82,'Product Master'!$B:$G,4,FALSE))</f>
        <v/>
      </c>
      <c r="O82" s="53" t="str">
        <f>IF(B82="","",VLOOKUP(B82,'Product Master'!$B:$G,5,FALSE))</f>
        <v/>
      </c>
      <c r="P82" s="50" t="str">
        <f>IF(B82="","",VLOOKUP(B82,'Product Master'!$B:$I,7,FALSE))</f>
        <v/>
      </c>
      <c r="Q82" s="158">
        <f>IFERROR(Table4[[#This Row],[Closing Stock]]*Table4[[#This Row],[Cost Price]],0)</f>
        <v>0</v>
      </c>
      <c r="R82" s="58" t="str">
        <f t="shared" si="1"/>
        <v/>
      </c>
      <c r="S82" s="25"/>
      <c r="T82" s="25"/>
      <c r="U82" s="25"/>
      <c r="V82" s="25"/>
      <c r="W82" s="25"/>
      <c r="X82" s="25"/>
    </row>
    <row r="83" spans="1:24" x14ac:dyDescent="0.25">
      <c r="A83" s="31" t="s">
        <v>643</v>
      </c>
      <c r="B83" s="32"/>
      <c r="C83" s="50" t="str">
        <f>IF(B83="","",VLOOKUP(B83,'Product Master'!$B:$G,2,FALSE))</f>
        <v/>
      </c>
      <c r="D83" s="50" t="str">
        <f>IF(B83="","",VLOOKUP(B83,'Product Master'!$B:$G,3,FALSE))</f>
        <v/>
      </c>
      <c r="E83" s="50"/>
      <c r="F83" s="50">
        <f>SUMIF('Stock Purchase'!$D:$D,B83,'Stock Purchase'!$F:$F)</f>
        <v>0</v>
      </c>
      <c r="G83" s="50">
        <f>SUMIFS('Stock Adjustment'!$E:$E,'Stock Adjustment'!$B:$B,$A83,'Stock Adjustment'!$D:$D,"Customer Returned")</f>
        <v>0</v>
      </c>
      <c r="H83" s="50">
        <f>SUMIF('Daily Sales Entry'!$D:$D,B83,'Daily Sales Entry'!$G:$G)</f>
        <v>0</v>
      </c>
      <c r="I83" s="50">
        <f>SUMIFS('Stock Adjustment'!$E:$E,'Stock Adjustment'!$B:$B,$A83,'Stock Adjustment'!$D:$D,"Staff Consumption")</f>
        <v>0</v>
      </c>
      <c r="J83" s="50">
        <f>SUMIFS('Stock Adjustment'!$E:$E,'Stock Adjustment'!$B:$B,$A83,'Stock Adjustment'!$D:$D,"Damaged")</f>
        <v>0</v>
      </c>
      <c r="K83" s="50">
        <f>SUMIFS('Stock Adjustment'!$E:$E,'Stock Adjustment'!$B:$B,$A83,'Stock Adjustment'!$D:$D,"Expired")</f>
        <v>0</v>
      </c>
      <c r="L83" s="50">
        <f>SUMIFS('Stock Adjustment'!$E:$E,'Stock Adjustment'!$B:$B,$A83,'Stock Adjustment'!$D:$D,"Supplier Returned")</f>
        <v>0</v>
      </c>
      <c r="M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" s="53" t="str">
        <f>IF(B83="","",VLOOKUP(B83,'Product Master'!$B:$G,4,FALSE))</f>
        <v/>
      </c>
      <c r="O83" s="53" t="str">
        <f>IF(B83="","",VLOOKUP(B83,'Product Master'!$B:$G,5,FALSE))</f>
        <v/>
      </c>
      <c r="P83" s="50" t="str">
        <f>IF(B83="","",VLOOKUP(B83,'Product Master'!$B:$I,7,FALSE))</f>
        <v/>
      </c>
      <c r="Q83" s="158">
        <f>IFERROR(Table4[[#This Row],[Closing Stock]]*Table4[[#This Row],[Cost Price]],0)</f>
        <v>0</v>
      </c>
      <c r="R83" s="58" t="str">
        <f t="shared" si="1"/>
        <v/>
      </c>
      <c r="S83" s="25"/>
      <c r="T83" s="25"/>
      <c r="U83" s="25"/>
      <c r="V83" s="25"/>
      <c r="W83" s="25"/>
      <c r="X83" s="25"/>
    </row>
    <row r="84" spans="1:24" x14ac:dyDescent="0.25">
      <c r="A84" s="31" t="s">
        <v>644</v>
      </c>
      <c r="B84" s="32"/>
      <c r="C84" s="50" t="str">
        <f>IF(B84="","",VLOOKUP(B84,'Product Master'!$B:$G,2,FALSE))</f>
        <v/>
      </c>
      <c r="D84" s="50" t="str">
        <f>IF(B84="","",VLOOKUP(B84,'Product Master'!$B:$G,3,FALSE))</f>
        <v/>
      </c>
      <c r="E84" s="50"/>
      <c r="F84" s="50">
        <f>SUMIF('Stock Purchase'!$D:$D,B84,'Stock Purchase'!$F:$F)</f>
        <v>0</v>
      </c>
      <c r="G84" s="50">
        <f>SUMIFS('Stock Adjustment'!$E:$E,'Stock Adjustment'!$B:$B,$A84,'Stock Adjustment'!$D:$D,"Customer Returned")</f>
        <v>0</v>
      </c>
      <c r="H84" s="50">
        <f>SUMIF('Daily Sales Entry'!$D:$D,B84,'Daily Sales Entry'!$G:$G)</f>
        <v>0</v>
      </c>
      <c r="I84" s="50">
        <f>SUMIFS('Stock Adjustment'!$E:$E,'Stock Adjustment'!$B:$B,$A84,'Stock Adjustment'!$D:$D,"Staff Consumption")</f>
        <v>0</v>
      </c>
      <c r="J84" s="50">
        <f>SUMIFS('Stock Adjustment'!$E:$E,'Stock Adjustment'!$B:$B,$A84,'Stock Adjustment'!$D:$D,"Damaged")</f>
        <v>0</v>
      </c>
      <c r="K84" s="50">
        <f>SUMIFS('Stock Adjustment'!$E:$E,'Stock Adjustment'!$B:$B,$A84,'Stock Adjustment'!$D:$D,"Expired")</f>
        <v>0</v>
      </c>
      <c r="L84" s="50">
        <f>SUMIFS('Stock Adjustment'!$E:$E,'Stock Adjustment'!$B:$B,$A84,'Stock Adjustment'!$D:$D,"Supplier Returned")</f>
        <v>0</v>
      </c>
      <c r="M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" s="53" t="str">
        <f>IF(B84="","",VLOOKUP(B84,'Product Master'!$B:$G,4,FALSE))</f>
        <v/>
      </c>
      <c r="O84" s="53" t="str">
        <f>IF(B84="","",VLOOKUP(B84,'Product Master'!$B:$G,5,FALSE))</f>
        <v/>
      </c>
      <c r="P84" s="50" t="str">
        <f>IF(B84="","",VLOOKUP(B84,'Product Master'!$B:$I,7,FALSE))</f>
        <v/>
      </c>
      <c r="Q84" s="158">
        <f>IFERROR(Table4[[#This Row],[Closing Stock]]*Table4[[#This Row],[Cost Price]],0)</f>
        <v>0</v>
      </c>
      <c r="R84" s="58" t="str">
        <f t="shared" si="1"/>
        <v/>
      </c>
      <c r="S84" s="25"/>
      <c r="T84" s="25"/>
      <c r="U84" s="25"/>
      <c r="V84" s="25"/>
      <c r="W84" s="25"/>
      <c r="X84" s="25"/>
    </row>
    <row r="85" spans="1:24" x14ac:dyDescent="0.25">
      <c r="A85" s="31" t="s">
        <v>645</v>
      </c>
      <c r="B85" s="32"/>
      <c r="C85" s="50" t="str">
        <f>IF(B85="","",VLOOKUP(B85,'Product Master'!$B:$G,2,FALSE))</f>
        <v/>
      </c>
      <c r="D85" s="50" t="str">
        <f>IF(B85="","",VLOOKUP(B85,'Product Master'!$B:$G,3,FALSE))</f>
        <v/>
      </c>
      <c r="E85" s="50"/>
      <c r="F85" s="50">
        <f>SUMIF('Stock Purchase'!$D:$D,B85,'Stock Purchase'!$F:$F)</f>
        <v>0</v>
      </c>
      <c r="G85" s="50">
        <f>SUMIFS('Stock Adjustment'!$E:$E,'Stock Adjustment'!$B:$B,$A85,'Stock Adjustment'!$D:$D,"Customer Returned")</f>
        <v>0</v>
      </c>
      <c r="H85" s="50">
        <f>SUMIF('Daily Sales Entry'!$D:$D,B85,'Daily Sales Entry'!$G:$G)</f>
        <v>0</v>
      </c>
      <c r="I85" s="50">
        <f>SUMIFS('Stock Adjustment'!$E:$E,'Stock Adjustment'!$B:$B,$A85,'Stock Adjustment'!$D:$D,"Staff Consumption")</f>
        <v>0</v>
      </c>
      <c r="J85" s="50">
        <f>SUMIFS('Stock Adjustment'!$E:$E,'Stock Adjustment'!$B:$B,$A85,'Stock Adjustment'!$D:$D,"Damaged")</f>
        <v>0</v>
      </c>
      <c r="K85" s="50">
        <f>SUMIFS('Stock Adjustment'!$E:$E,'Stock Adjustment'!$B:$B,$A85,'Stock Adjustment'!$D:$D,"Expired")</f>
        <v>0</v>
      </c>
      <c r="L85" s="50">
        <f>SUMIFS('Stock Adjustment'!$E:$E,'Stock Adjustment'!$B:$B,$A85,'Stock Adjustment'!$D:$D,"Supplier Returned")</f>
        <v>0</v>
      </c>
      <c r="M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" s="53" t="str">
        <f>IF(B85="","",VLOOKUP(B85,'Product Master'!$B:$G,4,FALSE))</f>
        <v/>
      </c>
      <c r="O85" s="53" t="str">
        <f>IF(B85="","",VLOOKUP(B85,'Product Master'!$B:$G,5,FALSE))</f>
        <v/>
      </c>
      <c r="P85" s="50" t="str">
        <f>IF(B85="","",VLOOKUP(B85,'Product Master'!$B:$I,7,FALSE))</f>
        <v/>
      </c>
      <c r="Q85" s="158">
        <f>IFERROR(Table4[[#This Row],[Closing Stock]]*Table4[[#This Row],[Cost Price]],0)</f>
        <v>0</v>
      </c>
      <c r="R85" s="58" t="str">
        <f t="shared" si="1"/>
        <v/>
      </c>
      <c r="S85" s="25"/>
      <c r="T85" s="25"/>
      <c r="U85" s="25"/>
      <c r="V85" s="25"/>
      <c r="W85" s="25"/>
      <c r="X85" s="25"/>
    </row>
    <row r="86" spans="1:24" x14ac:dyDescent="0.25">
      <c r="A86" s="31" t="s">
        <v>646</v>
      </c>
      <c r="B86" s="32"/>
      <c r="C86" s="50" t="str">
        <f>IF(B86="","",VLOOKUP(B86,'Product Master'!$B:$G,2,FALSE))</f>
        <v/>
      </c>
      <c r="D86" s="50" t="str">
        <f>IF(B86="","",VLOOKUP(B86,'Product Master'!$B:$G,3,FALSE))</f>
        <v/>
      </c>
      <c r="E86" s="50"/>
      <c r="F86" s="50">
        <f>SUMIF('Stock Purchase'!$D:$D,B86,'Stock Purchase'!$F:$F)</f>
        <v>0</v>
      </c>
      <c r="G86" s="50">
        <f>SUMIFS('Stock Adjustment'!$E:$E,'Stock Adjustment'!$B:$B,$A86,'Stock Adjustment'!$D:$D,"Customer Returned")</f>
        <v>0</v>
      </c>
      <c r="H86" s="50">
        <f>SUMIF('Daily Sales Entry'!$D:$D,B86,'Daily Sales Entry'!$G:$G)</f>
        <v>0</v>
      </c>
      <c r="I86" s="50">
        <f>SUMIFS('Stock Adjustment'!$E:$E,'Stock Adjustment'!$B:$B,$A86,'Stock Adjustment'!$D:$D,"Staff Consumption")</f>
        <v>0</v>
      </c>
      <c r="J86" s="50">
        <f>SUMIFS('Stock Adjustment'!$E:$E,'Stock Adjustment'!$B:$B,$A86,'Stock Adjustment'!$D:$D,"Damaged")</f>
        <v>0</v>
      </c>
      <c r="K86" s="50">
        <f>SUMIFS('Stock Adjustment'!$E:$E,'Stock Adjustment'!$B:$B,$A86,'Stock Adjustment'!$D:$D,"Expired")</f>
        <v>0</v>
      </c>
      <c r="L86" s="50">
        <f>SUMIFS('Stock Adjustment'!$E:$E,'Stock Adjustment'!$B:$B,$A86,'Stock Adjustment'!$D:$D,"Supplier Returned")</f>
        <v>0</v>
      </c>
      <c r="M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" s="53" t="str">
        <f>IF(B86="","",VLOOKUP(B86,'Product Master'!$B:$G,4,FALSE))</f>
        <v/>
      </c>
      <c r="O86" s="53" t="str">
        <f>IF(B86="","",VLOOKUP(B86,'Product Master'!$B:$G,5,FALSE))</f>
        <v/>
      </c>
      <c r="P86" s="50" t="str">
        <f>IF(B86="","",VLOOKUP(B86,'Product Master'!$B:$I,7,FALSE))</f>
        <v/>
      </c>
      <c r="Q86" s="158">
        <f>IFERROR(Table4[[#This Row],[Closing Stock]]*Table4[[#This Row],[Cost Price]],0)</f>
        <v>0</v>
      </c>
      <c r="R86" s="58" t="str">
        <f t="shared" si="1"/>
        <v/>
      </c>
      <c r="S86" s="25"/>
      <c r="T86" s="25"/>
      <c r="U86" s="25"/>
      <c r="V86" s="25"/>
      <c r="W86" s="25"/>
      <c r="X86" s="25"/>
    </row>
    <row r="87" spans="1:24" x14ac:dyDescent="0.25">
      <c r="A87" s="31" t="s">
        <v>647</v>
      </c>
      <c r="B87" s="32"/>
      <c r="C87" s="50" t="str">
        <f>IF(B87="","",VLOOKUP(B87,'Product Master'!$B:$G,2,FALSE))</f>
        <v/>
      </c>
      <c r="D87" s="50" t="str">
        <f>IF(B87="","",VLOOKUP(B87,'Product Master'!$B:$G,3,FALSE))</f>
        <v/>
      </c>
      <c r="E87" s="50"/>
      <c r="F87" s="50">
        <f>SUMIF('Stock Purchase'!$D:$D,B87,'Stock Purchase'!$F:$F)</f>
        <v>0</v>
      </c>
      <c r="G87" s="50">
        <f>SUMIFS('Stock Adjustment'!$E:$E,'Stock Adjustment'!$B:$B,$A87,'Stock Adjustment'!$D:$D,"Customer Returned")</f>
        <v>0</v>
      </c>
      <c r="H87" s="50">
        <f>SUMIF('Daily Sales Entry'!$D:$D,B87,'Daily Sales Entry'!$G:$G)</f>
        <v>0</v>
      </c>
      <c r="I87" s="50">
        <f>SUMIFS('Stock Adjustment'!$E:$E,'Stock Adjustment'!$B:$B,$A87,'Stock Adjustment'!$D:$D,"Staff Consumption")</f>
        <v>0</v>
      </c>
      <c r="J87" s="50">
        <f>SUMIFS('Stock Adjustment'!$E:$E,'Stock Adjustment'!$B:$B,$A87,'Stock Adjustment'!$D:$D,"Damaged")</f>
        <v>0</v>
      </c>
      <c r="K87" s="50">
        <f>SUMIFS('Stock Adjustment'!$E:$E,'Stock Adjustment'!$B:$B,$A87,'Stock Adjustment'!$D:$D,"Expired")</f>
        <v>0</v>
      </c>
      <c r="L87" s="50">
        <f>SUMIFS('Stock Adjustment'!$E:$E,'Stock Adjustment'!$B:$B,$A87,'Stock Adjustment'!$D:$D,"Supplier Returned")</f>
        <v>0</v>
      </c>
      <c r="M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" s="53" t="str">
        <f>IF(B87="","",VLOOKUP(B87,'Product Master'!$B:$G,4,FALSE))</f>
        <v/>
      </c>
      <c r="O87" s="53" t="str">
        <f>IF(B87="","",VLOOKUP(B87,'Product Master'!$B:$G,5,FALSE))</f>
        <v/>
      </c>
      <c r="P87" s="50" t="str">
        <f>IF(B87="","",VLOOKUP(B87,'Product Master'!$B:$I,7,FALSE))</f>
        <v/>
      </c>
      <c r="Q87" s="158">
        <f>IFERROR(Table4[[#This Row],[Closing Stock]]*Table4[[#This Row],[Cost Price]],0)</f>
        <v>0</v>
      </c>
      <c r="R87" s="58" t="str">
        <f t="shared" si="1"/>
        <v/>
      </c>
      <c r="S87" s="25"/>
      <c r="T87" s="25"/>
      <c r="U87" s="25"/>
      <c r="V87" s="25"/>
      <c r="W87" s="25"/>
      <c r="X87" s="25"/>
    </row>
    <row r="88" spans="1:24" x14ac:dyDescent="0.25">
      <c r="A88" s="31" t="s">
        <v>648</v>
      </c>
      <c r="B88" s="32"/>
      <c r="C88" s="50" t="str">
        <f>IF(B88="","",VLOOKUP(B88,'Product Master'!$B:$G,2,FALSE))</f>
        <v/>
      </c>
      <c r="D88" s="50" t="str">
        <f>IF(B88="","",VLOOKUP(B88,'Product Master'!$B:$G,3,FALSE))</f>
        <v/>
      </c>
      <c r="E88" s="50"/>
      <c r="F88" s="50">
        <f>SUMIF('Stock Purchase'!$D:$D,B88,'Stock Purchase'!$F:$F)</f>
        <v>0</v>
      </c>
      <c r="G88" s="50">
        <f>SUMIFS('Stock Adjustment'!$E:$E,'Stock Adjustment'!$B:$B,$A88,'Stock Adjustment'!$D:$D,"Customer Returned")</f>
        <v>0</v>
      </c>
      <c r="H88" s="50">
        <f>SUMIF('Daily Sales Entry'!$D:$D,B88,'Daily Sales Entry'!$G:$G)</f>
        <v>0</v>
      </c>
      <c r="I88" s="50">
        <f>SUMIFS('Stock Adjustment'!$E:$E,'Stock Adjustment'!$B:$B,$A88,'Stock Adjustment'!$D:$D,"Staff Consumption")</f>
        <v>0</v>
      </c>
      <c r="J88" s="50">
        <f>SUMIFS('Stock Adjustment'!$E:$E,'Stock Adjustment'!$B:$B,$A88,'Stock Adjustment'!$D:$D,"Damaged")</f>
        <v>0</v>
      </c>
      <c r="K88" s="50">
        <f>SUMIFS('Stock Adjustment'!$E:$E,'Stock Adjustment'!$B:$B,$A88,'Stock Adjustment'!$D:$D,"Expired")</f>
        <v>0</v>
      </c>
      <c r="L88" s="50">
        <f>SUMIFS('Stock Adjustment'!$E:$E,'Stock Adjustment'!$B:$B,$A88,'Stock Adjustment'!$D:$D,"Supplier Returned")</f>
        <v>0</v>
      </c>
      <c r="M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" s="53" t="str">
        <f>IF(B88="","",VLOOKUP(B88,'Product Master'!$B:$G,4,FALSE))</f>
        <v/>
      </c>
      <c r="O88" s="53" t="str">
        <f>IF(B88="","",VLOOKUP(B88,'Product Master'!$B:$G,5,FALSE))</f>
        <v/>
      </c>
      <c r="P88" s="50" t="str">
        <f>IF(B88="","",VLOOKUP(B88,'Product Master'!$B:$I,7,FALSE))</f>
        <v/>
      </c>
      <c r="Q88" s="158">
        <f>IFERROR(Table4[[#This Row],[Closing Stock]]*Table4[[#This Row],[Cost Price]],0)</f>
        <v>0</v>
      </c>
      <c r="R88" s="58" t="str">
        <f t="shared" si="1"/>
        <v/>
      </c>
      <c r="S88" s="25"/>
      <c r="T88" s="25"/>
      <c r="U88" s="25"/>
      <c r="V88" s="25"/>
      <c r="W88" s="25"/>
      <c r="X88" s="25"/>
    </row>
    <row r="89" spans="1:24" x14ac:dyDescent="0.25">
      <c r="A89" s="31" t="s">
        <v>649</v>
      </c>
      <c r="B89" s="32"/>
      <c r="C89" s="50" t="str">
        <f>IF(B89="","",VLOOKUP(B89,'Product Master'!$B:$G,2,FALSE))</f>
        <v/>
      </c>
      <c r="D89" s="50" t="str">
        <f>IF(B89="","",VLOOKUP(B89,'Product Master'!$B:$G,3,FALSE))</f>
        <v/>
      </c>
      <c r="E89" s="50"/>
      <c r="F89" s="50">
        <f>SUMIF('Stock Purchase'!$D:$D,B89,'Stock Purchase'!$F:$F)</f>
        <v>0</v>
      </c>
      <c r="G89" s="50">
        <f>SUMIFS('Stock Adjustment'!$E:$E,'Stock Adjustment'!$B:$B,$A89,'Stock Adjustment'!$D:$D,"Customer Returned")</f>
        <v>0</v>
      </c>
      <c r="H89" s="50">
        <f>SUMIF('Daily Sales Entry'!$D:$D,B89,'Daily Sales Entry'!$G:$G)</f>
        <v>0</v>
      </c>
      <c r="I89" s="50">
        <f>SUMIFS('Stock Adjustment'!$E:$E,'Stock Adjustment'!$B:$B,$A89,'Stock Adjustment'!$D:$D,"Staff Consumption")</f>
        <v>0</v>
      </c>
      <c r="J89" s="50">
        <f>SUMIFS('Stock Adjustment'!$E:$E,'Stock Adjustment'!$B:$B,$A89,'Stock Adjustment'!$D:$D,"Damaged")</f>
        <v>0</v>
      </c>
      <c r="K89" s="50">
        <f>SUMIFS('Stock Adjustment'!$E:$E,'Stock Adjustment'!$B:$B,$A89,'Stock Adjustment'!$D:$D,"Expired")</f>
        <v>0</v>
      </c>
      <c r="L89" s="50">
        <f>SUMIFS('Stock Adjustment'!$E:$E,'Stock Adjustment'!$B:$B,$A89,'Stock Adjustment'!$D:$D,"Supplier Returned")</f>
        <v>0</v>
      </c>
      <c r="M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" s="53" t="str">
        <f>IF(B89="","",VLOOKUP(B89,'Product Master'!$B:$G,4,FALSE))</f>
        <v/>
      </c>
      <c r="O89" s="53" t="str">
        <f>IF(B89="","",VLOOKUP(B89,'Product Master'!$B:$G,5,FALSE))</f>
        <v/>
      </c>
      <c r="P89" s="50" t="str">
        <f>IF(B89="","",VLOOKUP(B89,'Product Master'!$B:$I,7,FALSE))</f>
        <v/>
      </c>
      <c r="Q89" s="158">
        <f>IFERROR(Table4[[#This Row],[Closing Stock]]*Table4[[#This Row],[Cost Price]],0)</f>
        <v>0</v>
      </c>
      <c r="R89" s="58" t="str">
        <f t="shared" si="1"/>
        <v/>
      </c>
      <c r="S89" s="25"/>
      <c r="T89" s="25"/>
      <c r="U89" s="25"/>
      <c r="V89" s="25"/>
      <c r="W89" s="25"/>
      <c r="X89" s="25"/>
    </row>
    <row r="90" spans="1:24" x14ac:dyDescent="0.25">
      <c r="A90" s="31" t="s">
        <v>650</v>
      </c>
      <c r="B90" s="32"/>
      <c r="C90" s="50" t="str">
        <f>IF(B90="","",VLOOKUP(B90,'Product Master'!$B:$G,2,FALSE))</f>
        <v/>
      </c>
      <c r="D90" s="50" t="str">
        <f>IF(B90="","",VLOOKUP(B90,'Product Master'!$B:$G,3,FALSE))</f>
        <v/>
      </c>
      <c r="E90" s="50"/>
      <c r="F90" s="50">
        <f>SUMIF('Stock Purchase'!$D:$D,B90,'Stock Purchase'!$F:$F)</f>
        <v>0</v>
      </c>
      <c r="G90" s="50">
        <f>SUMIFS('Stock Adjustment'!$E:$E,'Stock Adjustment'!$B:$B,$A90,'Stock Adjustment'!$D:$D,"Customer Returned")</f>
        <v>0</v>
      </c>
      <c r="H90" s="50">
        <f>SUMIF('Daily Sales Entry'!$D:$D,B90,'Daily Sales Entry'!$G:$G)</f>
        <v>0</v>
      </c>
      <c r="I90" s="50">
        <f>SUMIFS('Stock Adjustment'!$E:$E,'Stock Adjustment'!$B:$B,$A90,'Stock Adjustment'!$D:$D,"Staff Consumption")</f>
        <v>0</v>
      </c>
      <c r="J90" s="50">
        <f>SUMIFS('Stock Adjustment'!$E:$E,'Stock Adjustment'!$B:$B,$A90,'Stock Adjustment'!$D:$D,"Damaged")</f>
        <v>0</v>
      </c>
      <c r="K90" s="50">
        <f>SUMIFS('Stock Adjustment'!$E:$E,'Stock Adjustment'!$B:$B,$A90,'Stock Adjustment'!$D:$D,"Expired")</f>
        <v>0</v>
      </c>
      <c r="L90" s="50">
        <f>SUMIFS('Stock Adjustment'!$E:$E,'Stock Adjustment'!$B:$B,$A90,'Stock Adjustment'!$D:$D,"Supplier Returned")</f>
        <v>0</v>
      </c>
      <c r="M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" s="53" t="str">
        <f>IF(B90="","",VLOOKUP(B90,'Product Master'!$B:$G,4,FALSE))</f>
        <v/>
      </c>
      <c r="O90" s="53" t="str">
        <f>IF(B90="","",VLOOKUP(B90,'Product Master'!$B:$G,5,FALSE))</f>
        <v/>
      </c>
      <c r="P90" s="50" t="str">
        <f>IF(B90="","",VLOOKUP(B90,'Product Master'!$B:$I,7,FALSE))</f>
        <v/>
      </c>
      <c r="Q90" s="158">
        <f>IFERROR(Table4[[#This Row],[Closing Stock]]*Table4[[#This Row],[Cost Price]],0)</f>
        <v>0</v>
      </c>
      <c r="R90" s="58" t="str">
        <f t="shared" si="1"/>
        <v/>
      </c>
      <c r="S90" s="25"/>
      <c r="T90" s="25"/>
      <c r="U90" s="25"/>
      <c r="V90" s="25"/>
      <c r="W90" s="25"/>
      <c r="X90" s="25"/>
    </row>
    <row r="91" spans="1:24" x14ac:dyDescent="0.25">
      <c r="A91" s="31" t="s">
        <v>651</v>
      </c>
      <c r="B91" s="32"/>
      <c r="C91" s="50" t="str">
        <f>IF(B91="","",VLOOKUP(B91,'Product Master'!$B:$G,2,FALSE))</f>
        <v/>
      </c>
      <c r="D91" s="50" t="str">
        <f>IF(B91="","",VLOOKUP(B91,'Product Master'!$B:$G,3,FALSE))</f>
        <v/>
      </c>
      <c r="E91" s="50"/>
      <c r="F91" s="50">
        <f>SUMIF('Stock Purchase'!$D:$D,B91,'Stock Purchase'!$F:$F)</f>
        <v>0</v>
      </c>
      <c r="G91" s="50">
        <f>SUMIFS('Stock Adjustment'!$E:$E,'Stock Adjustment'!$B:$B,$A91,'Stock Adjustment'!$D:$D,"Customer Returned")</f>
        <v>0</v>
      </c>
      <c r="H91" s="50">
        <f>SUMIF('Daily Sales Entry'!$D:$D,B91,'Daily Sales Entry'!$G:$G)</f>
        <v>0</v>
      </c>
      <c r="I91" s="50">
        <f>SUMIFS('Stock Adjustment'!$E:$E,'Stock Adjustment'!$B:$B,$A91,'Stock Adjustment'!$D:$D,"Staff Consumption")</f>
        <v>0</v>
      </c>
      <c r="J91" s="50">
        <f>SUMIFS('Stock Adjustment'!$E:$E,'Stock Adjustment'!$B:$B,$A91,'Stock Adjustment'!$D:$D,"Damaged")</f>
        <v>0</v>
      </c>
      <c r="K91" s="50">
        <f>SUMIFS('Stock Adjustment'!$E:$E,'Stock Adjustment'!$B:$B,$A91,'Stock Adjustment'!$D:$D,"Expired")</f>
        <v>0</v>
      </c>
      <c r="L91" s="50">
        <f>SUMIFS('Stock Adjustment'!$E:$E,'Stock Adjustment'!$B:$B,$A91,'Stock Adjustment'!$D:$D,"Supplier Returned")</f>
        <v>0</v>
      </c>
      <c r="M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" s="53" t="str">
        <f>IF(B91="","",VLOOKUP(B91,'Product Master'!$B:$G,4,FALSE))</f>
        <v/>
      </c>
      <c r="O91" s="53" t="str">
        <f>IF(B91="","",VLOOKUP(B91,'Product Master'!$B:$G,5,FALSE))</f>
        <v/>
      </c>
      <c r="P91" s="50" t="str">
        <f>IF(B91="","",VLOOKUP(B91,'Product Master'!$B:$I,7,FALSE))</f>
        <v/>
      </c>
      <c r="Q91" s="158">
        <f>IFERROR(Table4[[#This Row],[Closing Stock]]*Table4[[#This Row],[Cost Price]],0)</f>
        <v>0</v>
      </c>
      <c r="R91" s="58" t="str">
        <f t="shared" si="1"/>
        <v/>
      </c>
      <c r="S91" s="25"/>
      <c r="T91" s="25"/>
      <c r="U91" s="25"/>
      <c r="V91" s="25"/>
      <c r="W91" s="25"/>
      <c r="X91" s="25"/>
    </row>
    <row r="92" spans="1:24" x14ac:dyDescent="0.25">
      <c r="A92" s="31" t="s">
        <v>652</v>
      </c>
      <c r="B92" s="32"/>
      <c r="C92" s="50" t="str">
        <f>IF(B92="","",VLOOKUP(B92,'Product Master'!$B:$G,2,FALSE))</f>
        <v/>
      </c>
      <c r="D92" s="50" t="str">
        <f>IF(B92="","",VLOOKUP(B92,'Product Master'!$B:$G,3,FALSE))</f>
        <v/>
      </c>
      <c r="E92" s="50"/>
      <c r="F92" s="50">
        <f>SUMIF('Stock Purchase'!$D:$D,B92,'Stock Purchase'!$F:$F)</f>
        <v>0</v>
      </c>
      <c r="G92" s="50">
        <f>SUMIFS('Stock Adjustment'!$E:$E,'Stock Adjustment'!$B:$B,$A92,'Stock Adjustment'!$D:$D,"Customer Returned")</f>
        <v>0</v>
      </c>
      <c r="H92" s="50">
        <f>SUMIF('Daily Sales Entry'!$D:$D,B92,'Daily Sales Entry'!$G:$G)</f>
        <v>0</v>
      </c>
      <c r="I92" s="50">
        <f>SUMIFS('Stock Adjustment'!$E:$E,'Stock Adjustment'!$B:$B,$A92,'Stock Adjustment'!$D:$D,"Staff Consumption")</f>
        <v>0</v>
      </c>
      <c r="J92" s="50">
        <f>SUMIFS('Stock Adjustment'!$E:$E,'Stock Adjustment'!$B:$B,$A92,'Stock Adjustment'!$D:$D,"Damaged")</f>
        <v>0</v>
      </c>
      <c r="K92" s="50">
        <f>SUMIFS('Stock Adjustment'!$E:$E,'Stock Adjustment'!$B:$B,$A92,'Stock Adjustment'!$D:$D,"Expired")</f>
        <v>0</v>
      </c>
      <c r="L92" s="50">
        <f>SUMIFS('Stock Adjustment'!$E:$E,'Stock Adjustment'!$B:$B,$A92,'Stock Adjustment'!$D:$D,"Supplier Returned")</f>
        <v>0</v>
      </c>
      <c r="M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" s="53" t="str">
        <f>IF(B92="","",VLOOKUP(B92,'Product Master'!$B:$G,4,FALSE))</f>
        <v/>
      </c>
      <c r="O92" s="53" t="str">
        <f>IF(B92="","",VLOOKUP(B92,'Product Master'!$B:$G,5,FALSE))</f>
        <v/>
      </c>
      <c r="P92" s="50" t="str">
        <f>IF(B92="","",VLOOKUP(B92,'Product Master'!$B:$I,7,FALSE))</f>
        <v/>
      </c>
      <c r="Q92" s="158">
        <f>IFERROR(Table4[[#This Row],[Closing Stock]]*Table4[[#This Row],[Cost Price]],0)</f>
        <v>0</v>
      </c>
      <c r="R92" s="58" t="str">
        <f t="shared" si="1"/>
        <v/>
      </c>
      <c r="S92" s="25"/>
      <c r="T92" s="25"/>
      <c r="U92" s="25"/>
      <c r="V92" s="25"/>
      <c r="W92" s="25"/>
      <c r="X92" s="25"/>
    </row>
    <row r="93" spans="1:24" x14ac:dyDescent="0.25">
      <c r="A93" s="31" t="s">
        <v>653</v>
      </c>
      <c r="B93" s="32"/>
      <c r="C93" s="50" t="str">
        <f>IF(B93="","",VLOOKUP(B93,'Product Master'!$B:$G,2,FALSE))</f>
        <v/>
      </c>
      <c r="D93" s="50" t="str">
        <f>IF(B93="","",VLOOKUP(B93,'Product Master'!$B:$G,3,FALSE))</f>
        <v/>
      </c>
      <c r="E93" s="50"/>
      <c r="F93" s="50">
        <f>SUMIF('Stock Purchase'!$D:$D,B93,'Stock Purchase'!$F:$F)</f>
        <v>0</v>
      </c>
      <c r="G93" s="50">
        <f>SUMIFS('Stock Adjustment'!$E:$E,'Stock Adjustment'!$B:$B,$A93,'Stock Adjustment'!$D:$D,"Customer Returned")</f>
        <v>0</v>
      </c>
      <c r="H93" s="50">
        <f>SUMIF('Daily Sales Entry'!$D:$D,B93,'Daily Sales Entry'!$G:$G)</f>
        <v>0</v>
      </c>
      <c r="I93" s="50">
        <f>SUMIFS('Stock Adjustment'!$E:$E,'Stock Adjustment'!$B:$B,$A93,'Stock Adjustment'!$D:$D,"Staff Consumption")</f>
        <v>0</v>
      </c>
      <c r="J93" s="50">
        <f>SUMIFS('Stock Adjustment'!$E:$E,'Stock Adjustment'!$B:$B,$A93,'Stock Adjustment'!$D:$D,"Damaged")</f>
        <v>0</v>
      </c>
      <c r="K93" s="50">
        <f>SUMIFS('Stock Adjustment'!$E:$E,'Stock Adjustment'!$B:$B,$A93,'Stock Adjustment'!$D:$D,"Expired")</f>
        <v>0</v>
      </c>
      <c r="L93" s="50">
        <f>SUMIFS('Stock Adjustment'!$E:$E,'Stock Adjustment'!$B:$B,$A93,'Stock Adjustment'!$D:$D,"Supplier Returned")</f>
        <v>0</v>
      </c>
      <c r="M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" s="53" t="str">
        <f>IF(B93="","",VLOOKUP(B93,'Product Master'!$B:$G,4,FALSE))</f>
        <v/>
      </c>
      <c r="O93" s="53" t="str">
        <f>IF(B93="","",VLOOKUP(B93,'Product Master'!$B:$G,5,FALSE))</f>
        <v/>
      </c>
      <c r="P93" s="50" t="str">
        <f>IF(B93="","",VLOOKUP(B93,'Product Master'!$B:$I,7,FALSE))</f>
        <v/>
      </c>
      <c r="Q93" s="158">
        <f>IFERROR(Table4[[#This Row],[Closing Stock]]*Table4[[#This Row],[Cost Price]],0)</f>
        <v>0</v>
      </c>
      <c r="R93" s="58" t="str">
        <f t="shared" si="1"/>
        <v/>
      </c>
      <c r="S93" s="25"/>
      <c r="T93" s="25"/>
      <c r="U93" s="25"/>
      <c r="V93" s="25"/>
      <c r="W93" s="25"/>
      <c r="X93" s="25"/>
    </row>
    <row r="94" spans="1:24" x14ac:dyDescent="0.25">
      <c r="A94" s="31" t="s">
        <v>654</v>
      </c>
      <c r="B94" s="32"/>
      <c r="C94" s="50" t="str">
        <f>IF(B94="","",VLOOKUP(B94,'Product Master'!$B:$G,2,FALSE))</f>
        <v/>
      </c>
      <c r="D94" s="50" t="str">
        <f>IF(B94="","",VLOOKUP(B94,'Product Master'!$B:$G,3,FALSE))</f>
        <v/>
      </c>
      <c r="E94" s="50"/>
      <c r="F94" s="50">
        <f>SUMIF('Stock Purchase'!$D:$D,B94,'Stock Purchase'!$F:$F)</f>
        <v>0</v>
      </c>
      <c r="G94" s="50">
        <f>SUMIFS('Stock Adjustment'!$E:$E,'Stock Adjustment'!$B:$B,$A94,'Stock Adjustment'!$D:$D,"Customer Returned")</f>
        <v>0</v>
      </c>
      <c r="H94" s="50">
        <f>SUMIF('Daily Sales Entry'!$D:$D,B94,'Daily Sales Entry'!$G:$G)</f>
        <v>0</v>
      </c>
      <c r="I94" s="50">
        <f>SUMIFS('Stock Adjustment'!$E:$E,'Stock Adjustment'!$B:$B,$A94,'Stock Adjustment'!$D:$D,"Staff Consumption")</f>
        <v>0</v>
      </c>
      <c r="J94" s="50">
        <f>SUMIFS('Stock Adjustment'!$E:$E,'Stock Adjustment'!$B:$B,$A94,'Stock Adjustment'!$D:$D,"Damaged")</f>
        <v>0</v>
      </c>
      <c r="K94" s="50">
        <f>SUMIFS('Stock Adjustment'!$E:$E,'Stock Adjustment'!$B:$B,$A94,'Stock Adjustment'!$D:$D,"Expired")</f>
        <v>0</v>
      </c>
      <c r="L94" s="50">
        <f>SUMIFS('Stock Adjustment'!$E:$E,'Stock Adjustment'!$B:$B,$A94,'Stock Adjustment'!$D:$D,"Supplier Returned")</f>
        <v>0</v>
      </c>
      <c r="M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" s="53" t="str">
        <f>IF(B94="","",VLOOKUP(B94,'Product Master'!$B:$G,4,FALSE))</f>
        <v/>
      </c>
      <c r="O94" s="53" t="str">
        <f>IF(B94="","",VLOOKUP(B94,'Product Master'!$B:$G,5,FALSE))</f>
        <v/>
      </c>
      <c r="P94" s="50" t="str">
        <f>IF(B94="","",VLOOKUP(B94,'Product Master'!$B:$I,7,FALSE))</f>
        <v/>
      </c>
      <c r="Q94" s="158">
        <f>IFERROR(Table4[[#This Row],[Closing Stock]]*Table4[[#This Row],[Cost Price]],0)</f>
        <v>0</v>
      </c>
      <c r="R94" s="58" t="str">
        <f t="shared" si="1"/>
        <v/>
      </c>
      <c r="S94" s="25"/>
      <c r="T94" s="25"/>
      <c r="U94" s="25"/>
      <c r="V94" s="25"/>
      <c r="W94" s="25"/>
      <c r="X94" s="25"/>
    </row>
    <row r="95" spans="1:24" x14ac:dyDescent="0.25">
      <c r="A95" s="31" t="s">
        <v>655</v>
      </c>
      <c r="B95" s="32"/>
      <c r="C95" s="50" t="str">
        <f>IF(B95="","",VLOOKUP(B95,'Product Master'!$B:$G,2,FALSE))</f>
        <v/>
      </c>
      <c r="D95" s="50" t="str">
        <f>IF(B95="","",VLOOKUP(B95,'Product Master'!$B:$G,3,FALSE))</f>
        <v/>
      </c>
      <c r="E95" s="50"/>
      <c r="F95" s="50">
        <f>SUMIF('Stock Purchase'!$D:$D,B95,'Stock Purchase'!$F:$F)</f>
        <v>0</v>
      </c>
      <c r="G95" s="50">
        <f>SUMIFS('Stock Adjustment'!$E:$E,'Stock Adjustment'!$B:$B,$A95,'Stock Adjustment'!$D:$D,"Customer Returned")</f>
        <v>0</v>
      </c>
      <c r="H95" s="50">
        <f>SUMIF('Daily Sales Entry'!$D:$D,B95,'Daily Sales Entry'!$G:$G)</f>
        <v>0</v>
      </c>
      <c r="I95" s="50">
        <f>SUMIFS('Stock Adjustment'!$E:$E,'Stock Adjustment'!$B:$B,$A95,'Stock Adjustment'!$D:$D,"Staff Consumption")</f>
        <v>0</v>
      </c>
      <c r="J95" s="50">
        <f>SUMIFS('Stock Adjustment'!$E:$E,'Stock Adjustment'!$B:$B,$A95,'Stock Adjustment'!$D:$D,"Damaged")</f>
        <v>0</v>
      </c>
      <c r="K95" s="50">
        <f>SUMIFS('Stock Adjustment'!$E:$E,'Stock Adjustment'!$B:$B,$A95,'Stock Adjustment'!$D:$D,"Expired")</f>
        <v>0</v>
      </c>
      <c r="L95" s="50">
        <f>SUMIFS('Stock Adjustment'!$E:$E,'Stock Adjustment'!$B:$B,$A95,'Stock Adjustment'!$D:$D,"Supplier Returned")</f>
        <v>0</v>
      </c>
      <c r="M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" s="53" t="str">
        <f>IF(B95="","",VLOOKUP(B95,'Product Master'!$B:$G,4,FALSE))</f>
        <v/>
      </c>
      <c r="O95" s="53" t="str">
        <f>IF(B95="","",VLOOKUP(B95,'Product Master'!$B:$G,5,FALSE))</f>
        <v/>
      </c>
      <c r="P95" s="50" t="str">
        <f>IF(B95="","",VLOOKUP(B95,'Product Master'!$B:$I,7,FALSE))</f>
        <v/>
      </c>
      <c r="Q95" s="158">
        <f>IFERROR(Table4[[#This Row],[Closing Stock]]*Table4[[#This Row],[Cost Price]],0)</f>
        <v>0</v>
      </c>
      <c r="R95" s="58" t="str">
        <f t="shared" si="1"/>
        <v/>
      </c>
      <c r="S95" s="25"/>
      <c r="T95" s="25"/>
      <c r="U95" s="25"/>
      <c r="V95" s="25"/>
      <c r="W95" s="25"/>
      <c r="X95" s="25"/>
    </row>
    <row r="96" spans="1:24" x14ac:dyDescent="0.25">
      <c r="A96" s="31" t="s">
        <v>656</v>
      </c>
      <c r="B96" s="32"/>
      <c r="C96" s="50" t="str">
        <f>IF(B96="","",VLOOKUP(B96,'Product Master'!$B:$G,2,FALSE))</f>
        <v/>
      </c>
      <c r="D96" s="50" t="str">
        <f>IF(B96="","",VLOOKUP(B96,'Product Master'!$B:$G,3,FALSE))</f>
        <v/>
      </c>
      <c r="E96" s="50"/>
      <c r="F96" s="50">
        <f>SUMIF('Stock Purchase'!$D:$D,B96,'Stock Purchase'!$F:$F)</f>
        <v>0</v>
      </c>
      <c r="G96" s="50">
        <f>SUMIFS('Stock Adjustment'!$E:$E,'Stock Adjustment'!$B:$B,$A96,'Stock Adjustment'!$D:$D,"Customer Returned")</f>
        <v>0</v>
      </c>
      <c r="H96" s="50">
        <f>SUMIF('Daily Sales Entry'!$D:$D,B96,'Daily Sales Entry'!$G:$G)</f>
        <v>0</v>
      </c>
      <c r="I96" s="50">
        <f>SUMIFS('Stock Adjustment'!$E:$E,'Stock Adjustment'!$B:$B,$A96,'Stock Adjustment'!$D:$D,"Staff Consumption")</f>
        <v>0</v>
      </c>
      <c r="J96" s="50">
        <f>SUMIFS('Stock Adjustment'!$E:$E,'Stock Adjustment'!$B:$B,$A96,'Stock Adjustment'!$D:$D,"Damaged")</f>
        <v>0</v>
      </c>
      <c r="K96" s="50">
        <f>SUMIFS('Stock Adjustment'!$E:$E,'Stock Adjustment'!$B:$B,$A96,'Stock Adjustment'!$D:$D,"Expired")</f>
        <v>0</v>
      </c>
      <c r="L96" s="50">
        <f>SUMIFS('Stock Adjustment'!$E:$E,'Stock Adjustment'!$B:$B,$A96,'Stock Adjustment'!$D:$D,"Supplier Returned")</f>
        <v>0</v>
      </c>
      <c r="M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" s="53" t="str">
        <f>IF(B96="","",VLOOKUP(B96,'Product Master'!$B:$G,4,FALSE))</f>
        <v/>
      </c>
      <c r="O96" s="53" t="str">
        <f>IF(B96="","",VLOOKUP(B96,'Product Master'!$B:$G,5,FALSE))</f>
        <v/>
      </c>
      <c r="P96" s="50" t="str">
        <f>IF(B96="","",VLOOKUP(B96,'Product Master'!$B:$I,7,FALSE))</f>
        <v/>
      </c>
      <c r="Q96" s="158">
        <f>IFERROR(Table4[[#This Row],[Closing Stock]]*Table4[[#This Row],[Cost Price]],0)</f>
        <v>0</v>
      </c>
      <c r="R96" s="58" t="str">
        <f t="shared" si="1"/>
        <v/>
      </c>
      <c r="S96" s="25"/>
      <c r="T96" s="25"/>
      <c r="U96" s="25"/>
      <c r="V96" s="25"/>
      <c r="W96" s="25"/>
      <c r="X96" s="25"/>
    </row>
    <row r="97" spans="1:24" x14ac:dyDescent="0.25">
      <c r="A97" s="31" t="s">
        <v>657</v>
      </c>
      <c r="B97" s="32"/>
      <c r="C97" s="50" t="str">
        <f>IF(B97="","",VLOOKUP(B97,'Product Master'!$B:$G,2,FALSE))</f>
        <v/>
      </c>
      <c r="D97" s="50" t="str">
        <f>IF(B97="","",VLOOKUP(B97,'Product Master'!$B:$G,3,FALSE))</f>
        <v/>
      </c>
      <c r="E97" s="50"/>
      <c r="F97" s="50">
        <f>SUMIF('Stock Purchase'!$D:$D,B97,'Stock Purchase'!$F:$F)</f>
        <v>0</v>
      </c>
      <c r="G97" s="50">
        <f>SUMIFS('Stock Adjustment'!$E:$E,'Stock Adjustment'!$B:$B,$A97,'Stock Adjustment'!$D:$D,"Customer Returned")</f>
        <v>0</v>
      </c>
      <c r="H97" s="50">
        <f>SUMIF('Daily Sales Entry'!$D:$D,B97,'Daily Sales Entry'!$G:$G)</f>
        <v>0</v>
      </c>
      <c r="I97" s="50">
        <f>SUMIFS('Stock Adjustment'!$E:$E,'Stock Adjustment'!$B:$B,$A97,'Stock Adjustment'!$D:$D,"Staff Consumption")</f>
        <v>0</v>
      </c>
      <c r="J97" s="50">
        <f>SUMIFS('Stock Adjustment'!$E:$E,'Stock Adjustment'!$B:$B,$A97,'Stock Adjustment'!$D:$D,"Damaged")</f>
        <v>0</v>
      </c>
      <c r="K97" s="50">
        <f>SUMIFS('Stock Adjustment'!$E:$E,'Stock Adjustment'!$B:$B,$A97,'Stock Adjustment'!$D:$D,"Expired")</f>
        <v>0</v>
      </c>
      <c r="L97" s="50">
        <f>SUMIFS('Stock Adjustment'!$E:$E,'Stock Adjustment'!$B:$B,$A97,'Stock Adjustment'!$D:$D,"Supplier Returned")</f>
        <v>0</v>
      </c>
      <c r="M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" s="53" t="str">
        <f>IF(B97="","",VLOOKUP(B97,'Product Master'!$B:$G,4,FALSE))</f>
        <v/>
      </c>
      <c r="O97" s="53" t="str">
        <f>IF(B97="","",VLOOKUP(B97,'Product Master'!$B:$G,5,FALSE))</f>
        <v/>
      </c>
      <c r="P97" s="50" t="str">
        <f>IF(B97="","",VLOOKUP(B97,'Product Master'!$B:$I,7,FALSE))</f>
        <v/>
      </c>
      <c r="Q97" s="158">
        <f>IFERROR(Table4[[#This Row],[Closing Stock]]*Table4[[#This Row],[Cost Price]],0)</f>
        <v>0</v>
      </c>
      <c r="R97" s="58" t="str">
        <f t="shared" si="1"/>
        <v/>
      </c>
      <c r="S97" s="25"/>
      <c r="T97" s="25"/>
      <c r="U97" s="25"/>
      <c r="V97" s="25"/>
      <c r="W97" s="25"/>
      <c r="X97" s="25"/>
    </row>
    <row r="98" spans="1:24" x14ac:dyDescent="0.25">
      <c r="A98" s="31" t="s">
        <v>658</v>
      </c>
      <c r="B98" s="32"/>
      <c r="C98" s="50" t="str">
        <f>IF(B98="","",VLOOKUP(B98,'Product Master'!$B:$G,2,FALSE))</f>
        <v/>
      </c>
      <c r="D98" s="50" t="str">
        <f>IF(B98="","",VLOOKUP(B98,'Product Master'!$B:$G,3,FALSE))</f>
        <v/>
      </c>
      <c r="E98" s="50"/>
      <c r="F98" s="50">
        <f>SUMIF('Stock Purchase'!$D:$D,B98,'Stock Purchase'!$F:$F)</f>
        <v>0</v>
      </c>
      <c r="G98" s="50">
        <f>SUMIFS('Stock Adjustment'!$E:$E,'Stock Adjustment'!$B:$B,$A98,'Stock Adjustment'!$D:$D,"Customer Returned")</f>
        <v>0</v>
      </c>
      <c r="H98" s="50">
        <f>SUMIF('Daily Sales Entry'!$D:$D,B98,'Daily Sales Entry'!$G:$G)</f>
        <v>0</v>
      </c>
      <c r="I98" s="50">
        <f>SUMIFS('Stock Adjustment'!$E:$E,'Stock Adjustment'!$B:$B,$A98,'Stock Adjustment'!$D:$D,"Staff Consumption")</f>
        <v>0</v>
      </c>
      <c r="J98" s="50">
        <f>SUMIFS('Stock Adjustment'!$E:$E,'Stock Adjustment'!$B:$B,$A98,'Stock Adjustment'!$D:$D,"Damaged")</f>
        <v>0</v>
      </c>
      <c r="K98" s="50">
        <f>SUMIFS('Stock Adjustment'!$E:$E,'Stock Adjustment'!$B:$B,$A98,'Stock Adjustment'!$D:$D,"Expired")</f>
        <v>0</v>
      </c>
      <c r="L98" s="50">
        <f>SUMIFS('Stock Adjustment'!$E:$E,'Stock Adjustment'!$B:$B,$A98,'Stock Adjustment'!$D:$D,"Supplier Returned")</f>
        <v>0</v>
      </c>
      <c r="M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" s="53" t="str">
        <f>IF(B98="","",VLOOKUP(B98,'Product Master'!$B:$G,4,FALSE))</f>
        <v/>
      </c>
      <c r="O98" s="53" t="str">
        <f>IF(B98="","",VLOOKUP(B98,'Product Master'!$B:$G,5,FALSE))</f>
        <v/>
      </c>
      <c r="P98" s="50" t="str">
        <f>IF(B98="","",VLOOKUP(B98,'Product Master'!$B:$I,7,FALSE))</f>
        <v/>
      </c>
      <c r="Q98" s="158">
        <f>IFERROR(Table4[[#This Row],[Closing Stock]]*Table4[[#This Row],[Cost Price]],0)</f>
        <v>0</v>
      </c>
      <c r="R98" s="58" t="str">
        <f t="shared" si="1"/>
        <v/>
      </c>
      <c r="S98" s="25"/>
      <c r="T98" s="25"/>
      <c r="U98" s="25"/>
      <c r="V98" s="25"/>
      <c r="W98" s="25"/>
      <c r="X98" s="25"/>
    </row>
    <row r="99" spans="1:24" x14ac:dyDescent="0.25">
      <c r="A99" s="31" t="s">
        <v>659</v>
      </c>
      <c r="B99" s="32"/>
      <c r="C99" s="50" t="str">
        <f>IF(B99="","",VLOOKUP(B99,'Product Master'!$B:$G,2,FALSE))</f>
        <v/>
      </c>
      <c r="D99" s="50" t="str">
        <f>IF(B99="","",VLOOKUP(B99,'Product Master'!$B:$G,3,FALSE))</f>
        <v/>
      </c>
      <c r="E99" s="50"/>
      <c r="F99" s="50">
        <f>SUMIF('Stock Purchase'!$D:$D,B99,'Stock Purchase'!$F:$F)</f>
        <v>0</v>
      </c>
      <c r="G99" s="50">
        <f>SUMIFS('Stock Adjustment'!$E:$E,'Stock Adjustment'!$B:$B,$A99,'Stock Adjustment'!$D:$D,"Customer Returned")</f>
        <v>0</v>
      </c>
      <c r="H99" s="50">
        <f>SUMIF('Daily Sales Entry'!$D:$D,B99,'Daily Sales Entry'!$G:$G)</f>
        <v>0</v>
      </c>
      <c r="I99" s="50">
        <f>SUMIFS('Stock Adjustment'!$E:$E,'Stock Adjustment'!$B:$B,$A99,'Stock Adjustment'!$D:$D,"Staff Consumption")</f>
        <v>0</v>
      </c>
      <c r="J99" s="50">
        <f>SUMIFS('Stock Adjustment'!$E:$E,'Stock Adjustment'!$B:$B,$A99,'Stock Adjustment'!$D:$D,"Damaged")</f>
        <v>0</v>
      </c>
      <c r="K99" s="50">
        <f>SUMIFS('Stock Adjustment'!$E:$E,'Stock Adjustment'!$B:$B,$A99,'Stock Adjustment'!$D:$D,"Expired")</f>
        <v>0</v>
      </c>
      <c r="L99" s="50">
        <f>SUMIFS('Stock Adjustment'!$E:$E,'Stock Adjustment'!$B:$B,$A99,'Stock Adjustment'!$D:$D,"Supplier Returned")</f>
        <v>0</v>
      </c>
      <c r="M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" s="53" t="str">
        <f>IF(B99="","",VLOOKUP(B99,'Product Master'!$B:$G,4,FALSE))</f>
        <v/>
      </c>
      <c r="O99" s="53" t="str">
        <f>IF(B99="","",VLOOKUP(B99,'Product Master'!$B:$G,5,FALSE))</f>
        <v/>
      </c>
      <c r="P99" s="50" t="str">
        <f>IF(B99="","",VLOOKUP(B99,'Product Master'!$B:$I,7,FALSE))</f>
        <v/>
      </c>
      <c r="Q99" s="158">
        <f>IFERROR(Table4[[#This Row],[Closing Stock]]*Table4[[#This Row],[Cost Price]],0)</f>
        <v>0</v>
      </c>
      <c r="R99" s="58" t="str">
        <f t="shared" si="1"/>
        <v/>
      </c>
      <c r="S99" s="25"/>
      <c r="T99" s="25"/>
      <c r="U99" s="25"/>
      <c r="V99" s="25"/>
      <c r="W99" s="25"/>
      <c r="X99" s="25"/>
    </row>
    <row r="100" spans="1:24" x14ac:dyDescent="0.25">
      <c r="A100" s="31" t="s">
        <v>660</v>
      </c>
      <c r="B100" s="32"/>
      <c r="C100" s="50" t="str">
        <f>IF(B100="","",VLOOKUP(B100,'Product Master'!$B:$G,2,FALSE))</f>
        <v/>
      </c>
      <c r="D100" s="50" t="str">
        <f>IF(B100="","",VLOOKUP(B100,'Product Master'!$B:$G,3,FALSE))</f>
        <v/>
      </c>
      <c r="E100" s="50"/>
      <c r="F100" s="50">
        <f>SUMIF('Stock Purchase'!$D:$D,B100,'Stock Purchase'!$F:$F)</f>
        <v>0</v>
      </c>
      <c r="G100" s="50">
        <f>SUMIFS('Stock Adjustment'!$E:$E,'Stock Adjustment'!$B:$B,$A100,'Stock Adjustment'!$D:$D,"Customer Returned")</f>
        <v>0</v>
      </c>
      <c r="H100" s="50">
        <f>SUMIF('Daily Sales Entry'!$D:$D,B100,'Daily Sales Entry'!$G:$G)</f>
        <v>0</v>
      </c>
      <c r="I100" s="50">
        <f>SUMIFS('Stock Adjustment'!$E:$E,'Stock Adjustment'!$B:$B,$A100,'Stock Adjustment'!$D:$D,"Staff Consumption")</f>
        <v>0</v>
      </c>
      <c r="J100" s="50">
        <f>SUMIFS('Stock Adjustment'!$E:$E,'Stock Adjustment'!$B:$B,$A100,'Stock Adjustment'!$D:$D,"Damaged")</f>
        <v>0</v>
      </c>
      <c r="K100" s="50">
        <f>SUMIFS('Stock Adjustment'!$E:$E,'Stock Adjustment'!$B:$B,$A100,'Stock Adjustment'!$D:$D,"Expired")</f>
        <v>0</v>
      </c>
      <c r="L100" s="50">
        <f>SUMIFS('Stock Adjustment'!$E:$E,'Stock Adjustment'!$B:$B,$A100,'Stock Adjustment'!$D:$D,"Supplier Returned")</f>
        <v>0</v>
      </c>
      <c r="M1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" s="53" t="str">
        <f>IF(B100="","",VLOOKUP(B100,'Product Master'!$B:$G,4,FALSE))</f>
        <v/>
      </c>
      <c r="O100" s="53" t="str">
        <f>IF(B100="","",VLOOKUP(B100,'Product Master'!$B:$G,5,FALSE))</f>
        <v/>
      </c>
      <c r="P100" s="50" t="str">
        <f>IF(B100="","",VLOOKUP(B100,'Product Master'!$B:$I,7,FALSE))</f>
        <v/>
      </c>
      <c r="Q100" s="158">
        <f>IFERROR(Table4[[#This Row],[Closing Stock]]*Table4[[#This Row],[Cost Price]],0)</f>
        <v>0</v>
      </c>
      <c r="R100" s="58" t="str">
        <f t="shared" si="1"/>
        <v/>
      </c>
      <c r="S100" s="25"/>
      <c r="T100" s="25"/>
      <c r="U100" s="25"/>
      <c r="V100" s="25"/>
      <c r="W100" s="25"/>
      <c r="X100" s="25"/>
    </row>
    <row r="101" spans="1:24" x14ac:dyDescent="0.25">
      <c r="A101" s="31" t="s">
        <v>661</v>
      </c>
      <c r="B101" s="32"/>
      <c r="C101" s="50" t="str">
        <f>IF(B101="","",VLOOKUP(B101,'Product Master'!$B:$G,2,FALSE))</f>
        <v/>
      </c>
      <c r="D101" s="50" t="str">
        <f>IF(B101="","",VLOOKUP(B101,'Product Master'!$B:$G,3,FALSE))</f>
        <v/>
      </c>
      <c r="E101" s="50"/>
      <c r="F101" s="50">
        <f>SUMIF('Stock Purchase'!$D:$D,B101,'Stock Purchase'!$F:$F)</f>
        <v>0</v>
      </c>
      <c r="G101" s="50">
        <f>SUMIFS('Stock Adjustment'!$E:$E,'Stock Adjustment'!$B:$B,$A101,'Stock Adjustment'!$D:$D,"Customer Returned")</f>
        <v>0</v>
      </c>
      <c r="H101" s="50">
        <f>SUMIF('Daily Sales Entry'!$D:$D,B101,'Daily Sales Entry'!$G:$G)</f>
        <v>0</v>
      </c>
      <c r="I101" s="50">
        <f>SUMIFS('Stock Adjustment'!$E:$E,'Stock Adjustment'!$B:$B,$A101,'Stock Adjustment'!$D:$D,"Staff Consumption")</f>
        <v>0</v>
      </c>
      <c r="J101" s="50">
        <f>SUMIFS('Stock Adjustment'!$E:$E,'Stock Adjustment'!$B:$B,$A101,'Stock Adjustment'!$D:$D,"Damaged")</f>
        <v>0</v>
      </c>
      <c r="K101" s="50">
        <f>SUMIFS('Stock Adjustment'!$E:$E,'Stock Adjustment'!$B:$B,$A101,'Stock Adjustment'!$D:$D,"Expired")</f>
        <v>0</v>
      </c>
      <c r="L101" s="50">
        <f>SUMIFS('Stock Adjustment'!$E:$E,'Stock Adjustment'!$B:$B,$A101,'Stock Adjustment'!$D:$D,"Supplier Returned")</f>
        <v>0</v>
      </c>
      <c r="M1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" s="53" t="str">
        <f>IF(B101="","",VLOOKUP(B101,'Product Master'!$B:$G,4,FALSE))</f>
        <v/>
      </c>
      <c r="O101" s="53" t="str">
        <f>IF(B101="","",VLOOKUP(B101,'Product Master'!$B:$G,5,FALSE))</f>
        <v/>
      </c>
      <c r="P101" s="50" t="str">
        <f>IF(B101="","",VLOOKUP(B101,'Product Master'!$B:$I,7,FALSE))</f>
        <v/>
      </c>
      <c r="Q101" s="158">
        <f>IFERROR(Table4[[#This Row],[Closing Stock]]*Table4[[#This Row],[Cost Price]],0)</f>
        <v>0</v>
      </c>
      <c r="R101" s="58" t="str">
        <f t="shared" si="1"/>
        <v/>
      </c>
      <c r="S101" s="25"/>
      <c r="T101" s="25"/>
      <c r="U101" s="25"/>
      <c r="V101" s="25"/>
      <c r="W101" s="25"/>
      <c r="X101" s="25"/>
    </row>
    <row r="102" spans="1:24" x14ac:dyDescent="0.25">
      <c r="A102" s="31" t="s">
        <v>662</v>
      </c>
      <c r="B102" s="32"/>
      <c r="C102" s="50" t="str">
        <f>IF(B102="","",VLOOKUP(B102,'Product Master'!$B:$G,2,FALSE))</f>
        <v/>
      </c>
      <c r="D102" s="50" t="str">
        <f>IF(B102="","",VLOOKUP(B102,'Product Master'!$B:$G,3,FALSE))</f>
        <v/>
      </c>
      <c r="E102" s="50"/>
      <c r="F102" s="50">
        <f>SUMIF('Stock Purchase'!$D:$D,B102,'Stock Purchase'!$F:$F)</f>
        <v>0</v>
      </c>
      <c r="G102" s="50">
        <f>SUMIFS('Stock Adjustment'!$E:$E,'Stock Adjustment'!$B:$B,$A102,'Stock Adjustment'!$D:$D,"Customer Returned")</f>
        <v>0</v>
      </c>
      <c r="H102" s="50">
        <f>SUMIF('Daily Sales Entry'!$D:$D,B102,'Daily Sales Entry'!$G:$G)</f>
        <v>0</v>
      </c>
      <c r="I102" s="50">
        <f>SUMIFS('Stock Adjustment'!$E:$E,'Stock Adjustment'!$B:$B,$A102,'Stock Adjustment'!$D:$D,"Staff Consumption")</f>
        <v>0</v>
      </c>
      <c r="J102" s="50">
        <f>SUMIFS('Stock Adjustment'!$E:$E,'Stock Adjustment'!$B:$B,$A102,'Stock Adjustment'!$D:$D,"Damaged")</f>
        <v>0</v>
      </c>
      <c r="K102" s="50">
        <f>SUMIFS('Stock Adjustment'!$E:$E,'Stock Adjustment'!$B:$B,$A102,'Stock Adjustment'!$D:$D,"Expired")</f>
        <v>0</v>
      </c>
      <c r="L102" s="50">
        <f>SUMIFS('Stock Adjustment'!$E:$E,'Stock Adjustment'!$B:$B,$A102,'Stock Adjustment'!$D:$D,"Supplier Returned")</f>
        <v>0</v>
      </c>
      <c r="M1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" s="53" t="str">
        <f>IF(B102="","",VLOOKUP(B102,'Product Master'!$B:$G,4,FALSE))</f>
        <v/>
      </c>
      <c r="O102" s="53" t="str">
        <f>IF(B102="","",VLOOKUP(B102,'Product Master'!$B:$G,5,FALSE))</f>
        <v/>
      </c>
      <c r="P102" s="50" t="str">
        <f>IF(B102="","",VLOOKUP(B102,'Product Master'!$B:$I,7,FALSE))</f>
        <v/>
      </c>
      <c r="Q102" s="158">
        <f>IFERROR(Table4[[#This Row],[Closing Stock]]*Table4[[#This Row],[Cost Price]],0)</f>
        <v>0</v>
      </c>
      <c r="R102" s="58" t="str">
        <f t="shared" si="1"/>
        <v/>
      </c>
      <c r="S102" s="25"/>
      <c r="T102" s="25"/>
      <c r="U102" s="25"/>
      <c r="V102" s="25"/>
      <c r="W102" s="25"/>
      <c r="X102" s="25"/>
    </row>
    <row r="103" spans="1:24" x14ac:dyDescent="0.25">
      <c r="A103" s="31" t="s">
        <v>663</v>
      </c>
      <c r="B103" s="32"/>
      <c r="C103" s="50" t="str">
        <f>IF(B103="","",VLOOKUP(B103,'Product Master'!$B:$G,2,FALSE))</f>
        <v/>
      </c>
      <c r="D103" s="50" t="str">
        <f>IF(B103="","",VLOOKUP(B103,'Product Master'!$B:$G,3,FALSE))</f>
        <v/>
      </c>
      <c r="E103" s="50"/>
      <c r="F103" s="50">
        <f>SUMIF('Stock Purchase'!$D:$D,B103,'Stock Purchase'!$F:$F)</f>
        <v>0</v>
      </c>
      <c r="G103" s="50">
        <f>SUMIFS('Stock Adjustment'!$E:$E,'Stock Adjustment'!$B:$B,$A103,'Stock Adjustment'!$D:$D,"Customer Returned")</f>
        <v>0</v>
      </c>
      <c r="H103" s="50">
        <f>SUMIF('Daily Sales Entry'!$D:$D,B103,'Daily Sales Entry'!$G:$G)</f>
        <v>0</v>
      </c>
      <c r="I103" s="50">
        <f>SUMIFS('Stock Adjustment'!$E:$E,'Stock Adjustment'!$B:$B,$A103,'Stock Adjustment'!$D:$D,"Staff Consumption")</f>
        <v>0</v>
      </c>
      <c r="J103" s="50">
        <f>SUMIFS('Stock Adjustment'!$E:$E,'Stock Adjustment'!$B:$B,$A103,'Stock Adjustment'!$D:$D,"Damaged")</f>
        <v>0</v>
      </c>
      <c r="K103" s="50">
        <f>SUMIFS('Stock Adjustment'!$E:$E,'Stock Adjustment'!$B:$B,$A103,'Stock Adjustment'!$D:$D,"Expired")</f>
        <v>0</v>
      </c>
      <c r="L103" s="50">
        <f>SUMIFS('Stock Adjustment'!$E:$E,'Stock Adjustment'!$B:$B,$A103,'Stock Adjustment'!$D:$D,"Supplier Returned")</f>
        <v>0</v>
      </c>
      <c r="M1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" s="53" t="str">
        <f>IF(B103="","",VLOOKUP(B103,'Product Master'!$B:$G,4,FALSE))</f>
        <v/>
      </c>
      <c r="O103" s="53" t="str">
        <f>IF(B103="","",VLOOKUP(B103,'Product Master'!$B:$G,5,FALSE))</f>
        <v/>
      </c>
      <c r="P103" s="50" t="str">
        <f>IF(B103="","",VLOOKUP(B103,'Product Master'!$B:$I,7,FALSE))</f>
        <v/>
      </c>
      <c r="Q103" s="158">
        <f>IFERROR(Table4[[#This Row],[Closing Stock]]*Table4[[#This Row],[Cost Price]],0)</f>
        <v>0</v>
      </c>
      <c r="R103" s="58" t="str">
        <f t="shared" si="1"/>
        <v/>
      </c>
      <c r="S103" s="25"/>
      <c r="T103" s="25"/>
      <c r="U103" s="25"/>
      <c r="V103" s="25"/>
      <c r="W103" s="25"/>
      <c r="X103" s="25"/>
    </row>
    <row r="104" spans="1:24" x14ac:dyDescent="0.25">
      <c r="A104" s="31" t="s">
        <v>664</v>
      </c>
      <c r="B104" s="32"/>
      <c r="C104" s="50" t="str">
        <f>IF(B104="","",VLOOKUP(B104,'Product Master'!$B:$G,2,FALSE))</f>
        <v/>
      </c>
      <c r="D104" s="50" t="str">
        <f>IF(B104="","",VLOOKUP(B104,'Product Master'!$B:$G,3,FALSE))</f>
        <v/>
      </c>
      <c r="E104" s="50"/>
      <c r="F104" s="50">
        <f>SUMIF('Stock Purchase'!$D:$D,B104,'Stock Purchase'!$F:$F)</f>
        <v>0</v>
      </c>
      <c r="G104" s="50">
        <f>SUMIFS('Stock Adjustment'!$E:$E,'Stock Adjustment'!$B:$B,$A104,'Stock Adjustment'!$D:$D,"Customer Returned")</f>
        <v>0</v>
      </c>
      <c r="H104" s="50">
        <f>SUMIF('Daily Sales Entry'!$D:$D,B104,'Daily Sales Entry'!$G:$G)</f>
        <v>0</v>
      </c>
      <c r="I104" s="50">
        <f>SUMIFS('Stock Adjustment'!$E:$E,'Stock Adjustment'!$B:$B,$A104,'Stock Adjustment'!$D:$D,"Staff Consumption")</f>
        <v>0</v>
      </c>
      <c r="J104" s="50">
        <f>SUMIFS('Stock Adjustment'!$E:$E,'Stock Adjustment'!$B:$B,$A104,'Stock Adjustment'!$D:$D,"Damaged")</f>
        <v>0</v>
      </c>
      <c r="K104" s="50">
        <f>SUMIFS('Stock Adjustment'!$E:$E,'Stock Adjustment'!$B:$B,$A104,'Stock Adjustment'!$D:$D,"Expired")</f>
        <v>0</v>
      </c>
      <c r="L104" s="50">
        <f>SUMIFS('Stock Adjustment'!$E:$E,'Stock Adjustment'!$B:$B,$A104,'Stock Adjustment'!$D:$D,"Supplier Returned")</f>
        <v>0</v>
      </c>
      <c r="M1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4" s="53" t="str">
        <f>IF(B104="","",VLOOKUP(B104,'Product Master'!$B:$G,4,FALSE))</f>
        <v/>
      </c>
      <c r="O104" s="53" t="str">
        <f>IF(B104="","",VLOOKUP(B104,'Product Master'!$B:$G,5,FALSE))</f>
        <v/>
      </c>
      <c r="P104" s="50" t="str">
        <f>IF(B104="","",VLOOKUP(B104,'Product Master'!$B:$I,7,FALSE))</f>
        <v/>
      </c>
      <c r="Q104" s="158"/>
      <c r="R104" s="58" t="str">
        <f t="shared" si="1"/>
        <v/>
      </c>
      <c r="S104" s="25"/>
      <c r="T104" s="25"/>
      <c r="U104" s="25"/>
      <c r="V104" s="25"/>
      <c r="W104" s="25"/>
      <c r="X104" s="25"/>
    </row>
    <row r="105" spans="1:24" x14ac:dyDescent="0.25">
      <c r="A105" s="31" t="s">
        <v>665</v>
      </c>
      <c r="B105" s="32"/>
      <c r="C105" s="50" t="str">
        <f>IF(B105="","",VLOOKUP(B105,'Product Master'!$B:$G,2,FALSE))</f>
        <v/>
      </c>
      <c r="D105" s="50" t="str">
        <f>IF(B105="","",VLOOKUP(B105,'Product Master'!$B:$G,3,FALSE))</f>
        <v/>
      </c>
      <c r="E105" s="50"/>
      <c r="F105" s="50">
        <f>SUMIF('Stock Purchase'!$D:$D,B105,'Stock Purchase'!$F:$F)</f>
        <v>0</v>
      </c>
      <c r="G105" s="50">
        <f>SUMIFS('Stock Adjustment'!$E:$E,'Stock Adjustment'!$B:$B,$A105,'Stock Adjustment'!$D:$D,"Customer Returned")</f>
        <v>0</v>
      </c>
      <c r="H105" s="50">
        <f>SUMIF('Daily Sales Entry'!$D:$D,B105,'Daily Sales Entry'!$G:$G)</f>
        <v>0</v>
      </c>
      <c r="I105" s="50">
        <f>SUMIFS('Stock Adjustment'!$E:$E,'Stock Adjustment'!$B:$B,$A105,'Stock Adjustment'!$D:$D,"Staff Consumption")</f>
        <v>0</v>
      </c>
      <c r="J105" s="50">
        <f>SUMIFS('Stock Adjustment'!$E:$E,'Stock Adjustment'!$B:$B,$A105,'Stock Adjustment'!$D:$D,"Damaged")</f>
        <v>0</v>
      </c>
      <c r="K105" s="50">
        <f>SUMIFS('Stock Adjustment'!$E:$E,'Stock Adjustment'!$B:$B,$A105,'Stock Adjustment'!$D:$D,"Expired")</f>
        <v>0</v>
      </c>
      <c r="L105" s="50">
        <f>SUMIFS('Stock Adjustment'!$E:$E,'Stock Adjustment'!$B:$B,$A105,'Stock Adjustment'!$D:$D,"Supplier Returned")</f>
        <v>0</v>
      </c>
      <c r="M1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5" s="53" t="str">
        <f>IF(B105="","",VLOOKUP(B105,'Product Master'!$B:$G,4,FALSE))</f>
        <v/>
      </c>
      <c r="O105" s="53" t="str">
        <f>IF(B105="","",VLOOKUP(B105,'Product Master'!$B:$G,5,FALSE))</f>
        <v/>
      </c>
      <c r="P105" s="50" t="str">
        <f>IF(B105="","",VLOOKUP(B105,'Product Master'!$B:$I,7,FALSE))</f>
        <v/>
      </c>
      <c r="Q105" s="158"/>
      <c r="R105" s="58" t="str">
        <f t="shared" si="1"/>
        <v/>
      </c>
      <c r="S105" s="25"/>
      <c r="T105" s="25"/>
      <c r="U105" s="25"/>
      <c r="V105" s="25"/>
      <c r="W105" s="25"/>
      <c r="X105" s="25"/>
    </row>
    <row r="106" spans="1:24" x14ac:dyDescent="0.25">
      <c r="A106" s="31" t="s">
        <v>666</v>
      </c>
      <c r="B106" s="32"/>
      <c r="C106" s="50" t="str">
        <f>IF(B106="","",VLOOKUP(B106,'Product Master'!$B:$G,2,FALSE))</f>
        <v/>
      </c>
      <c r="D106" s="50" t="str">
        <f>IF(B106="","",VLOOKUP(B106,'Product Master'!$B:$G,3,FALSE))</f>
        <v/>
      </c>
      <c r="E106" s="50"/>
      <c r="F106" s="50">
        <f>SUMIF('Stock Purchase'!$D:$D,B106,'Stock Purchase'!$F:$F)</f>
        <v>0</v>
      </c>
      <c r="G106" s="50">
        <f>SUMIFS('Stock Adjustment'!$E:$E,'Stock Adjustment'!$B:$B,$A106,'Stock Adjustment'!$D:$D,"Customer Returned")</f>
        <v>0</v>
      </c>
      <c r="H106" s="50">
        <f>SUMIF('Daily Sales Entry'!$D:$D,B106,'Daily Sales Entry'!$G:$G)</f>
        <v>0</v>
      </c>
      <c r="I106" s="50">
        <f>SUMIFS('Stock Adjustment'!$E:$E,'Stock Adjustment'!$B:$B,$A106,'Stock Adjustment'!$D:$D,"Staff Consumption")</f>
        <v>0</v>
      </c>
      <c r="J106" s="50">
        <f>SUMIFS('Stock Adjustment'!$E:$E,'Stock Adjustment'!$B:$B,$A106,'Stock Adjustment'!$D:$D,"Damaged")</f>
        <v>0</v>
      </c>
      <c r="K106" s="50">
        <f>SUMIFS('Stock Adjustment'!$E:$E,'Stock Adjustment'!$B:$B,$A106,'Stock Adjustment'!$D:$D,"Expired")</f>
        <v>0</v>
      </c>
      <c r="L106" s="50">
        <f>SUMIFS('Stock Adjustment'!$E:$E,'Stock Adjustment'!$B:$B,$A106,'Stock Adjustment'!$D:$D,"Supplier Returned")</f>
        <v>0</v>
      </c>
      <c r="M1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6" s="53" t="str">
        <f>IF(B106="","",VLOOKUP(B106,'Product Master'!$B:$G,4,FALSE))</f>
        <v/>
      </c>
      <c r="O106" s="53" t="str">
        <f>IF(B106="","",VLOOKUP(B106,'Product Master'!$B:$G,5,FALSE))</f>
        <v/>
      </c>
      <c r="P106" s="50" t="str">
        <f>IF(B106="","",VLOOKUP(B106,'Product Master'!$B:$I,7,FALSE))</f>
        <v/>
      </c>
      <c r="Q106" s="158"/>
      <c r="R106" s="58" t="str">
        <f t="shared" si="1"/>
        <v/>
      </c>
      <c r="S106" s="25"/>
      <c r="T106" s="25"/>
      <c r="U106" s="25"/>
      <c r="V106" s="25"/>
      <c r="W106" s="25"/>
      <c r="X106" s="25"/>
    </row>
    <row r="107" spans="1:24" x14ac:dyDescent="0.25">
      <c r="A107" s="31" t="s">
        <v>667</v>
      </c>
      <c r="B107" s="32"/>
      <c r="C107" s="50" t="str">
        <f>IF(B107="","",VLOOKUP(B107,'Product Master'!$B:$G,2,FALSE))</f>
        <v/>
      </c>
      <c r="D107" s="50" t="str">
        <f>IF(B107="","",VLOOKUP(B107,'Product Master'!$B:$G,3,FALSE))</f>
        <v/>
      </c>
      <c r="E107" s="50"/>
      <c r="F107" s="50">
        <f>SUMIF('Stock Purchase'!$D:$D,B107,'Stock Purchase'!$F:$F)</f>
        <v>0</v>
      </c>
      <c r="G107" s="50">
        <f>SUMIFS('Stock Adjustment'!$E:$E,'Stock Adjustment'!$B:$B,$A107,'Stock Adjustment'!$D:$D,"Customer Returned")</f>
        <v>0</v>
      </c>
      <c r="H107" s="50">
        <f>SUMIF('Daily Sales Entry'!$D:$D,B107,'Daily Sales Entry'!$G:$G)</f>
        <v>0</v>
      </c>
      <c r="I107" s="50">
        <f>SUMIFS('Stock Adjustment'!$E:$E,'Stock Adjustment'!$B:$B,$A107,'Stock Adjustment'!$D:$D,"Staff Consumption")</f>
        <v>0</v>
      </c>
      <c r="J107" s="50">
        <f>SUMIFS('Stock Adjustment'!$E:$E,'Stock Adjustment'!$B:$B,$A107,'Stock Adjustment'!$D:$D,"Damaged")</f>
        <v>0</v>
      </c>
      <c r="K107" s="50">
        <f>SUMIFS('Stock Adjustment'!$E:$E,'Stock Adjustment'!$B:$B,$A107,'Stock Adjustment'!$D:$D,"Expired")</f>
        <v>0</v>
      </c>
      <c r="L107" s="50">
        <f>SUMIFS('Stock Adjustment'!$E:$E,'Stock Adjustment'!$B:$B,$A107,'Stock Adjustment'!$D:$D,"Supplier Returned")</f>
        <v>0</v>
      </c>
      <c r="M1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7" s="53" t="str">
        <f>IF(B107="","",VLOOKUP(B107,'Product Master'!$B:$G,4,FALSE))</f>
        <v/>
      </c>
      <c r="O107" s="53" t="str">
        <f>IF(B107="","",VLOOKUP(B107,'Product Master'!$B:$G,5,FALSE))</f>
        <v/>
      </c>
      <c r="P107" s="50" t="str">
        <f>IF(B107="","",VLOOKUP(B107,'Product Master'!$B:$I,7,FALSE))</f>
        <v/>
      </c>
      <c r="Q107" s="158"/>
      <c r="R107" s="58" t="str">
        <f t="shared" si="1"/>
        <v/>
      </c>
      <c r="S107" s="25"/>
      <c r="T107" s="25"/>
      <c r="U107" s="25"/>
      <c r="V107" s="25"/>
      <c r="W107" s="25"/>
      <c r="X107" s="25"/>
    </row>
    <row r="108" spans="1:24" x14ac:dyDescent="0.25">
      <c r="A108" s="31" t="s">
        <v>668</v>
      </c>
      <c r="B108" s="32"/>
      <c r="C108" s="50" t="str">
        <f>IF(B108="","",VLOOKUP(B108,'Product Master'!$B:$G,2,FALSE))</f>
        <v/>
      </c>
      <c r="D108" s="50" t="str">
        <f>IF(B108="","",VLOOKUP(B108,'Product Master'!$B:$G,3,FALSE))</f>
        <v/>
      </c>
      <c r="E108" s="50"/>
      <c r="F108" s="50">
        <f>SUMIF('Stock Purchase'!$D:$D,B108,'Stock Purchase'!$F:$F)</f>
        <v>0</v>
      </c>
      <c r="G108" s="50">
        <f>SUMIFS('Stock Adjustment'!$E:$E,'Stock Adjustment'!$B:$B,$A108,'Stock Adjustment'!$D:$D,"Customer Returned")</f>
        <v>0</v>
      </c>
      <c r="H108" s="50">
        <f>SUMIF('Daily Sales Entry'!$D:$D,B108,'Daily Sales Entry'!$G:$G)</f>
        <v>0</v>
      </c>
      <c r="I108" s="50">
        <f>SUMIFS('Stock Adjustment'!$E:$E,'Stock Adjustment'!$B:$B,$A108,'Stock Adjustment'!$D:$D,"Staff Consumption")</f>
        <v>0</v>
      </c>
      <c r="J108" s="50">
        <f>SUMIFS('Stock Adjustment'!$E:$E,'Stock Adjustment'!$B:$B,$A108,'Stock Adjustment'!$D:$D,"Damaged")</f>
        <v>0</v>
      </c>
      <c r="K108" s="50">
        <f>SUMIFS('Stock Adjustment'!$E:$E,'Stock Adjustment'!$B:$B,$A108,'Stock Adjustment'!$D:$D,"Expired")</f>
        <v>0</v>
      </c>
      <c r="L108" s="50">
        <f>SUMIFS('Stock Adjustment'!$E:$E,'Stock Adjustment'!$B:$B,$A108,'Stock Adjustment'!$D:$D,"Supplier Returned")</f>
        <v>0</v>
      </c>
      <c r="M1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8" s="53" t="str">
        <f>IF(B108="","",VLOOKUP(B108,'Product Master'!$B:$G,4,FALSE))</f>
        <v/>
      </c>
      <c r="O108" s="53" t="str">
        <f>IF(B108="","",VLOOKUP(B108,'Product Master'!$B:$G,5,FALSE))</f>
        <v/>
      </c>
      <c r="P108" s="50" t="str">
        <f>IF(B108="","",VLOOKUP(B108,'Product Master'!$B:$I,7,FALSE))</f>
        <v/>
      </c>
      <c r="Q108" s="158"/>
      <c r="R108" s="58" t="str">
        <f t="shared" si="1"/>
        <v/>
      </c>
      <c r="S108" s="25"/>
      <c r="T108" s="25"/>
      <c r="U108" s="25"/>
      <c r="V108" s="25"/>
      <c r="W108" s="25"/>
      <c r="X108" s="25"/>
    </row>
    <row r="109" spans="1:24" x14ac:dyDescent="0.25">
      <c r="A109" s="31" t="s">
        <v>669</v>
      </c>
      <c r="B109" s="32"/>
      <c r="C109" s="50" t="str">
        <f>IF(B109="","",VLOOKUP(B109,'Product Master'!$B:$G,2,FALSE))</f>
        <v/>
      </c>
      <c r="D109" s="50" t="str">
        <f>IF(B109="","",VLOOKUP(B109,'Product Master'!$B:$G,3,FALSE))</f>
        <v/>
      </c>
      <c r="E109" s="50"/>
      <c r="F109" s="50">
        <f>SUMIF('Stock Purchase'!$D:$D,B109,'Stock Purchase'!$F:$F)</f>
        <v>0</v>
      </c>
      <c r="G109" s="50">
        <f>SUMIFS('Stock Adjustment'!$E:$E,'Stock Adjustment'!$B:$B,$A109,'Stock Adjustment'!$D:$D,"Customer Returned")</f>
        <v>0</v>
      </c>
      <c r="H109" s="50">
        <f>SUMIF('Daily Sales Entry'!$D:$D,B109,'Daily Sales Entry'!$G:$G)</f>
        <v>0</v>
      </c>
      <c r="I109" s="50">
        <f>SUMIFS('Stock Adjustment'!$E:$E,'Stock Adjustment'!$B:$B,$A109,'Stock Adjustment'!$D:$D,"Staff Consumption")</f>
        <v>0</v>
      </c>
      <c r="J109" s="50">
        <f>SUMIFS('Stock Adjustment'!$E:$E,'Stock Adjustment'!$B:$B,$A109,'Stock Adjustment'!$D:$D,"Damaged")</f>
        <v>0</v>
      </c>
      <c r="K109" s="50">
        <f>SUMIFS('Stock Adjustment'!$E:$E,'Stock Adjustment'!$B:$B,$A109,'Stock Adjustment'!$D:$D,"Expired")</f>
        <v>0</v>
      </c>
      <c r="L109" s="50">
        <f>SUMIFS('Stock Adjustment'!$E:$E,'Stock Adjustment'!$B:$B,$A109,'Stock Adjustment'!$D:$D,"Supplier Returned")</f>
        <v>0</v>
      </c>
      <c r="M1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9" s="53" t="str">
        <f>IF(B109="","",VLOOKUP(B109,'Product Master'!$B:$G,4,FALSE))</f>
        <v/>
      </c>
      <c r="O109" s="53" t="str">
        <f>IF(B109="","",VLOOKUP(B109,'Product Master'!$B:$G,5,FALSE))</f>
        <v/>
      </c>
      <c r="P109" s="50" t="str">
        <f>IF(B109="","",VLOOKUP(B109,'Product Master'!$B:$I,7,FALSE))</f>
        <v/>
      </c>
      <c r="Q109" s="158"/>
      <c r="R109" s="58" t="str">
        <f t="shared" si="1"/>
        <v/>
      </c>
      <c r="S109" s="25"/>
      <c r="T109" s="25"/>
      <c r="U109" s="25"/>
      <c r="V109" s="25"/>
      <c r="W109" s="25"/>
      <c r="X109" s="25"/>
    </row>
    <row r="110" spans="1:24" x14ac:dyDescent="0.25">
      <c r="A110" s="31" t="s">
        <v>670</v>
      </c>
      <c r="B110" s="32"/>
      <c r="C110" s="50" t="str">
        <f>IF(B110="","",VLOOKUP(B110,'Product Master'!$B:$G,2,FALSE))</f>
        <v/>
      </c>
      <c r="D110" s="50" t="str">
        <f>IF(B110="","",VLOOKUP(B110,'Product Master'!$B:$G,3,FALSE))</f>
        <v/>
      </c>
      <c r="E110" s="50"/>
      <c r="F110" s="50">
        <f>SUMIF('Stock Purchase'!$D:$D,B110,'Stock Purchase'!$F:$F)</f>
        <v>0</v>
      </c>
      <c r="G110" s="50">
        <f>SUMIFS('Stock Adjustment'!$E:$E,'Stock Adjustment'!$B:$B,$A110,'Stock Adjustment'!$D:$D,"Customer Returned")</f>
        <v>0</v>
      </c>
      <c r="H110" s="50">
        <f>SUMIF('Daily Sales Entry'!$D:$D,B110,'Daily Sales Entry'!$G:$G)</f>
        <v>0</v>
      </c>
      <c r="I110" s="50">
        <f>SUMIFS('Stock Adjustment'!$E:$E,'Stock Adjustment'!$B:$B,$A110,'Stock Adjustment'!$D:$D,"Staff Consumption")</f>
        <v>0</v>
      </c>
      <c r="J110" s="50">
        <f>SUMIFS('Stock Adjustment'!$E:$E,'Stock Adjustment'!$B:$B,$A110,'Stock Adjustment'!$D:$D,"Damaged")</f>
        <v>0</v>
      </c>
      <c r="K110" s="50">
        <f>SUMIFS('Stock Adjustment'!$E:$E,'Stock Adjustment'!$B:$B,$A110,'Stock Adjustment'!$D:$D,"Expired")</f>
        <v>0</v>
      </c>
      <c r="L110" s="50">
        <f>SUMIFS('Stock Adjustment'!$E:$E,'Stock Adjustment'!$B:$B,$A110,'Stock Adjustment'!$D:$D,"Supplier Returned")</f>
        <v>0</v>
      </c>
      <c r="M1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0" s="53" t="str">
        <f>IF(B110="","",VLOOKUP(B110,'Product Master'!$B:$G,4,FALSE))</f>
        <v/>
      </c>
      <c r="O110" s="53" t="str">
        <f>IF(B110="","",VLOOKUP(B110,'Product Master'!$B:$G,5,FALSE))</f>
        <v/>
      </c>
      <c r="P110" s="50" t="str">
        <f>IF(B110="","",VLOOKUP(B110,'Product Master'!$B:$I,7,FALSE))</f>
        <v/>
      </c>
      <c r="Q110" s="158"/>
      <c r="R110" s="58" t="str">
        <f t="shared" si="1"/>
        <v/>
      </c>
      <c r="S110" s="25"/>
      <c r="T110" s="25"/>
      <c r="U110" s="25"/>
      <c r="V110" s="25"/>
      <c r="W110" s="25"/>
      <c r="X110" s="25"/>
    </row>
    <row r="111" spans="1:24" x14ac:dyDescent="0.25">
      <c r="A111" s="31" t="s">
        <v>671</v>
      </c>
      <c r="B111" s="32"/>
      <c r="C111" s="50" t="str">
        <f>IF(B111="","",VLOOKUP(B111,'Product Master'!$B:$G,2,FALSE))</f>
        <v/>
      </c>
      <c r="D111" s="50" t="str">
        <f>IF(B111="","",VLOOKUP(B111,'Product Master'!$B:$G,3,FALSE))</f>
        <v/>
      </c>
      <c r="E111" s="50"/>
      <c r="F111" s="50">
        <f>SUMIF('Stock Purchase'!$D:$D,B111,'Stock Purchase'!$F:$F)</f>
        <v>0</v>
      </c>
      <c r="G111" s="50">
        <f>SUMIFS('Stock Adjustment'!$E:$E,'Stock Adjustment'!$B:$B,$A111,'Stock Adjustment'!$D:$D,"Customer Returned")</f>
        <v>0</v>
      </c>
      <c r="H111" s="50">
        <f>SUMIF('Daily Sales Entry'!$D:$D,B111,'Daily Sales Entry'!$G:$G)</f>
        <v>0</v>
      </c>
      <c r="I111" s="50">
        <f>SUMIFS('Stock Adjustment'!$E:$E,'Stock Adjustment'!$B:$B,$A111,'Stock Adjustment'!$D:$D,"Staff Consumption")</f>
        <v>0</v>
      </c>
      <c r="J111" s="50">
        <f>SUMIFS('Stock Adjustment'!$E:$E,'Stock Adjustment'!$B:$B,$A111,'Stock Adjustment'!$D:$D,"Damaged")</f>
        <v>0</v>
      </c>
      <c r="K111" s="50">
        <f>SUMIFS('Stock Adjustment'!$E:$E,'Stock Adjustment'!$B:$B,$A111,'Stock Adjustment'!$D:$D,"Expired")</f>
        <v>0</v>
      </c>
      <c r="L111" s="50">
        <f>SUMIFS('Stock Adjustment'!$E:$E,'Stock Adjustment'!$B:$B,$A111,'Stock Adjustment'!$D:$D,"Supplier Returned")</f>
        <v>0</v>
      </c>
      <c r="M1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1" s="53" t="str">
        <f>IF(B111="","",VLOOKUP(B111,'Product Master'!$B:$G,4,FALSE))</f>
        <v/>
      </c>
      <c r="O111" s="53" t="str">
        <f>IF(B111="","",VLOOKUP(B111,'Product Master'!$B:$G,5,FALSE))</f>
        <v/>
      </c>
      <c r="P111" s="50" t="str">
        <f>IF(B111="","",VLOOKUP(B111,'Product Master'!$B:$I,7,FALSE))</f>
        <v/>
      </c>
      <c r="Q111" s="158"/>
      <c r="R111" s="58" t="str">
        <f t="shared" si="1"/>
        <v/>
      </c>
      <c r="S111" s="25"/>
      <c r="T111" s="25"/>
      <c r="U111" s="25"/>
      <c r="V111" s="25"/>
      <c r="W111" s="25"/>
      <c r="X111" s="25"/>
    </row>
    <row r="112" spans="1:24" x14ac:dyDescent="0.25">
      <c r="A112" s="31" t="s">
        <v>672</v>
      </c>
      <c r="B112" s="32"/>
      <c r="C112" s="50" t="str">
        <f>IF(B112="","",VLOOKUP(B112,'Product Master'!$B:$G,2,FALSE))</f>
        <v/>
      </c>
      <c r="D112" s="50" t="str">
        <f>IF(B112="","",VLOOKUP(B112,'Product Master'!$B:$G,3,FALSE))</f>
        <v/>
      </c>
      <c r="E112" s="50"/>
      <c r="F112" s="50">
        <f>SUMIF('Stock Purchase'!$D:$D,B112,'Stock Purchase'!$F:$F)</f>
        <v>0</v>
      </c>
      <c r="G112" s="50">
        <f>SUMIFS('Stock Adjustment'!$E:$E,'Stock Adjustment'!$B:$B,$A112,'Stock Adjustment'!$D:$D,"Customer Returned")</f>
        <v>0</v>
      </c>
      <c r="H112" s="50">
        <f>SUMIF('Daily Sales Entry'!$D:$D,B112,'Daily Sales Entry'!$G:$G)</f>
        <v>0</v>
      </c>
      <c r="I112" s="50">
        <f>SUMIFS('Stock Adjustment'!$E:$E,'Stock Adjustment'!$B:$B,$A112,'Stock Adjustment'!$D:$D,"Staff Consumption")</f>
        <v>0</v>
      </c>
      <c r="J112" s="50">
        <f>SUMIFS('Stock Adjustment'!$E:$E,'Stock Adjustment'!$B:$B,$A112,'Stock Adjustment'!$D:$D,"Damaged")</f>
        <v>0</v>
      </c>
      <c r="K112" s="50">
        <f>SUMIFS('Stock Adjustment'!$E:$E,'Stock Adjustment'!$B:$B,$A112,'Stock Adjustment'!$D:$D,"Expired")</f>
        <v>0</v>
      </c>
      <c r="L112" s="50">
        <f>SUMIFS('Stock Adjustment'!$E:$E,'Stock Adjustment'!$B:$B,$A112,'Stock Adjustment'!$D:$D,"Supplier Returned")</f>
        <v>0</v>
      </c>
      <c r="M1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2" s="53" t="str">
        <f>IF(B112="","",VLOOKUP(B112,'Product Master'!$B:$G,4,FALSE))</f>
        <v/>
      </c>
      <c r="O112" s="53" t="str">
        <f>IF(B112="","",VLOOKUP(B112,'Product Master'!$B:$G,5,FALSE))</f>
        <v/>
      </c>
      <c r="P112" s="50" t="str">
        <f>IF(B112="","",VLOOKUP(B112,'Product Master'!$B:$I,7,FALSE))</f>
        <v/>
      </c>
      <c r="Q112" s="158"/>
      <c r="R112" s="58" t="str">
        <f t="shared" si="1"/>
        <v/>
      </c>
      <c r="S112" s="25"/>
      <c r="T112" s="25"/>
      <c r="U112" s="25"/>
      <c r="V112" s="25"/>
      <c r="W112" s="25"/>
      <c r="X112" s="25"/>
    </row>
    <row r="113" spans="1:24" x14ac:dyDescent="0.25">
      <c r="A113" s="31" t="s">
        <v>673</v>
      </c>
      <c r="B113" s="32"/>
      <c r="C113" s="50" t="str">
        <f>IF(B113="","",VLOOKUP(B113,'Product Master'!$B:$G,2,FALSE))</f>
        <v/>
      </c>
      <c r="D113" s="50" t="str">
        <f>IF(B113="","",VLOOKUP(B113,'Product Master'!$B:$G,3,FALSE))</f>
        <v/>
      </c>
      <c r="E113" s="50"/>
      <c r="F113" s="50">
        <f>SUMIF('Stock Purchase'!$D:$D,B113,'Stock Purchase'!$F:$F)</f>
        <v>0</v>
      </c>
      <c r="G113" s="50">
        <f>SUMIFS('Stock Adjustment'!$E:$E,'Stock Adjustment'!$B:$B,$A113,'Stock Adjustment'!$D:$D,"Customer Returned")</f>
        <v>0</v>
      </c>
      <c r="H113" s="50">
        <f>SUMIF('Daily Sales Entry'!$D:$D,B113,'Daily Sales Entry'!$G:$G)</f>
        <v>0</v>
      </c>
      <c r="I113" s="50">
        <f>SUMIFS('Stock Adjustment'!$E:$E,'Stock Adjustment'!$B:$B,$A113,'Stock Adjustment'!$D:$D,"Staff Consumption")</f>
        <v>0</v>
      </c>
      <c r="J113" s="50">
        <f>SUMIFS('Stock Adjustment'!$E:$E,'Stock Adjustment'!$B:$B,$A113,'Stock Adjustment'!$D:$D,"Damaged")</f>
        <v>0</v>
      </c>
      <c r="K113" s="50">
        <f>SUMIFS('Stock Adjustment'!$E:$E,'Stock Adjustment'!$B:$B,$A113,'Stock Adjustment'!$D:$D,"Expired")</f>
        <v>0</v>
      </c>
      <c r="L113" s="50">
        <f>SUMIFS('Stock Adjustment'!$E:$E,'Stock Adjustment'!$B:$B,$A113,'Stock Adjustment'!$D:$D,"Supplier Returned")</f>
        <v>0</v>
      </c>
      <c r="M1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3" s="53" t="str">
        <f>IF(B113="","",VLOOKUP(B113,'Product Master'!$B:$G,4,FALSE))</f>
        <v/>
      </c>
      <c r="O113" s="53" t="str">
        <f>IF(B113="","",VLOOKUP(B113,'Product Master'!$B:$G,5,FALSE))</f>
        <v/>
      </c>
      <c r="P113" s="50" t="str">
        <f>IF(B113="","",VLOOKUP(B113,'Product Master'!$B:$I,7,FALSE))</f>
        <v/>
      </c>
      <c r="Q113" s="158"/>
      <c r="R113" s="58" t="str">
        <f t="shared" si="1"/>
        <v/>
      </c>
      <c r="S113" s="25"/>
      <c r="T113" s="25"/>
      <c r="U113" s="25"/>
      <c r="V113" s="25"/>
      <c r="W113" s="25"/>
      <c r="X113" s="25"/>
    </row>
    <row r="114" spans="1:24" x14ac:dyDescent="0.25">
      <c r="A114" s="31" t="s">
        <v>674</v>
      </c>
      <c r="B114" s="32"/>
      <c r="C114" s="50" t="str">
        <f>IF(B114="","",VLOOKUP(B114,'Product Master'!$B:$G,2,FALSE))</f>
        <v/>
      </c>
      <c r="D114" s="50" t="str">
        <f>IF(B114="","",VLOOKUP(B114,'Product Master'!$B:$G,3,FALSE))</f>
        <v/>
      </c>
      <c r="E114" s="50"/>
      <c r="F114" s="50">
        <f>SUMIF('Stock Purchase'!$D:$D,B114,'Stock Purchase'!$F:$F)</f>
        <v>0</v>
      </c>
      <c r="G114" s="50">
        <f>SUMIFS('Stock Adjustment'!$E:$E,'Stock Adjustment'!$B:$B,$A114,'Stock Adjustment'!$D:$D,"Customer Returned")</f>
        <v>0</v>
      </c>
      <c r="H114" s="50">
        <f>SUMIF('Daily Sales Entry'!$D:$D,B114,'Daily Sales Entry'!$G:$G)</f>
        <v>0</v>
      </c>
      <c r="I114" s="50">
        <f>SUMIFS('Stock Adjustment'!$E:$E,'Stock Adjustment'!$B:$B,$A114,'Stock Adjustment'!$D:$D,"Staff Consumption")</f>
        <v>0</v>
      </c>
      <c r="J114" s="50">
        <f>SUMIFS('Stock Adjustment'!$E:$E,'Stock Adjustment'!$B:$B,$A114,'Stock Adjustment'!$D:$D,"Damaged")</f>
        <v>0</v>
      </c>
      <c r="K114" s="50">
        <f>SUMIFS('Stock Adjustment'!$E:$E,'Stock Adjustment'!$B:$B,$A114,'Stock Adjustment'!$D:$D,"Expired")</f>
        <v>0</v>
      </c>
      <c r="L114" s="50">
        <f>SUMIFS('Stock Adjustment'!$E:$E,'Stock Adjustment'!$B:$B,$A114,'Stock Adjustment'!$D:$D,"Supplier Returned")</f>
        <v>0</v>
      </c>
      <c r="M1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4" s="53" t="str">
        <f>IF(B114="","",VLOOKUP(B114,'Product Master'!$B:$G,4,FALSE))</f>
        <v/>
      </c>
      <c r="O114" s="53" t="str">
        <f>IF(B114="","",VLOOKUP(B114,'Product Master'!$B:$G,5,FALSE))</f>
        <v/>
      </c>
      <c r="P114" s="50" t="str">
        <f>IF(B114="","",VLOOKUP(B114,'Product Master'!$B:$I,7,FALSE))</f>
        <v/>
      </c>
      <c r="Q114" s="158"/>
      <c r="R114" s="58" t="str">
        <f t="shared" si="1"/>
        <v/>
      </c>
      <c r="S114" s="25"/>
      <c r="T114" s="25"/>
      <c r="U114" s="25"/>
      <c r="V114" s="25"/>
      <c r="W114" s="25"/>
      <c r="X114" s="25"/>
    </row>
    <row r="115" spans="1:24" x14ac:dyDescent="0.25">
      <c r="A115" s="31" t="s">
        <v>675</v>
      </c>
      <c r="B115" s="32"/>
      <c r="C115" s="50" t="str">
        <f>IF(B115="","",VLOOKUP(B115,'Product Master'!$B:$G,2,FALSE))</f>
        <v/>
      </c>
      <c r="D115" s="50" t="str">
        <f>IF(B115="","",VLOOKUP(B115,'Product Master'!$B:$G,3,FALSE))</f>
        <v/>
      </c>
      <c r="E115" s="50"/>
      <c r="F115" s="50">
        <f>SUMIF('Stock Purchase'!$D:$D,B115,'Stock Purchase'!$F:$F)</f>
        <v>0</v>
      </c>
      <c r="G115" s="50">
        <f>SUMIFS('Stock Adjustment'!$E:$E,'Stock Adjustment'!$B:$B,$A115,'Stock Adjustment'!$D:$D,"Customer Returned")</f>
        <v>0</v>
      </c>
      <c r="H115" s="50">
        <f>SUMIF('Daily Sales Entry'!$D:$D,B115,'Daily Sales Entry'!$G:$G)</f>
        <v>0</v>
      </c>
      <c r="I115" s="50">
        <f>SUMIFS('Stock Adjustment'!$E:$E,'Stock Adjustment'!$B:$B,$A115,'Stock Adjustment'!$D:$D,"Staff Consumption")</f>
        <v>0</v>
      </c>
      <c r="J115" s="50">
        <f>SUMIFS('Stock Adjustment'!$E:$E,'Stock Adjustment'!$B:$B,$A115,'Stock Adjustment'!$D:$D,"Damaged")</f>
        <v>0</v>
      </c>
      <c r="K115" s="50">
        <f>SUMIFS('Stock Adjustment'!$E:$E,'Stock Adjustment'!$B:$B,$A115,'Stock Adjustment'!$D:$D,"Expired")</f>
        <v>0</v>
      </c>
      <c r="L115" s="50">
        <f>SUMIFS('Stock Adjustment'!$E:$E,'Stock Adjustment'!$B:$B,$A115,'Stock Adjustment'!$D:$D,"Supplier Returned")</f>
        <v>0</v>
      </c>
      <c r="M1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5" s="53" t="str">
        <f>IF(B115="","",VLOOKUP(B115,'Product Master'!$B:$G,4,FALSE))</f>
        <v/>
      </c>
      <c r="O115" s="53" t="str">
        <f>IF(B115="","",VLOOKUP(B115,'Product Master'!$B:$G,5,FALSE))</f>
        <v/>
      </c>
      <c r="P115" s="50" t="str">
        <f>IF(B115="","",VLOOKUP(B115,'Product Master'!$B:$I,7,FALSE))</f>
        <v/>
      </c>
      <c r="Q115" s="158"/>
      <c r="R115" s="58" t="str">
        <f t="shared" si="1"/>
        <v/>
      </c>
      <c r="S115" s="25"/>
      <c r="T115" s="25"/>
      <c r="U115" s="25"/>
      <c r="V115" s="25"/>
      <c r="W115" s="25"/>
      <c r="X115" s="25"/>
    </row>
    <row r="116" spans="1:24" x14ac:dyDescent="0.25">
      <c r="A116" s="31" t="s">
        <v>676</v>
      </c>
      <c r="B116" s="32"/>
      <c r="C116" s="50" t="str">
        <f>IF(B116="","",VLOOKUP(B116,'Product Master'!$B:$G,2,FALSE))</f>
        <v/>
      </c>
      <c r="D116" s="50" t="str">
        <f>IF(B116="","",VLOOKUP(B116,'Product Master'!$B:$G,3,FALSE))</f>
        <v/>
      </c>
      <c r="E116" s="50"/>
      <c r="F116" s="50">
        <f>SUMIF('Stock Purchase'!$D:$D,B116,'Stock Purchase'!$F:$F)</f>
        <v>0</v>
      </c>
      <c r="G116" s="50">
        <f>SUMIFS('Stock Adjustment'!$E:$E,'Stock Adjustment'!$B:$B,$A116,'Stock Adjustment'!$D:$D,"Customer Returned")</f>
        <v>0</v>
      </c>
      <c r="H116" s="50">
        <f>SUMIF('Daily Sales Entry'!$D:$D,B116,'Daily Sales Entry'!$G:$G)</f>
        <v>0</v>
      </c>
      <c r="I116" s="50">
        <f>SUMIFS('Stock Adjustment'!$E:$E,'Stock Adjustment'!$B:$B,$A116,'Stock Adjustment'!$D:$D,"Staff Consumption")</f>
        <v>0</v>
      </c>
      <c r="J116" s="50">
        <f>SUMIFS('Stock Adjustment'!$E:$E,'Stock Adjustment'!$B:$B,$A116,'Stock Adjustment'!$D:$D,"Damaged")</f>
        <v>0</v>
      </c>
      <c r="K116" s="50">
        <f>SUMIFS('Stock Adjustment'!$E:$E,'Stock Adjustment'!$B:$B,$A116,'Stock Adjustment'!$D:$D,"Expired")</f>
        <v>0</v>
      </c>
      <c r="L116" s="50">
        <f>SUMIFS('Stock Adjustment'!$E:$E,'Stock Adjustment'!$B:$B,$A116,'Stock Adjustment'!$D:$D,"Supplier Returned")</f>
        <v>0</v>
      </c>
      <c r="M1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6" s="53" t="str">
        <f>IF(B116="","",VLOOKUP(B116,'Product Master'!$B:$G,4,FALSE))</f>
        <v/>
      </c>
      <c r="O116" s="53" t="str">
        <f>IF(B116="","",VLOOKUP(B116,'Product Master'!$B:$G,5,FALSE))</f>
        <v/>
      </c>
      <c r="P116" s="50" t="str">
        <f>IF(B116="","",VLOOKUP(B116,'Product Master'!$B:$I,7,FALSE))</f>
        <v/>
      </c>
      <c r="Q116" s="158"/>
      <c r="R116" s="58" t="str">
        <f t="shared" si="1"/>
        <v/>
      </c>
      <c r="S116" s="25"/>
      <c r="T116" s="25"/>
      <c r="U116" s="25"/>
      <c r="V116" s="25"/>
      <c r="W116" s="25"/>
      <c r="X116" s="25"/>
    </row>
    <row r="117" spans="1:24" x14ac:dyDescent="0.25">
      <c r="A117" s="31" t="s">
        <v>677</v>
      </c>
      <c r="B117" s="32"/>
      <c r="C117" s="50" t="str">
        <f>IF(B117="","",VLOOKUP(B117,'Product Master'!$B:$G,2,FALSE))</f>
        <v/>
      </c>
      <c r="D117" s="50" t="str">
        <f>IF(B117="","",VLOOKUP(B117,'Product Master'!$B:$G,3,FALSE))</f>
        <v/>
      </c>
      <c r="E117" s="50"/>
      <c r="F117" s="50">
        <f>SUMIF('Stock Purchase'!$D:$D,B117,'Stock Purchase'!$F:$F)</f>
        <v>0</v>
      </c>
      <c r="G117" s="50">
        <f>SUMIFS('Stock Adjustment'!$E:$E,'Stock Adjustment'!$B:$B,$A117,'Stock Adjustment'!$D:$D,"Customer Returned")</f>
        <v>0</v>
      </c>
      <c r="H117" s="50">
        <f>SUMIF('Daily Sales Entry'!$D:$D,B117,'Daily Sales Entry'!$G:$G)</f>
        <v>0</v>
      </c>
      <c r="I117" s="50">
        <f>SUMIFS('Stock Adjustment'!$E:$E,'Stock Adjustment'!$B:$B,$A117,'Stock Adjustment'!$D:$D,"Staff Consumption")</f>
        <v>0</v>
      </c>
      <c r="J117" s="50">
        <f>SUMIFS('Stock Adjustment'!$E:$E,'Stock Adjustment'!$B:$B,$A117,'Stock Adjustment'!$D:$D,"Damaged")</f>
        <v>0</v>
      </c>
      <c r="K117" s="50">
        <f>SUMIFS('Stock Adjustment'!$E:$E,'Stock Adjustment'!$B:$B,$A117,'Stock Adjustment'!$D:$D,"Expired")</f>
        <v>0</v>
      </c>
      <c r="L117" s="50">
        <f>SUMIFS('Stock Adjustment'!$E:$E,'Stock Adjustment'!$B:$B,$A117,'Stock Adjustment'!$D:$D,"Supplier Returned")</f>
        <v>0</v>
      </c>
      <c r="M1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7" s="53" t="str">
        <f>IF(B117="","",VLOOKUP(B117,'Product Master'!$B:$G,4,FALSE))</f>
        <v/>
      </c>
      <c r="O117" s="53" t="str">
        <f>IF(B117="","",VLOOKUP(B117,'Product Master'!$B:$G,5,FALSE))</f>
        <v/>
      </c>
      <c r="P117" s="50" t="str">
        <f>IF(B117="","",VLOOKUP(B117,'Product Master'!$B:$I,7,FALSE))</f>
        <v/>
      </c>
      <c r="Q117" s="158"/>
      <c r="R117" s="58" t="str">
        <f t="shared" si="1"/>
        <v/>
      </c>
      <c r="S117" s="25"/>
      <c r="T117" s="25"/>
      <c r="U117" s="25"/>
      <c r="V117" s="25"/>
      <c r="W117" s="25"/>
      <c r="X117" s="25"/>
    </row>
    <row r="118" spans="1:24" x14ac:dyDescent="0.25">
      <c r="A118" s="31" t="s">
        <v>678</v>
      </c>
      <c r="B118" s="32"/>
      <c r="C118" s="50" t="str">
        <f>IF(B118="","",VLOOKUP(B118,'Product Master'!$B:$G,2,FALSE))</f>
        <v/>
      </c>
      <c r="D118" s="50" t="str">
        <f>IF(B118="","",VLOOKUP(B118,'Product Master'!$B:$G,3,FALSE))</f>
        <v/>
      </c>
      <c r="E118" s="50"/>
      <c r="F118" s="50">
        <f>SUMIF('Stock Purchase'!$D:$D,B118,'Stock Purchase'!$F:$F)</f>
        <v>0</v>
      </c>
      <c r="G118" s="50">
        <f>SUMIFS('Stock Adjustment'!$E:$E,'Stock Adjustment'!$B:$B,$A118,'Stock Adjustment'!$D:$D,"Customer Returned")</f>
        <v>0</v>
      </c>
      <c r="H118" s="50">
        <f>SUMIF('Daily Sales Entry'!$D:$D,B118,'Daily Sales Entry'!$G:$G)</f>
        <v>0</v>
      </c>
      <c r="I118" s="50">
        <f>SUMIFS('Stock Adjustment'!$E:$E,'Stock Adjustment'!$B:$B,$A118,'Stock Adjustment'!$D:$D,"Staff Consumption")</f>
        <v>0</v>
      </c>
      <c r="J118" s="50">
        <f>SUMIFS('Stock Adjustment'!$E:$E,'Stock Adjustment'!$B:$B,$A118,'Stock Adjustment'!$D:$D,"Damaged")</f>
        <v>0</v>
      </c>
      <c r="K118" s="50">
        <f>SUMIFS('Stock Adjustment'!$E:$E,'Stock Adjustment'!$B:$B,$A118,'Stock Adjustment'!$D:$D,"Expired")</f>
        <v>0</v>
      </c>
      <c r="L118" s="50">
        <f>SUMIFS('Stock Adjustment'!$E:$E,'Stock Adjustment'!$B:$B,$A118,'Stock Adjustment'!$D:$D,"Supplier Returned")</f>
        <v>0</v>
      </c>
      <c r="M1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8" s="53" t="str">
        <f>IF(B118="","",VLOOKUP(B118,'Product Master'!$B:$G,4,FALSE))</f>
        <v/>
      </c>
      <c r="O118" s="53" t="str">
        <f>IF(B118="","",VLOOKUP(B118,'Product Master'!$B:$G,5,FALSE))</f>
        <v/>
      </c>
      <c r="P118" s="50" t="str">
        <f>IF(B118="","",VLOOKUP(B118,'Product Master'!$B:$I,7,FALSE))</f>
        <v/>
      </c>
      <c r="Q118" s="158"/>
      <c r="R118" s="58" t="str">
        <f t="shared" si="1"/>
        <v/>
      </c>
      <c r="S118" s="25"/>
      <c r="T118" s="25"/>
      <c r="U118" s="25"/>
      <c r="V118" s="25"/>
      <c r="W118" s="25"/>
      <c r="X118" s="25"/>
    </row>
    <row r="119" spans="1:24" x14ac:dyDescent="0.25">
      <c r="A119" s="31" t="s">
        <v>679</v>
      </c>
      <c r="B119" s="32"/>
      <c r="C119" s="50" t="str">
        <f>IF(B119="","",VLOOKUP(B119,'Product Master'!$B:$G,2,FALSE))</f>
        <v/>
      </c>
      <c r="D119" s="50" t="str">
        <f>IF(B119="","",VLOOKUP(B119,'Product Master'!$B:$G,3,FALSE))</f>
        <v/>
      </c>
      <c r="E119" s="50"/>
      <c r="F119" s="50">
        <f>SUMIF('Stock Purchase'!$D:$D,B119,'Stock Purchase'!$F:$F)</f>
        <v>0</v>
      </c>
      <c r="G119" s="50">
        <f>SUMIFS('Stock Adjustment'!$E:$E,'Stock Adjustment'!$B:$B,$A119,'Stock Adjustment'!$D:$D,"Customer Returned")</f>
        <v>0</v>
      </c>
      <c r="H119" s="50">
        <f>SUMIF('Daily Sales Entry'!$D:$D,B119,'Daily Sales Entry'!$G:$G)</f>
        <v>0</v>
      </c>
      <c r="I119" s="50">
        <f>SUMIFS('Stock Adjustment'!$E:$E,'Stock Adjustment'!$B:$B,$A119,'Stock Adjustment'!$D:$D,"Staff Consumption")</f>
        <v>0</v>
      </c>
      <c r="J119" s="50">
        <f>SUMIFS('Stock Adjustment'!$E:$E,'Stock Adjustment'!$B:$B,$A119,'Stock Adjustment'!$D:$D,"Damaged")</f>
        <v>0</v>
      </c>
      <c r="K119" s="50">
        <f>SUMIFS('Stock Adjustment'!$E:$E,'Stock Adjustment'!$B:$B,$A119,'Stock Adjustment'!$D:$D,"Expired")</f>
        <v>0</v>
      </c>
      <c r="L119" s="50">
        <f>SUMIFS('Stock Adjustment'!$E:$E,'Stock Adjustment'!$B:$B,$A119,'Stock Adjustment'!$D:$D,"Supplier Returned")</f>
        <v>0</v>
      </c>
      <c r="M1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19" s="53" t="str">
        <f>IF(B119="","",VLOOKUP(B119,'Product Master'!$B:$G,4,FALSE))</f>
        <v/>
      </c>
      <c r="O119" s="53" t="str">
        <f>IF(B119="","",VLOOKUP(B119,'Product Master'!$B:$G,5,FALSE))</f>
        <v/>
      </c>
      <c r="P119" s="50" t="str">
        <f>IF(B119="","",VLOOKUP(B119,'Product Master'!$B:$I,7,FALSE))</f>
        <v/>
      </c>
      <c r="Q119" s="158"/>
      <c r="R119" s="58" t="str">
        <f t="shared" si="1"/>
        <v/>
      </c>
      <c r="S119" s="25"/>
      <c r="T119" s="25"/>
      <c r="U119" s="25"/>
      <c r="V119" s="25"/>
      <c r="W119" s="25"/>
      <c r="X119" s="25"/>
    </row>
    <row r="120" spans="1:24" x14ac:dyDescent="0.25">
      <c r="A120" s="31" t="s">
        <v>680</v>
      </c>
      <c r="B120" s="32"/>
      <c r="C120" s="50" t="str">
        <f>IF(B120="","",VLOOKUP(B120,'Product Master'!$B:$G,2,FALSE))</f>
        <v/>
      </c>
      <c r="D120" s="50" t="str">
        <f>IF(B120="","",VLOOKUP(B120,'Product Master'!$B:$G,3,FALSE))</f>
        <v/>
      </c>
      <c r="E120" s="50"/>
      <c r="F120" s="50">
        <f>SUMIF('Stock Purchase'!$D:$D,B120,'Stock Purchase'!$F:$F)</f>
        <v>0</v>
      </c>
      <c r="G120" s="50">
        <f>SUMIFS('Stock Adjustment'!$E:$E,'Stock Adjustment'!$B:$B,$A120,'Stock Adjustment'!$D:$D,"Customer Returned")</f>
        <v>0</v>
      </c>
      <c r="H120" s="50">
        <f>SUMIF('Daily Sales Entry'!$D:$D,B120,'Daily Sales Entry'!$G:$G)</f>
        <v>0</v>
      </c>
      <c r="I120" s="50">
        <f>SUMIFS('Stock Adjustment'!$E:$E,'Stock Adjustment'!$B:$B,$A120,'Stock Adjustment'!$D:$D,"Staff Consumption")</f>
        <v>0</v>
      </c>
      <c r="J120" s="50">
        <f>SUMIFS('Stock Adjustment'!$E:$E,'Stock Adjustment'!$B:$B,$A120,'Stock Adjustment'!$D:$D,"Damaged")</f>
        <v>0</v>
      </c>
      <c r="K120" s="50">
        <f>SUMIFS('Stock Adjustment'!$E:$E,'Stock Adjustment'!$B:$B,$A120,'Stock Adjustment'!$D:$D,"Expired")</f>
        <v>0</v>
      </c>
      <c r="L120" s="50">
        <f>SUMIFS('Stock Adjustment'!$E:$E,'Stock Adjustment'!$B:$B,$A120,'Stock Adjustment'!$D:$D,"Supplier Returned")</f>
        <v>0</v>
      </c>
      <c r="M1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0" s="53" t="str">
        <f>IF(B120="","",VLOOKUP(B120,'Product Master'!$B:$G,4,FALSE))</f>
        <v/>
      </c>
      <c r="O120" s="53" t="str">
        <f>IF(B120="","",VLOOKUP(B120,'Product Master'!$B:$G,5,FALSE))</f>
        <v/>
      </c>
      <c r="P120" s="50" t="str">
        <f>IF(B120="","",VLOOKUP(B120,'Product Master'!$B:$I,7,FALSE))</f>
        <v/>
      </c>
      <c r="Q120" s="158"/>
      <c r="R120" s="58" t="str">
        <f t="shared" si="1"/>
        <v/>
      </c>
      <c r="S120" s="25"/>
      <c r="T120" s="25"/>
      <c r="U120" s="25"/>
      <c r="V120" s="25"/>
      <c r="W120" s="25"/>
      <c r="X120" s="25"/>
    </row>
    <row r="121" spans="1:24" x14ac:dyDescent="0.25">
      <c r="A121" s="31" t="s">
        <v>681</v>
      </c>
      <c r="B121" s="32"/>
      <c r="C121" s="50" t="str">
        <f>IF(B121="","",VLOOKUP(B121,'Product Master'!$B:$G,2,FALSE))</f>
        <v/>
      </c>
      <c r="D121" s="50" t="str">
        <f>IF(B121="","",VLOOKUP(B121,'Product Master'!$B:$G,3,FALSE))</f>
        <v/>
      </c>
      <c r="E121" s="50"/>
      <c r="F121" s="50">
        <f>SUMIF('Stock Purchase'!$D:$D,B121,'Stock Purchase'!$F:$F)</f>
        <v>0</v>
      </c>
      <c r="G121" s="50">
        <f>SUMIFS('Stock Adjustment'!$E:$E,'Stock Adjustment'!$B:$B,$A121,'Stock Adjustment'!$D:$D,"Customer Returned")</f>
        <v>0</v>
      </c>
      <c r="H121" s="50">
        <f>SUMIF('Daily Sales Entry'!$D:$D,B121,'Daily Sales Entry'!$G:$G)</f>
        <v>0</v>
      </c>
      <c r="I121" s="50">
        <f>SUMIFS('Stock Adjustment'!$E:$E,'Stock Adjustment'!$B:$B,$A121,'Stock Adjustment'!$D:$D,"Staff Consumption")</f>
        <v>0</v>
      </c>
      <c r="J121" s="50">
        <f>SUMIFS('Stock Adjustment'!$E:$E,'Stock Adjustment'!$B:$B,$A121,'Stock Adjustment'!$D:$D,"Damaged")</f>
        <v>0</v>
      </c>
      <c r="K121" s="50">
        <f>SUMIFS('Stock Adjustment'!$E:$E,'Stock Adjustment'!$B:$B,$A121,'Stock Adjustment'!$D:$D,"Expired")</f>
        <v>0</v>
      </c>
      <c r="L121" s="50">
        <f>SUMIFS('Stock Adjustment'!$E:$E,'Stock Adjustment'!$B:$B,$A121,'Stock Adjustment'!$D:$D,"Supplier Returned")</f>
        <v>0</v>
      </c>
      <c r="M1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1" s="53" t="str">
        <f>IF(B121="","",VLOOKUP(B121,'Product Master'!$B:$G,4,FALSE))</f>
        <v/>
      </c>
      <c r="O121" s="53" t="str">
        <f>IF(B121="","",VLOOKUP(B121,'Product Master'!$B:$G,5,FALSE))</f>
        <v/>
      </c>
      <c r="P121" s="50" t="str">
        <f>IF(B121="","",VLOOKUP(B121,'Product Master'!$B:$I,7,FALSE))</f>
        <v/>
      </c>
      <c r="Q121" s="158"/>
      <c r="R121" s="58" t="str">
        <f t="shared" si="1"/>
        <v/>
      </c>
      <c r="S121" s="25"/>
      <c r="T121" s="25"/>
      <c r="U121" s="25"/>
      <c r="V121" s="25"/>
      <c r="W121" s="25"/>
      <c r="X121" s="25"/>
    </row>
    <row r="122" spans="1:24" x14ac:dyDescent="0.25">
      <c r="A122" s="31" t="s">
        <v>682</v>
      </c>
      <c r="B122" s="32"/>
      <c r="C122" s="50" t="str">
        <f>IF(B122="","",VLOOKUP(B122,'Product Master'!$B:$G,2,FALSE))</f>
        <v/>
      </c>
      <c r="D122" s="50" t="str">
        <f>IF(B122="","",VLOOKUP(B122,'Product Master'!$B:$G,3,FALSE))</f>
        <v/>
      </c>
      <c r="E122" s="50"/>
      <c r="F122" s="50">
        <f>SUMIF('Stock Purchase'!$D:$D,B122,'Stock Purchase'!$F:$F)</f>
        <v>0</v>
      </c>
      <c r="G122" s="50">
        <f>SUMIFS('Stock Adjustment'!$E:$E,'Stock Adjustment'!$B:$B,$A122,'Stock Adjustment'!$D:$D,"Customer Returned")</f>
        <v>0</v>
      </c>
      <c r="H122" s="50">
        <f>SUMIF('Daily Sales Entry'!$D:$D,B122,'Daily Sales Entry'!$G:$G)</f>
        <v>0</v>
      </c>
      <c r="I122" s="50">
        <f>SUMIFS('Stock Adjustment'!$E:$E,'Stock Adjustment'!$B:$B,$A122,'Stock Adjustment'!$D:$D,"Staff Consumption")</f>
        <v>0</v>
      </c>
      <c r="J122" s="50">
        <f>SUMIFS('Stock Adjustment'!$E:$E,'Stock Adjustment'!$B:$B,$A122,'Stock Adjustment'!$D:$D,"Damaged")</f>
        <v>0</v>
      </c>
      <c r="K122" s="50">
        <f>SUMIFS('Stock Adjustment'!$E:$E,'Stock Adjustment'!$B:$B,$A122,'Stock Adjustment'!$D:$D,"Expired")</f>
        <v>0</v>
      </c>
      <c r="L122" s="50">
        <f>SUMIFS('Stock Adjustment'!$E:$E,'Stock Adjustment'!$B:$B,$A122,'Stock Adjustment'!$D:$D,"Supplier Returned")</f>
        <v>0</v>
      </c>
      <c r="M1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2" s="53" t="str">
        <f>IF(B122="","",VLOOKUP(B122,'Product Master'!$B:$G,4,FALSE))</f>
        <v/>
      </c>
      <c r="O122" s="53" t="str">
        <f>IF(B122="","",VLOOKUP(B122,'Product Master'!$B:$G,5,FALSE))</f>
        <v/>
      </c>
      <c r="P122" s="50" t="str">
        <f>IF(B122="","",VLOOKUP(B122,'Product Master'!$B:$I,7,FALSE))</f>
        <v/>
      </c>
      <c r="Q122" s="158"/>
      <c r="R122" s="58" t="str">
        <f t="shared" si="1"/>
        <v/>
      </c>
      <c r="S122" s="25"/>
      <c r="T122" s="25"/>
      <c r="U122" s="25"/>
      <c r="V122" s="25"/>
      <c r="W122" s="25"/>
      <c r="X122" s="25"/>
    </row>
    <row r="123" spans="1:24" x14ac:dyDescent="0.25">
      <c r="A123" s="31" t="s">
        <v>683</v>
      </c>
      <c r="B123" s="32"/>
      <c r="C123" s="50" t="str">
        <f>IF(B123="","",VLOOKUP(B123,'Product Master'!$B:$G,2,FALSE))</f>
        <v/>
      </c>
      <c r="D123" s="50" t="str">
        <f>IF(B123="","",VLOOKUP(B123,'Product Master'!$B:$G,3,FALSE))</f>
        <v/>
      </c>
      <c r="E123" s="50"/>
      <c r="F123" s="50">
        <f>SUMIF('Stock Purchase'!$D:$D,B123,'Stock Purchase'!$F:$F)</f>
        <v>0</v>
      </c>
      <c r="G123" s="50">
        <f>SUMIFS('Stock Adjustment'!$E:$E,'Stock Adjustment'!$B:$B,$A123,'Stock Adjustment'!$D:$D,"Customer Returned")</f>
        <v>0</v>
      </c>
      <c r="H123" s="50">
        <f>SUMIF('Daily Sales Entry'!$D:$D,B123,'Daily Sales Entry'!$G:$G)</f>
        <v>0</v>
      </c>
      <c r="I123" s="50">
        <f>SUMIFS('Stock Adjustment'!$E:$E,'Stock Adjustment'!$B:$B,$A123,'Stock Adjustment'!$D:$D,"Staff Consumption")</f>
        <v>0</v>
      </c>
      <c r="J123" s="50">
        <f>SUMIFS('Stock Adjustment'!$E:$E,'Stock Adjustment'!$B:$B,$A123,'Stock Adjustment'!$D:$D,"Damaged")</f>
        <v>0</v>
      </c>
      <c r="K123" s="50">
        <f>SUMIFS('Stock Adjustment'!$E:$E,'Stock Adjustment'!$B:$B,$A123,'Stock Adjustment'!$D:$D,"Expired")</f>
        <v>0</v>
      </c>
      <c r="L123" s="50">
        <f>SUMIFS('Stock Adjustment'!$E:$E,'Stock Adjustment'!$B:$B,$A123,'Stock Adjustment'!$D:$D,"Supplier Returned")</f>
        <v>0</v>
      </c>
      <c r="M1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3" s="53" t="str">
        <f>IF(B123="","",VLOOKUP(B123,'Product Master'!$B:$G,4,FALSE))</f>
        <v/>
      </c>
      <c r="O123" s="53" t="str">
        <f>IF(B123="","",VLOOKUP(B123,'Product Master'!$B:$G,5,FALSE))</f>
        <v/>
      </c>
      <c r="P123" s="50" t="str">
        <f>IF(B123="","",VLOOKUP(B123,'Product Master'!$B:$I,7,FALSE))</f>
        <v/>
      </c>
      <c r="Q123" s="158"/>
      <c r="R123" s="58" t="str">
        <f t="shared" si="1"/>
        <v/>
      </c>
      <c r="S123" s="25"/>
      <c r="T123" s="25"/>
      <c r="U123" s="25"/>
      <c r="V123" s="25"/>
      <c r="W123" s="25"/>
      <c r="X123" s="25"/>
    </row>
    <row r="124" spans="1:24" x14ac:dyDescent="0.25">
      <c r="A124" s="31" t="s">
        <v>684</v>
      </c>
      <c r="B124" s="32"/>
      <c r="C124" s="50" t="str">
        <f>IF(B124="","",VLOOKUP(B124,'Product Master'!$B:$G,2,FALSE))</f>
        <v/>
      </c>
      <c r="D124" s="50" t="str">
        <f>IF(B124="","",VLOOKUP(B124,'Product Master'!$B:$G,3,FALSE))</f>
        <v/>
      </c>
      <c r="E124" s="50"/>
      <c r="F124" s="50">
        <f>SUMIF('Stock Purchase'!$D:$D,B124,'Stock Purchase'!$F:$F)</f>
        <v>0</v>
      </c>
      <c r="G124" s="50">
        <f>SUMIFS('Stock Adjustment'!$E:$E,'Stock Adjustment'!$B:$B,$A124,'Stock Adjustment'!$D:$D,"Customer Returned")</f>
        <v>0</v>
      </c>
      <c r="H124" s="50">
        <f>SUMIF('Daily Sales Entry'!$D:$D,B124,'Daily Sales Entry'!$G:$G)</f>
        <v>0</v>
      </c>
      <c r="I124" s="50">
        <f>SUMIFS('Stock Adjustment'!$E:$E,'Stock Adjustment'!$B:$B,$A124,'Stock Adjustment'!$D:$D,"Staff Consumption")</f>
        <v>0</v>
      </c>
      <c r="J124" s="50">
        <f>SUMIFS('Stock Adjustment'!$E:$E,'Stock Adjustment'!$B:$B,$A124,'Stock Adjustment'!$D:$D,"Damaged")</f>
        <v>0</v>
      </c>
      <c r="K124" s="50">
        <f>SUMIFS('Stock Adjustment'!$E:$E,'Stock Adjustment'!$B:$B,$A124,'Stock Adjustment'!$D:$D,"Expired")</f>
        <v>0</v>
      </c>
      <c r="L124" s="50">
        <f>SUMIFS('Stock Adjustment'!$E:$E,'Stock Adjustment'!$B:$B,$A124,'Stock Adjustment'!$D:$D,"Supplier Returned")</f>
        <v>0</v>
      </c>
      <c r="M1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4" s="53" t="str">
        <f>IF(B124="","",VLOOKUP(B124,'Product Master'!$B:$G,4,FALSE))</f>
        <v/>
      </c>
      <c r="O124" s="53" t="str">
        <f>IF(B124="","",VLOOKUP(B124,'Product Master'!$B:$G,5,FALSE))</f>
        <v/>
      </c>
      <c r="P124" s="50" t="str">
        <f>IF(B124="","",VLOOKUP(B124,'Product Master'!$B:$I,7,FALSE))</f>
        <v/>
      </c>
      <c r="Q124" s="158"/>
      <c r="R124" s="58" t="str">
        <f t="shared" si="1"/>
        <v/>
      </c>
      <c r="S124" s="25"/>
      <c r="T124" s="25"/>
      <c r="U124" s="25"/>
      <c r="V124" s="25"/>
      <c r="W124" s="25"/>
      <c r="X124" s="25"/>
    </row>
    <row r="125" spans="1:24" x14ac:dyDescent="0.25">
      <c r="A125" s="31" t="s">
        <v>685</v>
      </c>
      <c r="B125" s="32"/>
      <c r="C125" s="50" t="str">
        <f>IF(B125="","",VLOOKUP(B125,'Product Master'!$B:$G,2,FALSE))</f>
        <v/>
      </c>
      <c r="D125" s="50" t="str">
        <f>IF(B125="","",VLOOKUP(B125,'Product Master'!$B:$G,3,FALSE))</f>
        <v/>
      </c>
      <c r="E125" s="50"/>
      <c r="F125" s="50">
        <f>SUMIF('Stock Purchase'!$D:$D,B125,'Stock Purchase'!$F:$F)</f>
        <v>0</v>
      </c>
      <c r="G125" s="50">
        <f>SUMIFS('Stock Adjustment'!$E:$E,'Stock Adjustment'!$B:$B,$A125,'Stock Adjustment'!$D:$D,"Customer Returned")</f>
        <v>0</v>
      </c>
      <c r="H125" s="50">
        <f>SUMIF('Daily Sales Entry'!$D:$D,B125,'Daily Sales Entry'!$G:$G)</f>
        <v>0</v>
      </c>
      <c r="I125" s="50">
        <f>SUMIFS('Stock Adjustment'!$E:$E,'Stock Adjustment'!$B:$B,$A125,'Stock Adjustment'!$D:$D,"Staff Consumption")</f>
        <v>0</v>
      </c>
      <c r="J125" s="50">
        <f>SUMIFS('Stock Adjustment'!$E:$E,'Stock Adjustment'!$B:$B,$A125,'Stock Adjustment'!$D:$D,"Damaged")</f>
        <v>0</v>
      </c>
      <c r="K125" s="50">
        <f>SUMIFS('Stock Adjustment'!$E:$E,'Stock Adjustment'!$B:$B,$A125,'Stock Adjustment'!$D:$D,"Expired")</f>
        <v>0</v>
      </c>
      <c r="L125" s="50">
        <f>SUMIFS('Stock Adjustment'!$E:$E,'Stock Adjustment'!$B:$B,$A125,'Stock Adjustment'!$D:$D,"Supplier Returned")</f>
        <v>0</v>
      </c>
      <c r="M1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5" s="53" t="str">
        <f>IF(B125="","",VLOOKUP(B125,'Product Master'!$B:$G,4,FALSE))</f>
        <v/>
      </c>
      <c r="O125" s="53" t="str">
        <f>IF(B125="","",VLOOKUP(B125,'Product Master'!$B:$G,5,FALSE))</f>
        <v/>
      </c>
      <c r="P125" s="50" t="str">
        <f>IF(B125="","",VLOOKUP(B125,'Product Master'!$B:$I,7,FALSE))</f>
        <v/>
      </c>
      <c r="Q125" s="158"/>
      <c r="R125" s="58" t="str">
        <f t="shared" si="1"/>
        <v/>
      </c>
      <c r="S125" s="25"/>
      <c r="T125" s="25"/>
      <c r="U125" s="25"/>
      <c r="V125" s="25"/>
      <c r="W125" s="25"/>
      <c r="X125" s="25"/>
    </row>
    <row r="126" spans="1:24" x14ac:dyDescent="0.25">
      <c r="A126" s="31" t="s">
        <v>686</v>
      </c>
      <c r="B126" s="32"/>
      <c r="C126" s="50" t="str">
        <f>IF(B126="","",VLOOKUP(B126,'Product Master'!$B:$G,2,FALSE))</f>
        <v/>
      </c>
      <c r="D126" s="50" t="str">
        <f>IF(B126="","",VLOOKUP(B126,'Product Master'!$B:$G,3,FALSE))</f>
        <v/>
      </c>
      <c r="E126" s="50"/>
      <c r="F126" s="50">
        <f>SUMIF('Stock Purchase'!$D:$D,B126,'Stock Purchase'!$F:$F)</f>
        <v>0</v>
      </c>
      <c r="G126" s="50">
        <f>SUMIFS('Stock Adjustment'!$E:$E,'Stock Adjustment'!$B:$B,$A126,'Stock Adjustment'!$D:$D,"Customer Returned")</f>
        <v>0</v>
      </c>
      <c r="H126" s="50">
        <f>SUMIF('Daily Sales Entry'!$D:$D,B126,'Daily Sales Entry'!$G:$G)</f>
        <v>0</v>
      </c>
      <c r="I126" s="50">
        <f>SUMIFS('Stock Adjustment'!$E:$E,'Stock Adjustment'!$B:$B,$A126,'Stock Adjustment'!$D:$D,"Staff Consumption")</f>
        <v>0</v>
      </c>
      <c r="J126" s="50">
        <f>SUMIFS('Stock Adjustment'!$E:$E,'Stock Adjustment'!$B:$B,$A126,'Stock Adjustment'!$D:$D,"Damaged")</f>
        <v>0</v>
      </c>
      <c r="K126" s="50">
        <f>SUMIFS('Stock Adjustment'!$E:$E,'Stock Adjustment'!$B:$B,$A126,'Stock Adjustment'!$D:$D,"Expired")</f>
        <v>0</v>
      </c>
      <c r="L126" s="50">
        <f>SUMIFS('Stock Adjustment'!$E:$E,'Stock Adjustment'!$B:$B,$A126,'Stock Adjustment'!$D:$D,"Supplier Returned")</f>
        <v>0</v>
      </c>
      <c r="M1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6" s="53" t="str">
        <f>IF(B126="","",VLOOKUP(B126,'Product Master'!$B:$G,4,FALSE))</f>
        <v/>
      </c>
      <c r="O126" s="53" t="str">
        <f>IF(B126="","",VLOOKUP(B126,'Product Master'!$B:$G,5,FALSE))</f>
        <v/>
      </c>
      <c r="P126" s="50" t="str">
        <f>IF(B126="","",VLOOKUP(B126,'Product Master'!$B:$I,7,FALSE))</f>
        <v/>
      </c>
      <c r="Q126" s="158"/>
      <c r="R126" s="58" t="str">
        <f t="shared" si="1"/>
        <v/>
      </c>
      <c r="S126" s="25"/>
      <c r="T126" s="25"/>
      <c r="U126" s="25"/>
      <c r="V126" s="25"/>
      <c r="W126" s="25"/>
      <c r="X126" s="25"/>
    </row>
    <row r="127" spans="1:24" x14ac:dyDescent="0.25">
      <c r="A127" s="31" t="s">
        <v>687</v>
      </c>
      <c r="B127" s="32"/>
      <c r="C127" s="50" t="str">
        <f>IF(B127="","",VLOOKUP(B127,'Product Master'!$B:$G,2,FALSE))</f>
        <v/>
      </c>
      <c r="D127" s="50" t="str">
        <f>IF(B127="","",VLOOKUP(B127,'Product Master'!$B:$G,3,FALSE))</f>
        <v/>
      </c>
      <c r="E127" s="50"/>
      <c r="F127" s="50">
        <f>SUMIF('Stock Purchase'!$D:$D,B127,'Stock Purchase'!$F:$F)</f>
        <v>0</v>
      </c>
      <c r="G127" s="50">
        <f>SUMIFS('Stock Adjustment'!$E:$E,'Stock Adjustment'!$B:$B,$A127,'Stock Adjustment'!$D:$D,"Customer Returned")</f>
        <v>0</v>
      </c>
      <c r="H127" s="50">
        <f>SUMIF('Daily Sales Entry'!$D:$D,B127,'Daily Sales Entry'!$G:$G)</f>
        <v>0</v>
      </c>
      <c r="I127" s="50">
        <f>SUMIFS('Stock Adjustment'!$E:$E,'Stock Adjustment'!$B:$B,$A127,'Stock Adjustment'!$D:$D,"Staff Consumption")</f>
        <v>0</v>
      </c>
      <c r="J127" s="50">
        <f>SUMIFS('Stock Adjustment'!$E:$E,'Stock Adjustment'!$B:$B,$A127,'Stock Adjustment'!$D:$D,"Damaged")</f>
        <v>0</v>
      </c>
      <c r="K127" s="50">
        <f>SUMIFS('Stock Adjustment'!$E:$E,'Stock Adjustment'!$B:$B,$A127,'Stock Adjustment'!$D:$D,"Expired")</f>
        <v>0</v>
      </c>
      <c r="L127" s="50">
        <f>SUMIFS('Stock Adjustment'!$E:$E,'Stock Adjustment'!$B:$B,$A127,'Stock Adjustment'!$D:$D,"Supplier Returned")</f>
        <v>0</v>
      </c>
      <c r="M1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7" s="53" t="str">
        <f>IF(B127="","",VLOOKUP(B127,'Product Master'!$B:$G,4,FALSE))</f>
        <v/>
      </c>
      <c r="O127" s="53" t="str">
        <f>IF(B127="","",VLOOKUP(B127,'Product Master'!$B:$G,5,FALSE))</f>
        <v/>
      </c>
      <c r="P127" s="50" t="str">
        <f>IF(B127="","",VLOOKUP(B127,'Product Master'!$B:$I,7,FALSE))</f>
        <v/>
      </c>
      <c r="Q127" s="158"/>
      <c r="R127" s="58" t="str">
        <f t="shared" si="1"/>
        <v/>
      </c>
      <c r="S127" s="25"/>
      <c r="T127" s="25"/>
      <c r="U127" s="25"/>
      <c r="V127" s="25"/>
      <c r="W127" s="25"/>
      <c r="X127" s="25"/>
    </row>
    <row r="128" spans="1:24" x14ac:dyDescent="0.25">
      <c r="A128" s="31" t="s">
        <v>688</v>
      </c>
      <c r="B128" s="32"/>
      <c r="C128" s="50" t="str">
        <f>IF(B128="","",VLOOKUP(B128,'Product Master'!$B:$G,2,FALSE))</f>
        <v/>
      </c>
      <c r="D128" s="50" t="str">
        <f>IF(B128="","",VLOOKUP(B128,'Product Master'!$B:$G,3,FALSE))</f>
        <v/>
      </c>
      <c r="E128" s="50"/>
      <c r="F128" s="50">
        <f>SUMIF('Stock Purchase'!$D:$D,B128,'Stock Purchase'!$F:$F)</f>
        <v>0</v>
      </c>
      <c r="G128" s="50">
        <f>SUMIFS('Stock Adjustment'!$E:$E,'Stock Adjustment'!$B:$B,$A128,'Stock Adjustment'!$D:$D,"Customer Returned")</f>
        <v>0</v>
      </c>
      <c r="H128" s="50">
        <f>SUMIF('Daily Sales Entry'!$D:$D,B128,'Daily Sales Entry'!$G:$G)</f>
        <v>0</v>
      </c>
      <c r="I128" s="50">
        <f>SUMIFS('Stock Adjustment'!$E:$E,'Stock Adjustment'!$B:$B,$A128,'Stock Adjustment'!$D:$D,"Staff Consumption")</f>
        <v>0</v>
      </c>
      <c r="J128" s="50">
        <f>SUMIFS('Stock Adjustment'!$E:$E,'Stock Adjustment'!$B:$B,$A128,'Stock Adjustment'!$D:$D,"Damaged")</f>
        <v>0</v>
      </c>
      <c r="K128" s="50">
        <f>SUMIFS('Stock Adjustment'!$E:$E,'Stock Adjustment'!$B:$B,$A128,'Stock Adjustment'!$D:$D,"Expired")</f>
        <v>0</v>
      </c>
      <c r="L128" s="50">
        <f>SUMIFS('Stock Adjustment'!$E:$E,'Stock Adjustment'!$B:$B,$A128,'Stock Adjustment'!$D:$D,"Supplier Returned")</f>
        <v>0</v>
      </c>
      <c r="M1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8" s="53" t="str">
        <f>IF(B128="","",VLOOKUP(B128,'Product Master'!$B:$G,4,FALSE))</f>
        <v/>
      </c>
      <c r="O128" s="53" t="str">
        <f>IF(B128="","",VLOOKUP(B128,'Product Master'!$B:$G,5,FALSE))</f>
        <v/>
      </c>
      <c r="P128" s="50" t="str">
        <f>IF(B128="","",VLOOKUP(B128,'Product Master'!$B:$I,7,FALSE))</f>
        <v/>
      </c>
      <c r="Q128" s="158"/>
      <c r="R128" s="58" t="str">
        <f t="shared" si="1"/>
        <v/>
      </c>
      <c r="S128" s="25"/>
      <c r="T128" s="25"/>
      <c r="U128" s="25"/>
      <c r="V128" s="25"/>
      <c r="W128" s="25"/>
      <c r="X128" s="25"/>
    </row>
    <row r="129" spans="1:24" x14ac:dyDescent="0.25">
      <c r="A129" s="31" t="s">
        <v>689</v>
      </c>
      <c r="B129" s="32"/>
      <c r="C129" s="50" t="str">
        <f>IF(B129="","",VLOOKUP(B129,'Product Master'!$B:$G,2,FALSE))</f>
        <v/>
      </c>
      <c r="D129" s="50" t="str">
        <f>IF(B129="","",VLOOKUP(B129,'Product Master'!$B:$G,3,FALSE))</f>
        <v/>
      </c>
      <c r="E129" s="50"/>
      <c r="F129" s="50">
        <f>SUMIF('Stock Purchase'!$D:$D,B129,'Stock Purchase'!$F:$F)</f>
        <v>0</v>
      </c>
      <c r="G129" s="50">
        <f>SUMIFS('Stock Adjustment'!$E:$E,'Stock Adjustment'!$B:$B,$A129,'Stock Adjustment'!$D:$D,"Customer Returned")</f>
        <v>0</v>
      </c>
      <c r="H129" s="50">
        <f>SUMIF('Daily Sales Entry'!$D:$D,B129,'Daily Sales Entry'!$G:$G)</f>
        <v>0</v>
      </c>
      <c r="I129" s="50">
        <f>SUMIFS('Stock Adjustment'!$E:$E,'Stock Adjustment'!$B:$B,$A129,'Stock Adjustment'!$D:$D,"Staff Consumption")</f>
        <v>0</v>
      </c>
      <c r="J129" s="50">
        <f>SUMIFS('Stock Adjustment'!$E:$E,'Stock Adjustment'!$B:$B,$A129,'Stock Adjustment'!$D:$D,"Damaged")</f>
        <v>0</v>
      </c>
      <c r="K129" s="50">
        <f>SUMIFS('Stock Adjustment'!$E:$E,'Stock Adjustment'!$B:$B,$A129,'Stock Adjustment'!$D:$D,"Expired")</f>
        <v>0</v>
      </c>
      <c r="L129" s="50">
        <f>SUMIFS('Stock Adjustment'!$E:$E,'Stock Adjustment'!$B:$B,$A129,'Stock Adjustment'!$D:$D,"Supplier Returned")</f>
        <v>0</v>
      </c>
      <c r="M1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29" s="53" t="str">
        <f>IF(B129="","",VLOOKUP(B129,'Product Master'!$B:$G,4,FALSE))</f>
        <v/>
      </c>
      <c r="O129" s="53" t="str">
        <f>IF(B129="","",VLOOKUP(B129,'Product Master'!$B:$G,5,FALSE))</f>
        <v/>
      </c>
      <c r="P129" s="50" t="str">
        <f>IF(B129="","",VLOOKUP(B129,'Product Master'!$B:$I,7,FALSE))</f>
        <v/>
      </c>
      <c r="Q129" s="158"/>
      <c r="R129" s="58" t="str">
        <f t="shared" si="1"/>
        <v/>
      </c>
      <c r="S129" s="25"/>
      <c r="T129" s="25"/>
      <c r="U129" s="25"/>
      <c r="V129" s="25"/>
      <c r="W129" s="25"/>
      <c r="X129" s="25"/>
    </row>
    <row r="130" spans="1:24" x14ac:dyDescent="0.25">
      <c r="A130" s="31" t="s">
        <v>690</v>
      </c>
      <c r="B130" s="32"/>
      <c r="C130" s="50" t="str">
        <f>IF(B130="","",VLOOKUP(B130,'Product Master'!$B:$G,2,FALSE))</f>
        <v/>
      </c>
      <c r="D130" s="50" t="str">
        <f>IF(B130="","",VLOOKUP(B130,'Product Master'!$B:$G,3,FALSE))</f>
        <v/>
      </c>
      <c r="E130" s="50"/>
      <c r="F130" s="50">
        <f>SUMIF('Stock Purchase'!$D:$D,B130,'Stock Purchase'!$F:$F)</f>
        <v>0</v>
      </c>
      <c r="G130" s="50">
        <f>SUMIFS('Stock Adjustment'!$E:$E,'Stock Adjustment'!$B:$B,$A130,'Stock Adjustment'!$D:$D,"Customer Returned")</f>
        <v>0</v>
      </c>
      <c r="H130" s="50">
        <f>SUMIF('Daily Sales Entry'!$D:$D,B130,'Daily Sales Entry'!$G:$G)</f>
        <v>0</v>
      </c>
      <c r="I130" s="50">
        <f>SUMIFS('Stock Adjustment'!$E:$E,'Stock Adjustment'!$B:$B,$A130,'Stock Adjustment'!$D:$D,"Staff Consumption")</f>
        <v>0</v>
      </c>
      <c r="J130" s="50">
        <f>SUMIFS('Stock Adjustment'!$E:$E,'Stock Adjustment'!$B:$B,$A130,'Stock Adjustment'!$D:$D,"Damaged")</f>
        <v>0</v>
      </c>
      <c r="K130" s="50">
        <f>SUMIFS('Stock Adjustment'!$E:$E,'Stock Adjustment'!$B:$B,$A130,'Stock Adjustment'!$D:$D,"Expired")</f>
        <v>0</v>
      </c>
      <c r="L130" s="50">
        <f>SUMIFS('Stock Adjustment'!$E:$E,'Stock Adjustment'!$B:$B,$A130,'Stock Adjustment'!$D:$D,"Supplier Returned")</f>
        <v>0</v>
      </c>
      <c r="M1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0" s="53" t="str">
        <f>IF(B130="","",VLOOKUP(B130,'Product Master'!$B:$G,4,FALSE))</f>
        <v/>
      </c>
      <c r="O130" s="53" t="str">
        <f>IF(B130="","",VLOOKUP(B130,'Product Master'!$B:$G,5,FALSE))</f>
        <v/>
      </c>
      <c r="P130" s="50" t="str">
        <f>IF(B130="","",VLOOKUP(B130,'Product Master'!$B:$I,7,FALSE))</f>
        <v/>
      </c>
      <c r="Q130" s="158"/>
      <c r="R130" s="58" t="str">
        <f t="shared" ref="R130:R193" si="2">IF(B130="","",IF(M130=0,"Out of Stock",IF(M130&lt;=10,"Low Stock","In Stock")))</f>
        <v/>
      </c>
      <c r="S130" s="25"/>
      <c r="T130" s="25"/>
      <c r="U130" s="25"/>
      <c r="V130" s="25"/>
      <c r="W130" s="25"/>
      <c r="X130" s="25"/>
    </row>
    <row r="131" spans="1:24" x14ac:dyDescent="0.25">
      <c r="A131" s="31" t="s">
        <v>691</v>
      </c>
      <c r="B131" s="32"/>
      <c r="C131" s="50" t="str">
        <f>IF(B131="","",VLOOKUP(B131,'Product Master'!$B:$G,2,FALSE))</f>
        <v/>
      </c>
      <c r="D131" s="50" t="str">
        <f>IF(B131="","",VLOOKUP(B131,'Product Master'!$B:$G,3,FALSE))</f>
        <v/>
      </c>
      <c r="E131" s="50"/>
      <c r="F131" s="50">
        <f>SUMIF('Stock Purchase'!$D:$D,B131,'Stock Purchase'!$F:$F)</f>
        <v>0</v>
      </c>
      <c r="G131" s="50">
        <f>SUMIFS('Stock Adjustment'!$E:$E,'Stock Adjustment'!$B:$B,$A131,'Stock Adjustment'!$D:$D,"Customer Returned")</f>
        <v>0</v>
      </c>
      <c r="H131" s="50">
        <f>SUMIF('Daily Sales Entry'!$D:$D,B131,'Daily Sales Entry'!$G:$G)</f>
        <v>0</v>
      </c>
      <c r="I131" s="50">
        <f>SUMIFS('Stock Adjustment'!$E:$E,'Stock Adjustment'!$B:$B,$A131,'Stock Adjustment'!$D:$D,"Staff Consumption")</f>
        <v>0</v>
      </c>
      <c r="J131" s="50">
        <f>SUMIFS('Stock Adjustment'!$E:$E,'Stock Adjustment'!$B:$B,$A131,'Stock Adjustment'!$D:$D,"Damaged")</f>
        <v>0</v>
      </c>
      <c r="K131" s="50">
        <f>SUMIFS('Stock Adjustment'!$E:$E,'Stock Adjustment'!$B:$B,$A131,'Stock Adjustment'!$D:$D,"Expired")</f>
        <v>0</v>
      </c>
      <c r="L131" s="50">
        <f>SUMIFS('Stock Adjustment'!$E:$E,'Stock Adjustment'!$B:$B,$A131,'Stock Adjustment'!$D:$D,"Supplier Returned")</f>
        <v>0</v>
      </c>
      <c r="M1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1" s="53" t="str">
        <f>IF(B131="","",VLOOKUP(B131,'Product Master'!$B:$G,4,FALSE))</f>
        <v/>
      </c>
      <c r="O131" s="53" t="str">
        <f>IF(B131="","",VLOOKUP(B131,'Product Master'!$B:$G,5,FALSE))</f>
        <v/>
      </c>
      <c r="P131" s="50" t="str">
        <f>IF(B131="","",VLOOKUP(B131,'Product Master'!$B:$I,7,FALSE))</f>
        <v/>
      </c>
      <c r="Q131" s="158"/>
      <c r="R131" s="58" t="str">
        <f t="shared" si="2"/>
        <v/>
      </c>
      <c r="S131" s="25"/>
      <c r="T131" s="25"/>
      <c r="U131" s="25"/>
      <c r="V131" s="25"/>
      <c r="W131" s="25"/>
      <c r="X131" s="25"/>
    </row>
    <row r="132" spans="1:24" x14ac:dyDescent="0.25">
      <c r="A132" s="31" t="s">
        <v>692</v>
      </c>
      <c r="B132" s="32"/>
      <c r="C132" s="50" t="str">
        <f>IF(B132="","",VLOOKUP(B132,'Product Master'!$B:$G,2,FALSE))</f>
        <v/>
      </c>
      <c r="D132" s="50" t="str">
        <f>IF(B132="","",VLOOKUP(B132,'Product Master'!$B:$G,3,FALSE))</f>
        <v/>
      </c>
      <c r="E132" s="50"/>
      <c r="F132" s="50">
        <f>SUMIF('Stock Purchase'!$D:$D,B132,'Stock Purchase'!$F:$F)</f>
        <v>0</v>
      </c>
      <c r="G132" s="50">
        <f>SUMIFS('Stock Adjustment'!$E:$E,'Stock Adjustment'!$B:$B,$A132,'Stock Adjustment'!$D:$D,"Customer Returned")</f>
        <v>0</v>
      </c>
      <c r="H132" s="50">
        <f>SUMIF('Daily Sales Entry'!$D:$D,B132,'Daily Sales Entry'!$G:$G)</f>
        <v>0</v>
      </c>
      <c r="I132" s="50">
        <f>SUMIFS('Stock Adjustment'!$E:$E,'Stock Adjustment'!$B:$B,$A132,'Stock Adjustment'!$D:$D,"Staff Consumption")</f>
        <v>0</v>
      </c>
      <c r="J132" s="50">
        <f>SUMIFS('Stock Adjustment'!$E:$E,'Stock Adjustment'!$B:$B,$A132,'Stock Adjustment'!$D:$D,"Damaged")</f>
        <v>0</v>
      </c>
      <c r="K132" s="50">
        <f>SUMIFS('Stock Adjustment'!$E:$E,'Stock Adjustment'!$B:$B,$A132,'Stock Adjustment'!$D:$D,"Expired")</f>
        <v>0</v>
      </c>
      <c r="L132" s="50">
        <f>SUMIFS('Stock Adjustment'!$E:$E,'Stock Adjustment'!$B:$B,$A132,'Stock Adjustment'!$D:$D,"Supplier Returned")</f>
        <v>0</v>
      </c>
      <c r="M1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2" s="53" t="str">
        <f>IF(B132="","",VLOOKUP(B132,'Product Master'!$B:$G,4,FALSE))</f>
        <v/>
      </c>
      <c r="O132" s="53" t="str">
        <f>IF(B132="","",VLOOKUP(B132,'Product Master'!$B:$G,5,FALSE))</f>
        <v/>
      </c>
      <c r="P132" s="50" t="str">
        <f>IF(B132="","",VLOOKUP(B132,'Product Master'!$B:$I,7,FALSE))</f>
        <v/>
      </c>
      <c r="Q132" s="158"/>
      <c r="R132" s="58" t="str">
        <f t="shared" si="2"/>
        <v/>
      </c>
      <c r="S132" s="25"/>
      <c r="T132" s="25"/>
      <c r="U132" s="25"/>
      <c r="V132" s="25"/>
      <c r="W132" s="25"/>
      <c r="X132" s="25"/>
    </row>
    <row r="133" spans="1:24" x14ac:dyDescent="0.25">
      <c r="A133" s="31" t="s">
        <v>693</v>
      </c>
      <c r="B133" s="32"/>
      <c r="C133" s="50" t="str">
        <f>IF(B133="","",VLOOKUP(B133,'Product Master'!$B:$G,2,FALSE))</f>
        <v/>
      </c>
      <c r="D133" s="50" t="str">
        <f>IF(B133="","",VLOOKUP(B133,'Product Master'!$B:$G,3,FALSE))</f>
        <v/>
      </c>
      <c r="E133" s="50"/>
      <c r="F133" s="50">
        <f>SUMIF('Stock Purchase'!$D:$D,B133,'Stock Purchase'!$F:$F)</f>
        <v>0</v>
      </c>
      <c r="G133" s="50">
        <f>SUMIFS('Stock Adjustment'!$E:$E,'Stock Adjustment'!$B:$B,$A133,'Stock Adjustment'!$D:$D,"Customer Returned")</f>
        <v>0</v>
      </c>
      <c r="H133" s="50">
        <f>SUMIF('Daily Sales Entry'!$D:$D,B133,'Daily Sales Entry'!$G:$G)</f>
        <v>0</v>
      </c>
      <c r="I133" s="50">
        <f>SUMIFS('Stock Adjustment'!$E:$E,'Stock Adjustment'!$B:$B,$A133,'Stock Adjustment'!$D:$D,"Staff Consumption")</f>
        <v>0</v>
      </c>
      <c r="J133" s="50">
        <f>SUMIFS('Stock Adjustment'!$E:$E,'Stock Adjustment'!$B:$B,$A133,'Stock Adjustment'!$D:$D,"Damaged")</f>
        <v>0</v>
      </c>
      <c r="K133" s="50">
        <f>SUMIFS('Stock Adjustment'!$E:$E,'Stock Adjustment'!$B:$B,$A133,'Stock Adjustment'!$D:$D,"Expired")</f>
        <v>0</v>
      </c>
      <c r="L133" s="50">
        <f>SUMIFS('Stock Adjustment'!$E:$E,'Stock Adjustment'!$B:$B,$A133,'Stock Adjustment'!$D:$D,"Supplier Returned")</f>
        <v>0</v>
      </c>
      <c r="M1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3" s="53" t="str">
        <f>IF(B133="","",VLOOKUP(B133,'Product Master'!$B:$G,4,FALSE))</f>
        <v/>
      </c>
      <c r="O133" s="53" t="str">
        <f>IF(B133="","",VLOOKUP(B133,'Product Master'!$B:$G,5,FALSE))</f>
        <v/>
      </c>
      <c r="P133" s="50" t="str">
        <f>IF(B133="","",VLOOKUP(B133,'Product Master'!$B:$I,7,FALSE))</f>
        <v/>
      </c>
      <c r="Q133" s="158"/>
      <c r="R133" s="58" t="str">
        <f t="shared" si="2"/>
        <v/>
      </c>
      <c r="S133" s="25"/>
      <c r="T133" s="25"/>
      <c r="U133" s="25"/>
      <c r="V133" s="25"/>
      <c r="W133" s="25"/>
      <c r="X133" s="25"/>
    </row>
    <row r="134" spans="1:24" x14ac:dyDescent="0.25">
      <c r="A134" s="31" t="s">
        <v>694</v>
      </c>
      <c r="B134" s="32"/>
      <c r="C134" s="50" t="str">
        <f>IF(B134="","",VLOOKUP(B134,'Product Master'!$B:$G,2,FALSE))</f>
        <v/>
      </c>
      <c r="D134" s="50" t="str">
        <f>IF(B134="","",VLOOKUP(B134,'Product Master'!$B:$G,3,FALSE))</f>
        <v/>
      </c>
      <c r="E134" s="50"/>
      <c r="F134" s="50">
        <f>SUMIF('Stock Purchase'!$D:$D,B134,'Stock Purchase'!$F:$F)</f>
        <v>0</v>
      </c>
      <c r="G134" s="50">
        <f>SUMIFS('Stock Adjustment'!$E:$E,'Stock Adjustment'!$B:$B,$A134,'Stock Adjustment'!$D:$D,"Customer Returned")</f>
        <v>0</v>
      </c>
      <c r="H134" s="50">
        <f>SUMIF('Daily Sales Entry'!$D:$D,B134,'Daily Sales Entry'!$G:$G)</f>
        <v>0</v>
      </c>
      <c r="I134" s="50">
        <f>SUMIFS('Stock Adjustment'!$E:$E,'Stock Adjustment'!$B:$B,$A134,'Stock Adjustment'!$D:$D,"Staff Consumption")</f>
        <v>0</v>
      </c>
      <c r="J134" s="50">
        <f>SUMIFS('Stock Adjustment'!$E:$E,'Stock Adjustment'!$B:$B,$A134,'Stock Adjustment'!$D:$D,"Damaged")</f>
        <v>0</v>
      </c>
      <c r="K134" s="50">
        <f>SUMIFS('Stock Adjustment'!$E:$E,'Stock Adjustment'!$B:$B,$A134,'Stock Adjustment'!$D:$D,"Expired")</f>
        <v>0</v>
      </c>
      <c r="L134" s="50">
        <f>SUMIFS('Stock Adjustment'!$E:$E,'Stock Adjustment'!$B:$B,$A134,'Stock Adjustment'!$D:$D,"Supplier Returned")</f>
        <v>0</v>
      </c>
      <c r="M1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4" s="53" t="str">
        <f>IF(B134="","",VLOOKUP(B134,'Product Master'!$B:$G,4,FALSE))</f>
        <v/>
      </c>
      <c r="O134" s="53" t="str">
        <f>IF(B134="","",VLOOKUP(B134,'Product Master'!$B:$G,5,FALSE))</f>
        <v/>
      </c>
      <c r="P134" s="50" t="str">
        <f>IF(B134="","",VLOOKUP(B134,'Product Master'!$B:$I,7,FALSE))</f>
        <v/>
      </c>
      <c r="Q134" s="158"/>
      <c r="R134" s="58" t="str">
        <f t="shared" si="2"/>
        <v/>
      </c>
      <c r="S134" s="25"/>
      <c r="T134" s="25"/>
      <c r="U134" s="25"/>
      <c r="V134" s="25"/>
      <c r="W134" s="25"/>
      <c r="X134" s="25"/>
    </row>
    <row r="135" spans="1:24" x14ac:dyDescent="0.25">
      <c r="A135" s="31" t="s">
        <v>695</v>
      </c>
      <c r="B135" s="32"/>
      <c r="C135" s="50" t="str">
        <f>IF(B135="","",VLOOKUP(B135,'Product Master'!$B:$G,2,FALSE))</f>
        <v/>
      </c>
      <c r="D135" s="50" t="str">
        <f>IF(B135="","",VLOOKUP(B135,'Product Master'!$B:$G,3,FALSE))</f>
        <v/>
      </c>
      <c r="E135" s="50"/>
      <c r="F135" s="50">
        <f>SUMIF('Stock Purchase'!$D:$D,B135,'Stock Purchase'!$F:$F)</f>
        <v>0</v>
      </c>
      <c r="G135" s="50">
        <f>SUMIFS('Stock Adjustment'!$E:$E,'Stock Adjustment'!$B:$B,$A135,'Stock Adjustment'!$D:$D,"Customer Returned")</f>
        <v>0</v>
      </c>
      <c r="H135" s="50">
        <f>SUMIF('Daily Sales Entry'!$D:$D,B135,'Daily Sales Entry'!$G:$G)</f>
        <v>0</v>
      </c>
      <c r="I135" s="50">
        <f>SUMIFS('Stock Adjustment'!$E:$E,'Stock Adjustment'!$B:$B,$A135,'Stock Adjustment'!$D:$D,"Staff Consumption")</f>
        <v>0</v>
      </c>
      <c r="J135" s="50">
        <f>SUMIFS('Stock Adjustment'!$E:$E,'Stock Adjustment'!$B:$B,$A135,'Stock Adjustment'!$D:$D,"Damaged")</f>
        <v>0</v>
      </c>
      <c r="K135" s="50">
        <f>SUMIFS('Stock Adjustment'!$E:$E,'Stock Adjustment'!$B:$B,$A135,'Stock Adjustment'!$D:$D,"Expired")</f>
        <v>0</v>
      </c>
      <c r="L135" s="50">
        <f>SUMIFS('Stock Adjustment'!$E:$E,'Stock Adjustment'!$B:$B,$A135,'Stock Adjustment'!$D:$D,"Supplier Returned")</f>
        <v>0</v>
      </c>
      <c r="M1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5" s="53" t="str">
        <f>IF(B135="","",VLOOKUP(B135,'Product Master'!$B:$G,4,FALSE))</f>
        <v/>
      </c>
      <c r="O135" s="53" t="str">
        <f>IF(B135="","",VLOOKUP(B135,'Product Master'!$B:$G,5,FALSE))</f>
        <v/>
      </c>
      <c r="P135" s="50" t="str">
        <f>IF(B135="","",VLOOKUP(B135,'Product Master'!$B:$I,7,FALSE))</f>
        <v/>
      </c>
      <c r="Q135" s="158"/>
      <c r="R135" s="58" t="str">
        <f t="shared" si="2"/>
        <v/>
      </c>
      <c r="S135" s="25"/>
      <c r="T135" s="25"/>
      <c r="U135" s="25"/>
      <c r="V135" s="25"/>
      <c r="W135" s="25"/>
      <c r="X135" s="25"/>
    </row>
    <row r="136" spans="1:24" x14ac:dyDescent="0.25">
      <c r="A136" s="31" t="s">
        <v>696</v>
      </c>
      <c r="B136" s="32"/>
      <c r="C136" s="50" t="str">
        <f>IF(B136="","",VLOOKUP(B136,'Product Master'!$B:$G,2,FALSE))</f>
        <v/>
      </c>
      <c r="D136" s="50" t="str">
        <f>IF(B136="","",VLOOKUP(B136,'Product Master'!$B:$G,3,FALSE))</f>
        <v/>
      </c>
      <c r="E136" s="50"/>
      <c r="F136" s="50">
        <f>SUMIF('Stock Purchase'!$D:$D,B136,'Stock Purchase'!$F:$F)</f>
        <v>0</v>
      </c>
      <c r="G136" s="50">
        <f>SUMIFS('Stock Adjustment'!$E:$E,'Stock Adjustment'!$B:$B,$A136,'Stock Adjustment'!$D:$D,"Customer Returned")</f>
        <v>0</v>
      </c>
      <c r="H136" s="50">
        <f>SUMIF('Daily Sales Entry'!$D:$D,B136,'Daily Sales Entry'!$G:$G)</f>
        <v>0</v>
      </c>
      <c r="I136" s="50">
        <f>SUMIFS('Stock Adjustment'!$E:$E,'Stock Adjustment'!$B:$B,$A136,'Stock Adjustment'!$D:$D,"Staff Consumption")</f>
        <v>0</v>
      </c>
      <c r="J136" s="50">
        <f>SUMIFS('Stock Adjustment'!$E:$E,'Stock Adjustment'!$B:$B,$A136,'Stock Adjustment'!$D:$D,"Damaged")</f>
        <v>0</v>
      </c>
      <c r="K136" s="50">
        <f>SUMIFS('Stock Adjustment'!$E:$E,'Stock Adjustment'!$B:$B,$A136,'Stock Adjustment'!$D:$D,"Expired")</f>
        <v>0</v>
      </c>
      <c r="L136" s="50">
        <f>SUMIFS('Stock Adjustment'!$E:$E,'Stock Adjustment'!$B:$B,$A136,'Stock Adjustment'!$D:$D,"Supplier Returned")</f>
        <v>0</v>
      </c>
      <c r="M1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6" s="53" t="str">
        <f>IF(B136="","",VLOOKUP(B136,'Product Master'!$B:$G,4,FALSE))</f>
        <v/>
      </c>
      <c r="O136" s="53" t="str">
        <f>IF(B136="","",VLOOKUP(B136,'Product Master'!$B:$G,5,FALSE))</f>
        <v/>
      </c>
      <c r="P136" s="50" t="str">
        <f>IF(B136="","",VLOOKUP(B136,'Product Master'!$B:$I,7,FALSE))</f>
        <v/>
      </c>
      <c r="Q136" s="158"/>
      <c r="R136" s="58" t="str">
        <f t="shared" si="2"/>
        <v/>
      </c>
      <c r="S136" s="25"/>
      <c r="T136" s="25"/>
      <c r="U136" s="25"/>
      <c r="V136" s="25"/>
      <c r="W136" s="25"/>
      <c r="X136" s="25"/>
    </row>
    <row r="137" spans="1:24" x14ac:dyDescent="0.25">
      <c r="A137" s="31" t="s">
        <v>697</v>
      </c>
      <c r="B137" s="32"/>
      <c r="C137" s="50" t="str">
        <f>IF(B137="","",VLOOKUP(B137,'Product Master'!$B:$G,2,FALSE))</f>
        <v/>
      </c>
      <c r="D137" s="50" t="str">
        <f>IF(B137="","",VLOOKUP(B137,'Product Master'!$B:$G,3,FALSE))</f>
        <v/>
      </c>
      <c r="E137" s="50"/>
      <c r="F137" s="50">
        <f>SUMIF('Stock Purchase'!$D:$D,B137,'Stock Purchase'!$F:$F)</f>
        <v>0</v>
      </c>
      <c r="G137" s="50">
        <f>SUMIFS('Stock Adjustment'!$E:$E,'Stock Adjustment'!$B:$B,$A137,'Stock Adjustment'!$D:$D,"Customer Returned")</f>
        <v>0</v>
      </c>
      <c r="H137" s="50">
        <f>SUMIF('Daily Sales Entry'!$D:$D,B137,'Daily Sales Entry'!$G:$G)</f>
        <v>0</v>
      </c>
      <c r="I137" s="50">
        <f>SUMIFS('Stock Adjustment'!$E:$E,'Stock Adjustment'!$B:$B,$A137,'Stock Adjustment'!$D:$D,"Staff Consumption")</f>
        <v>0</v>
      </c>
      <c r="J137" s="50">
        <f>SUMIFS('Stock Adjustment'!$E:$E,'Stock Adjustment'!$B:$B,$A137,'Stock Adjustment'!$D:$D,"Damaged")</f>
        <v>0</v>
      </c>
      <c r="K137" s="50">
        <f>SUMIFS('Stock Adjustment'!$E:$E,'Stock Adjustment'!$B:$B,$A137,'Stock Adjustment'!$D:$D,"Expired")</f>
        <v>0</v>
      </c>
      <c r="L137" s="50">
        <f>SUMIFS('Stock Adjustment'!$E:$E,'Stock Adjustment'!$B:$B,$A137,'Stock Adjustment'!$D:$D,"Supplier Returned")</f>
        <v>0</v>
      </c>
      <c r="M1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7" s="53" t="str">
        <f>IF(B137="","",VLOOKUP(B137,'Product Master'!$B:$G,4,FALSE))</f>
        <v/>
      </c>
      <c r="O137" s="53" t="str">
        <f>IF(B137="","",VLOOKUP(B137,'Product Master'!$B:$G,5,FALSE))</f>
        <v/>
      </c>
      <c r="P137" s="50" t="str">
        <f>IF(B137="","",VLOOKUP(B137,'Product Master'!$B:$I,7,FALSE))</f>
        <v/>
      </c>
      <c r="Q137" s="158"/>
      <c r="R137" s="58" t="str">
        <f t="shared" si="2"/>
        <v/>
      </c>
      <c r="S137" s="25"/>
      <c r="T137" s="25"/>
      <c r="U137" s="25"/>
      <c r="V137" s="25"/>
      <c r="W137" s="25"/>
      <c r="X137" s="25"/>
    </row>
    <row r="138" spans="1:24" x14ac:dyDescent="0.25">
      <c r="A138" s="31" t="s">
        <v>698</v>
      </c>
      <c r="B138" s="32"/>
      <c r="C138" s="50" t="str">
        <f>IF(B138="","",VLOOKUP(B138,'Product Master'!$B:$G,2,FALSE))</f>
        <v/>
      </c>
      <c r="D138" s="50" t="str">
        <f>IF(B138="","",VLOOKUP(B138,'Product Master'!$B:$G,3,FALSE))</f>
        <v/>
      </c>
      <c r="E138" s="50"/>
      <c r="F138" s="50">
        <f>SUMIF('Stock Purchase'!$D:$D,B138,'Stock Purchase'!$F:$F)</f>
        <v>0</v>
      </c>
      <c r="G138" s="50">
        <f>SUMIFS('Stock Adjustment'!$E:$E,'Stock Adjustment'!$B:$B,$A138,'Stock Adjustment'!$D:$D,"Customer Returned")</f>
        <v>0</v>
      </c>
      <c r="H138" s="50">
        <f>SUMIF('Daily Sales Entry'!$D:$D,B138,'Daily Sales Entry'!$G:$G)</f>
        <v>0</v>
      </c>
      <c r="I138" s="50">
        <f>SUMIFS('Stock Adjustment'!$E:$E,'Stock Adjustment'!$B:$B,$A138,'Stock Adjustment'!$D:$D,"Staff Consumption")</f>
        <v>0</v>
      </c>
      <c r="J138" s="50">
        <f>SUMIFS('Stock Adjustment'!$E:$E,'Stock Adjustment'!$B:$B,$A138,'Stock Adjustment'!$D:$D,"Damaged")</f>
        <v>0</v>
      </c>
      <c r="K138" s="50">
        <f>SUMIFS('Stock Adjustment'!$E:$E,'Stock Adjustment'!$B:$B,$A138,'Stock Adjustment'!$D:$D,"Expired")</f>
        <v>0</v>
      </c>
      <c r="L138" s="50">
        <f>SUMIFS('Stock Adjustment'!$E:$E,'Stock Adjustment'!$B:$B,$A138,'Stock Adjustment'!$D:$D,"Supplier Returned")</f>
        <v>0</v>
      </c>
      <c r="M1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8" s="53" t="str">
        <f>IF(B138="","",VLOOKUP(B138,'Product Master'!$B:$G,4,FALSE))</f>
        <v/>
      </c>
      <c r="O138" s="53" t="str">
        <f>IF(B138="","",VLOOKUP(B138,'Product Master'!$B:$G,5,FALSE))</f>
        <v/>
      </c>
      <c r="P138" s="50" t="str">
        <f>IF(B138="","",VLOOKUP(B138,'Product Master'!$B:$I,7,FALSE))</f>
        <v/>
      </c>
      <c r="Q138" s="158"/>
      <c r="R138" s="58" t="str">
        <f t="shared" si="2"/>
        <v/>
      </c>
      <c r="S138" s="25"/>
      <c r="T138" s="25"/>
      <c r="U138" s="25"/>
      <c r="V138" s="25"/>
      <c r="W138" s="25"/>
      <c r="X138" s="25"/>
    </row>
    <row r="139" spans="1:24" x14ac:dyDescent="0.25">
      <c r="A139" s="31" t="s">
        <v>699</v>
      </c>
      <c r="B139" s="32"/>
      <c r="C139" s="50" t="str">
        <f>IF(B139="","",VLOOKUP(B139,'Product Master'!$B:$G,2,FALSE))</f>
        <v/>
      </c>
      <c r="D139" s="50" t="str">
        <f>IF(B139="","",VLOOKUP(B139,'Product Master'!$B:$G,3,FALSE))</f>
        <v/>
      </c>
      <c r="E139" s="50"/>
      <c r="F139" s="50">
        <f>SUMIF('Stock Purchase'!$D:$D,B139,'Stock Purchase'!$F:$F)</f>
        <v>0</v>
      </c>
      <c r="G139" s="50">
        <f>SUMIFS('Stock Adjustment'!$E:$E,'Stock Adjustment'!$B:$B,$A139,'Stock Adjustment'!$D:$D,"Customer Returned")</f>
        <v>0</v>
      </c>
      <c r="H139" s="50">
        <f>SUMIF('Daily Sales Entry'!$D:$D,B139,'Daily Sales Entry'!$G:$G)</f>
        <v>0</v>
      </c>
      <c r="I139" s="50">
        <f>SUMIFS('Stock Adjustment'!$E:$E,'Stock Adjustment'!$B:$B,$A139,'Stock Adjustment'!$D:$D,"Staff Consumption")</f>
        <v>0</v>
      </c>
      <c r="J139" s="50">
        <f>SUMIFS('Stock Adjustment'!$E:$E,'Stock Adjustment'!$B:$B,$A139,'Stock Adjustment'!$D:$D,"Damaged")</f>
        <v>0</v>
      </c>
      <c r="K139" s="50">
        <f>SUMIFS('Stock Adjustment'!$E:$E,'Stock Adjustment'!$B:$B,$A139,'Stock Adjustment'!$D:$D,"Expired")</f>
        <v>0</v>
      </c>
      <c r="L139" s="50">
        <f>SUMIFS('Stock Adjustment'!$E:$E,'Stock Adjustment'!$B:$B,$A139,'Stock Adjustment'!$D:$D,"Supplier Returned")</f>
        <v>0</v>
      </c>
      <c r="M1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39" s="53" t="str">
        <f>IF(B139="","",VLOOKUP(B139,'Product Master'!$B:$G,4,FALSE))</f>
        <v/>
      </c>
      <c r="O139" s="53" t="str">
        <f>IF(B139="","",VLOOKUP(B139,'Product Master'!$B:$G,5,FALSE))</f>
        <v/>
      </c>
      <c r="P139" s="50" t="str">
        <f>IF(B139="","",VLOOKUP(B139,'Product Master'!$B:$I,7,FALSE))</f>
        <v/>
      </c>
      <c r="Q139" s="158"/>
      <c r="R139" s="58" t="str">
        <f t="shared" si="2"/>
        <v/>
      </c>
      <c r="S139" s="25"/>
      <c r="T139" s="25"/>
      <c r="U139" s="25"/>
      <c r="V139" s="25"/>
      <c r="W139" s="25"/>
      <c r="X139" s="25"/>
    </row>
    <row r="140" spans="1:24" x14ac:dyDescent="0.25">
      <c r="A140" s="31" t="s">
        <v>700</v>
      </c>
      <c r="B140" s="32"/>
      <c r="C140" s="50" t="str">
        <f>IF(B140="","",VLOOKUP(B140,'Product Master'!$B:$G,2,FALSE))</f>
        <v/>
      </c>
      <c r="D140" s="50" t="str">
        <f>IF(B140="","",VLOOKUP(B140,'Product Master'!$B:$G,3,FALSE))</f>
        <v/>
      </c>
      <c r="E140" s="50"/>
      <c r="F140" s="50">
        <f>SUMIF('Stock Purchase'!$D:$D,B140,'Stock Purchase'!$F:$F)</f>
        <v>0</v>
      </c>
      <c r="G140" s="50">
        <f>SUMIFS('Stock Adjustment'!$E:$E,'Stock Adjustment'!$B:$B,$A140,'Stock Adjustment'!$D:$D,"Customer Returned")</f>
        <v>0</v>
      </c>
      <c r="H140" s="50">
        <f>SUMIF('Daily Sales Entry'!$D:$D,B140,'Daily Sales Entry'!$G:$G)</f>
        <v>0</v>
      </c>
      <c r="I140" s="50">
        <f>SUMIFS('Stock Adjustment'!$E:$E,'Stock Adjustment'!$B:$B,$A140,'Stock Adjustment'!$D:$D,"Staff Consumption")</f>
        <v>0</v>
      </c>
      <c r="J140" s="50">
        <f>SUMIFS('Stock Adjustment'!$E:$E,'Stock Adjustment'!$B:$B,$A140,'Stock Adjustment'!$D:$D,"Damaged")</f>
        <v>0</v>
      </c>
      <c r="K140" s="50">
        <f>SUMIFS('Stock Adjustment'!$E:$E,'Stock Adjustment'!$B:$B,$A140,'Stock Adjustment'!$D:$D,"Expired")</f>
        <v>0</v>
      </c>
      <c r="L140" s="50">
        <f>SUMIFS('Stock Adjustment'!$E:$E,'Stock Adjustment'!$B:$B,$A140,'Stock Adjustment'!$D:$D,"Supplier Returned")</f>
        <v>0</v>
      </c>
      <c r="M1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0" s="53" t="str">
        <f>IF(B140="","",VLOOKUP(B140,'Product Master'!$B:$G,4,FALSE))</f>
        <v/>
      </c>
      <c r="O140" s="53" t="str">
        <f>IF(B140="","",VLOOKUP(B140,'Product Master'!$B:$G,5,FALSE))</f>
        <v/>
      </c>
      <c r="P140" s="50" t="str">
        <f>IF(B140="","",VLOOKUP(B140,'Product Master'!$B:$I,7,FALSE))</f>
        <v/>
      </c>
      <c r="Q140" s="158"/>
      <c r="R140" s="58" t="str">
        <f t="shared" si="2"/>
        <v/>
      </c>
      <c r="S140" s="25"/>
      <c r="T140" s="25"/>
      <c r="U140" s="25"/>
      <c r="V140" s="25"/>
      <c r="W140" s="25"/>
      <c r="X140" s="25"/>
    </row>
    <row r="141" spans="1:24" x14ac:dyDescent="0.25">
      <c r="A141" s="31" t="s">
        <v>701</v>
      </c>
      <c r="B141" s="32"/>
      <c r="C141" s="50" t="str">
        <f>IF(B141="","",VLOOKUP(B141,'Product Master'!$B:$G,2,FALSE))</f>
        <v/>
      </c>
      <c r="D141" s="50" t="str">
        <f>IF(B141="","",VLOOKUP(B141,'Product Master'!$B:$G,3,FALSE))</f>
        <v/>
      </c>
      <c r="E141" s="50"/>
      <c r="F141" s="50">
        <f>SUMIF('Stock Purchase'!$D:$D,B141,'Stock Purchase'!$F:$F)</f>
        <v>0</v>
      </c>
      <c r="G141" s="50">
        <f>SUMIFS('Stock Adjustment'!$E:$E,'Stock Adjustment'!$B:$B,$A141,'Stock Adjustment'!$D:$D,"Customer Returned")</f>
        <v>0</v>
      </c>
      <c r="H141" s="50">
        <f>SUMIF('Daily Sales Entry'!$D:$D,B141,'Daily Sales Entry'!$G:$G)</f>
        <v>0</v>
      </c>
      <c r="I141" s="50">
        <f>SUMIFS('Stock Adjustment'!$E:$E,'Stock Adjustment'!$B:$B,$A141,'Stock Adjustment'!$D:$D,"Staff Consumption")</f>
        <v>0</v>
      </c>
      <c r="J141" s="50">
        <f>SUMIFS('Stock Adjustment'!$E:$E,'Stock Adjustment'!$B:$B,$A141,'Stock Adjustment'!$D:$D,"Damaged")</f>
        <v>0</v>
      </c>
      <c r="K141" s="50">
        <f>SUMIFS('Stock Adjustment'!$E:$E,'Stock Adjustment'!$B:$B,$A141,'Stock Adjustment'!$D:$D,"Expired")</f>
        <v>0</v>
      </c>
      <c r="L141" s="50">
        <f>SUMIFS('Stock Adjustment'!$E:$E,'Stock Adjustment'!$B:$B,$A141,'Stock Adjustment'!$D:$D,"Supplier Returned")</f>
        <v>0</v>
      </c>
      <c r="M1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1" s="53" t="str">
        <f>IF(B141="","",VLOOKUP(B141,'Product Master'!$B:$G,4,FALSE))</f>
        <v/>
      </c>
      <c r="O141" s="53" t="str">
        <f>IF(B141="","",VLOOKUP(B141,'Product Master'!$B:$G,5,FALSE))</f>
        <v/>
      </c>
      <c r="P141" s="50" t="str">
        <f>IF(B141="","",VLOOKUP(B141,'Product Master'!$B:$I,7,FALSE))</f>
        <v/>
      </c>
      <c r="Q141" s="158"/>
      <c r="R141" s="58" t="str">
        <f t="shared" si="2"/>
        <v/>
      </c>
      <c r="S141" s="25"/>
      <c r="T141" s="25"/>
      <c r="U141" s="25"/>
      <c r="V141" s="25"/>
      <c r="W141" s="25"/>
      <c r="X141" s="25"/>
    </row>
    <row r="142" spans="1:24" x14ac:dyDescent="0.25">
      <c r="A142" s="31" t="s">
        <v>702</v>
      </c>
      <c r="B142" s="32"/>
      <c r="C142" s="50" t="str">
        <f>IF(B142="","",VLOOKUP(B142,'Product Master'!$B:$G,2,FALSE))</f>
        <v/>
      </c>
      <c r="D142" s="50" t="str">
        <f>IF(B142="","",VLOOKUP(B142,'Product Master'!$B:$G,3,FALSE))</f>
        <v/>
      </c>
      <c r="E142" s="50"/>
      <c r="F142" s="50">
        <f>SUMIF('Stock Purchase'!$D:$D,B142,'Stock Purchase'!$F:$F)</f>
        <v>0</v>
      </c>
      <c r="G142" s="50">
        <f>SUMIFS('Stock Adjustment'!$E:$E,'Stock Adjustment'!$B:$B,$A142,'Stock Adjustment'!$D:$D,"Customer Returned")</f>
        <v>0</v>
      </c>
      <c r="H142" s="50">
        <f>SUMIF('Daily Sales Entry'!$D:$D,B142,'Daily Sales Entry'!$G:$G)</f>
        <v>0</v>
      </c>
      <c r="I142" s="50">
        <f>SUMIFS('Stock Adjustment'!$E:$E,'Stock Adjustment'!$B:$B,$A142,'Stock Adjustment'!$D:$D,"Staff Consumption")</f>
        <v>0</v>
      </c>
      <c r="J142" s="50">
        <f>SUMIFS('Stock Adjustment'!$E:$E,'Stock Adjustment'!$B:$B,$A142,'Stock Adjustment'!$D:$D,"Damaged")</f>
        <v>0</v>
      </c>
      <c r="K142" s="50">
        <f>SUMIFS('Stock Adjustment'!$E:$E,'Stock Adjustment'!$B:$B,$A142,'Stock Adjustment'!$D:$D,"Expired")</f>
        <v>0</v>
      </c>
      <c r="L142" s="50">
        <f>SUMIFS('Stock Adjustment'!$E:$E,'Stock Adjustment'!$B:$B,$A142,'Stock Adjustment'!$D:$D,"Supplier Returned")</f>
        <v>0</v>
      </c>
      <c r="M1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2" s="53" t="str">
        <f>IF(B142="","",VLOOKUP(B142,'Product Master'!$B:$G,4,FALSE))</f>
        <v/>
      </c>
      <c r="O142" s="53" t="str">
        <f>IF(B142="","",VLOOKUP(B142,'Product Master'!$B:$G,5,FALSE))</f>
        <v/>
      </c>
      <c r="P142" s="50" t="str">
        <f>IF(B142="","",VLOOKUP(B142,'Product Master'!$B:$I,7,FALSE))</f>
        <v/>
      </c>
      <c r="Q142" s="158"/>
      <c r="R142" s="58" t="str">
        <f t="shared" si="2"/>
        <v/>
      </c>
      <c r="S142" s="25"/>
      <c r="T142" s="25"/>
      <c r="U142" s="25"/>
      <c r="V142" s="25"/>
      <c r="W142" s="25"/>
      <c r="X142" s="25"/>
    </row>
    <row r="143" spans="1:24" x14ac:dyDescent="0.25">
      <c r="A143" s="31" t="s">
        <v>703</v>
      </c>
      <c r="B143" s="32"/>
      <c r="C143" s="50" t="str">
        <f>IF(B143="","",VLOOKUP(B143,'Product Master'!$B:$G,2,FALSE))</f>
        <v/>
      </c>
      <c r="D143" s="50" t="str">
        <f>IF(B143="","",VLOOKUP(B143,'Product Master'!$B:$G,3,FALSE))</f>
        <v/>
      </c>
      <c r="E143" s="50"/>
      <c r="F143" s="50">
        <f>SUMIF('Stock Purchase'!$D:$D,B143,'Stock Purchase'!$F:$F)</f>
        <v>0</v>
      </c>
      <c r="G143" s="50">
        <f>SUMIFS('Stock Adjustment'!$E:$E,'Stock Adjustment'!$B:$B,$A143,'Stock Adjustment'!$D:$D,"Customer Returned")</f>
        <v>0</v>
      </c>
      <c r="H143" s="50">
        <f>SUMIF('Daily Sales Entry'!$D:$D,B143,'Daily Sales Entry'!$G:$G)</f>
        <v>0</v>
      </c>
      <c r="I143" s="50">
        <f>SUMIFS('Stock Adjustment'!$E:$E,'Stock Adjustment'!$B:$B,$A143,'Stock Adjustment'!$D:$D,"Staff Consumption")</f>
        <v>0</v>
      </c>
      <c r="J143" s="50">
        <f>SUMIFS('Stock Adjustment'!$E:$E,'Stock Adjustment'!$B:$B,$A143,'Stock Adjustment'!$D:$D,"Damaged")</f>
        <v>0</v>
      </c>
      <c r="K143" s="50">
        <f>SUMIFS('Stock Adjustment'!$E:$E,'Stock Adjustment'!$B:$B,$A143,'Stock Adjustment'!$D:$D,"Expired")</f>
        <v>0</v>
      </c>
      <c r="L143" s="50">
        <f>SUMIFS('Stock Adjustment'!$E:$E,'Stock Adjustment'!$B:$B,$A143,'Stock Adjustment'!$D:$D,"Supplier Returned")</f>
        <v>0</v>
      </c>
      <c r="M1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3" s="53" t="str">
        <f>IF(B143="","",VLOOKUP(B143,'Product Master'!$B:$G,4,FALSE))</f>
        <v/>
      </c>
      <c r="O143" s="53" t="str">
        <f>IF(B143="","",VLOOKUP(B143,'Product Master'!$B:$G,5,FALSE))</f>
        <v/>
      </c>
      <c r="P143" s="50" t="str">
        <f>IF(B143="","",VLOOKUP(B143,'Product Master'!$B:$I,7,FALSE))</f>
        <v/>
      </c>
      <c r="Q143" s="158"/>
      <c r="R143" s="58" t="str">
        <f t="shared" si="2"/>
        <v/>
      </c>
      <c r="S143" s="25"/>
      <c r="T143" s="25"/>
      <c r="U143" s="25"/>
      <c r="V143" s="25"/>
      <c r="W143" s="25"/>
      <c r="X143" s="25"/>
    </row>
    <row r="144" spans="1:24" x14ac:dyDescent="0.25">
      <c r="A144" s="31" t="s">
        <v>704</v>
      </c>
      <c r="B144" s="32"/>
      <c r="C144" s="50" t="str">
        <f>IF(B144="","",VLOOKUP(B144,'Product Master'!$B:$G,2,FALSE))</f>
        <v/>
      </c>
      <c r="D144" s="50" t="str">
        <f>IF(B144="","",VLOOKUP(B144,'Product Master'!$B:$G,3,FALSE))</f>
        <v/>
      </c>
      <c r="E144" s="50"/>
      <c r="F144" s="50">
        <f>SUMIF('Stock Purchase'!$D:$D,B144,'Stock Purchase'!$F:$F)</f>
        <v>0</v>
      </c>
      <c r="G144" s="50">
        <f>SUMIFS('Stock Adjustment'!$E:$E,'Stock Adjustment'!$B:$B,$A144,'Stock Adjustment'!$D:$D,"Customer Returned")</f>
        <v>0</v>
      </c>
      <c r="H144" s="50">
        <f>SUMIF('Daily Sales Entry'!$D:$D,B144,'Daily Sales Entry'!$G:$G)</f>
        <v>0</v>
      </c>
      <c r="I144" s="50">
        <f>SUMIFS('Stock Adjustment'!$E:$E,'Stock Adjustment'!$B:$B,$A144,'Stock Adjustment'!$D:$D,"Staff Consumption")</f>
        <v>0</v>
      </c>
      <c r="J144" s="50">
        <f>SUMIFS('Stock Adjustment'!$E:$E,'Stock Adjustment'!$B:$B,$A144,'Stock Adjustment'!$D:$D,"Damaged")</f>
        <v>0</v>
      </c>
      <c r="K144" s="50">
        <f>SUMIFS('Stock Adjustment'!$E:$E,'Stock Adjustment'!$B:$B,$A144,'Stock Adjustment'!$D:$D,"Expired")</f>
        <v>0</v>
      </c>
      <c r="L144" s="50">
        <f>SUMIFS('Stock Adjustment'!$E:$E,'Stock Adjustment'!$B:$B,$A144,'Stock Adjustment'!$D:$D,"Supplier Returned")</f>
        <v>0</v>
      </c>
      <c r="M1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4" s="53" t="str">
        <f>IF(B144="","",VLOOKUP(B144,'Product Master'!$B:$G,4,FALSE))</f>
        <v/>
      </c>
      <c r="O144" s="53" t="str">
        <f>IF(B144="","",VLOOKUP(B144,'Product Master'!$B:$G,5,FALSE))</f>
        <v/>
      </c>
      <c r="P144" s="50" t="str">
        <f>IF(B144="","",VLOOKUP(B144,'Product Master'!$B:$I,7,FALSE))</f>
        <v/>
      </c>
      <c r="Q144" s="158"/>
      <c r="R144" s="58" t="str">
        <f t="shared" si="2"/>
        <v/>
      </c>
      <c r="S144" s="25"/>
      <c r="T144" s="25"/>
      <c r="U144" s="25"/>
      <c r="V144" s="25"/>
      <c r="W144" s="25"/>
      <c r="X144" s="25"/>
    </row>
    <row r="145" spans="1:24" x14ac:dyDescent="0.25">
      <c r="A145" s="31" t="s">
        <v>705</v>
      </c>
      <c r="B145" s="32"/>
      <c r="C145" s="50" t="str">
        <f>IF(B145="","",VLOOKUP(B145,'Product Master'!$B:$G,2,FALSE))</f>
        <v/>
      </c>
      <c r="D145" s="50" t="str">
        <f>IF(B145="","",VLOOKUP(B145,'Product Master'!$B:$G,3,FALSE))</f>
        <v/>
      </c>
      <c r="E145" s="50"/>
      <c r="F145" s="50">
        <f>SUMIF('Stock Purchase'!$D:$D,B145,'Stock Purchase'!$F:$F)</f>
        <v>0</v>
      </c>
      <c r="G145" s="50">
        <f>SUMIFS('Stock Adjustment'!$E:$E,'Stock Adjustment'!$B:$B,$A145,'Stock Adjustment'!$D:$D,"Customer Returned")</f>
        <v>0</v>
      </c>
      <c r="H145" s="50">
        <f>SUMIF('Daily Sales Entry'!$D:$D,B145,'Daily Sales Entry'!$G:$G)</f>
        <v>0</v>
      </c>
      <c r="I145" s="50">
        <f>SUMIFS('Stock Adjustment'!$E:$E,'Stock Adjustment'!$B:$B,$A145,'Stock Adjustment'!$D:$D,"Staff Consumption")</f>
        <v>0</v>
      </c>
      <c r="J145" s="50">
        <f>SUMIFS('Stock Adjustment'!$E:$E,'Stock Adjustment'!$B:$B,$A145,'Stock Adjustment'!$D:$D,"Damaged")</f>
        <v>0</v>
      </c>
      <c r="K145" s="50">
        <f>SUMIFS('Stock Adjustment'!$E:$E,'Stock Adjustment'!$B:$B,$A145,'Stock Adjustment'!$D:$D,"Expired")</f>
        <v>0</v>
      </c>
      <c r="L145" s="50">
        <f>SUMIFS('Stock Adjustment'!$E:$E,'Stock Adjustment'!$B:$B,$A145,'Stock Adjustment'!$D:$D,"Supplier Returned")</f>
        <v>0</v>
      </c>
      <c r="M1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5" s="53" t="str">
        <f>IF(B145="","",VLOOKUP(B145,'Product Master'!$B:$G,4,FALSE))</f>
        <v/>
      </c>
      <c r="O145" s="53" t="str">
        <f>IF(B145="","",VLOOKUP(B145,'Product Master'!$B:$G,5,FALSE))</f>
        <v/>
      </c>
      <c r="P145" s="50" t="str">
        <f>IF(B145="","",VLOOKUP(B145,'Product Master'!$B:$I,7,FALSE))</f>
        <v/>
      </c>
      <c r="Q145" s="158"/>
      <c r="R145" s="58" t="str">
        <f t="shared" si="2"/>
        <v/>
      </c>
      <c r="S145" s="25"/>
      <c r="T145" s="25"/>
      <c r="U145" s="25"/>
      <c r="V145" s="25"/>
      <c r="W145" s="25"/>
      <c r="X145" s="25"/>
    </row>
    <row r="146" spans="1:24" x14ac:dyDescent="0.25">
      <c r="A146" s="31" t="s">
        <v>706</v>
      </c>
      <c r="B146" s="32"/>
      <c r="C146" s="50" t="str">
        <f>IF(B146="","",VLOOKUP(B146,'Product Master'!$B:$G,2,FALSE))</f>
        <v/>
      </c>
      <c r="D146" s="50" t="str">
        <f>IF(B146="","",VLOOKUP(B146,'Product Master'!$B:$G,3,FALSE))</f>
        <v/>
      </c>
      <c r="E146" s="50"/>
      <c r="F146" s="50">
        <f>SUMIF('Stock Purchase'!$D:$D,B146,'Stock Purchase'!$F:$F)</f>
        <v>0</v>
      </c>
      <c r="G146" s="50">
        <f>SUMIFS('Stock Adjustment'!$E:$E,'Stock Adjustment'!$B:$B,$A146,'Stock Adjustment'!$D:$D,"Customer Returned")</f>
        <v>0</v>
      </c>
      <c r="H146" s="50">
        <f>SUMIF('Daily Sales Entry'!$D:$D,B146,'Daily Sales Entry'!$G:$G)</f>
        <v>0</v>
      </c>
      <c r="I146" s="50">
        <f>SUMIFS('Stock Adjustment'!$E:$E,'Stock Adjustment'!$B:$B,$A146,'Stock Adjustment'!$D:$D,"Staff Consumption")</f>
        <v>0</v>
      </c>
      <c r="J146" s="50">
        <f>SUMIFS('Stock Adjustment'!$E:$E,'Stock Adjustment'!$B:$B,$A146,'Stock Adjustment'!$D:$D,"Damaged")</f>
        <v>0</v>
      </c>
      <c r="K146" s="50">
        <f>SUMIFS('Stock Adjustment'!$E:$E,'Stock Adjustment'!$B:$B,$A146,'Stock Adjustment'!$D:$D,"Expired")</f>
        <v>0</v>
      </c>
      <c r="L146" s="50">
        <f>SUMIFS('Stock Adjustment'!$E:$E,'Stock Adjustment'!$B:$B,$A146,'Stock Adjustment'!$D:$D,"Supplier Returned")</f>
        <v>0</v>
      </c>
      <c r="M1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6" s="53" t="str">
        <f>IF(B146="","",VLOOKUP(B146,'Product Master'!$B:$G,4,FALSE))</f>
        <v/>
      </c>
      <c r="O146" s="53" t="str">
        <f>IF(B146="","",VLOOKUP(B146,'Product Master'!$B:$G,5,FALSE))</f>
        <v/>
      </c>
      <c r="P146" s="50" t="str">
        <f>IF(B146="","",VLOOKUP(B146,'Product Master'!$B:$I,7,FALSE))</f>
        <v/>
      </c>
      <c r="Q146" s="158"/>
      <c r="R146" s="58" t="str">
        <f t="shared" si="2"/>
        <v/>
      </c>
      <c r="S146" s="25"/>
      <c r="T146" s="25"/>
      <c r="U146" s="25"/>
      <c r="V146" s="25"/>
      <c r="W146" s="25"/>
      <c r="X146" s="25"/>
    </row>
    <row r="147" spans="1:24" x14ac:dyDescent="0.25">
      <c r="A147" s="31" t="s">
        <v>707</v>
      </c>
      <c r="B147" s="32"/>
      <c r="C147" s="50" t="str">
        <f>IF(B147="","",VLOOKUP(B147,'Product Master'!$B:$G,2,FALSE))</f>
        <v/>
      </c>
      <c r="D147" s="50" t="str">
        <f>IF(B147="","",VLOOKUP(B147,'Product Master'!$B:$G,3,FALSE))</f>
        <v/>
      </c>
      <c r="E147" s="50"/>
      <c r="F147" s="50">
        <f>SUMIF('Stock Purchase'!$D:$D,B147,'Stock Purchase'!$F:$F)</f>
        <v>0</v>
      </c>
      <c r="G147" s="50">
        <f>SUMIFS('Stock Adjustment'!$E:$E,'Stock Adjustment'!$B:$B,$A147,'Stock Adjustment'!$D:$D,"Customer Returned")</f>
        <v>0</v>
      </c>
      <c r="H147" s="50">
        <f>SUMIF('Daily Sales Entry'!$D:$D,B147,'Daily Sales Entry'!$G:$G)</f>
        <v>0</v>
      </c>
      <c r="I147" s="50">
        <f>SUMIFS('Stock Adjustment'!$E:$E,'Stock Adjustment'!$B:$B,$A147,'Stock Adjustment'!$D:$D,"Staff Consumption")</f>
        <v>0</v>
      </c>
      <c r="J147" s="50">
        <f>SUMIFS('Stock Adjustment'!$E:$E,'Stock Adjustment'!$B:$B,$A147,'Stock Adjustment'!$D:$D,"Damaged")</f>
        <v>0</v>
      </c>
      <c r="K147" s="50">
        <f>SUMIFS('Stock Adjustment'!$E:$E,'Stock Adjustment'!$B:$B,$A147,'Stock Adjustment'!$D:$D,"Expired")</f>
        <v>0</v>
      </c>
      <c r="L147" s="50">
        <f>SUMIFS('Stock Adjustment'!$E:$E,'Stock Adjustment'!$B:$B,$A147,'Stock Adjustment'!$D:$D,"Supplier Returned")</f>
        <v>0</v>
      </c>
      <c r="M1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7" s="53" t="str">
        <f>IF(B147="","",VLOOKUP(B147,'Product Master'!$B:$G,4,FALSE))</f>
        <v/>
      </c>
      <c r="O147" s="53" t="str">
        <f>IF(B147="","",VLOOKUP(B147,'Product Master'!$B:$G,5,FALSE))</f>
        <v/>
      </c>
      <c r="P147" s="50" t="str">
        <f>IF(B147="","",VLOOKUP(B147,'Product Master'!$B:$I,7,FALSE))</f>
        <v/>
      </c>
      <c r="Q147" s="158"/>
      <c r="R147" s="58" t="str">
        <f t="shared" si="2"/>
        <v/>
      </c>
      <c r="S147" s="25"/>
      <c r="T147" s="25"/>
      <c r="U147" s="25"/>
      <c r="V147" s="25"/>
      <c r="W147" s="25"/>
      <c r="X147" s="25"/>
    </row>
    <row r="148" spans="1:24" x14ac:dyDescent="0.25">
      <c r="A148" s="31" t="s">
        <v>708</v>
      </c>
      <c r="B148" s="32"/>
      <c r="C148" s="50" t="str">
        <f>IF(B148="","",VLOOKUP(B148,'Product Master'!$B:$G,2,FALSE))</f>
        <v/>
      </c>
      <c r="D148" s="50" t="str">
        <f>IF(B148="","",VLOOKUP(B148,'Product Master'!$B:$G,3,FALSE))</f>
        <v/>
      </c>
      <c r="E148" s="50"/>
      <c r="F148" s="50">
        <f>SUMIF('Stock Purchase'!$D:$D,B148,'Stock Purchase'!$F:$F)</f>
        <v>0</v>
      </c>
      <c r="G148" s="50">
        <f>SUMIFS('Stock Adjustment'!$E:$E,'Stock Adjustment'!$B:$B,$A148,'Stock Adjustment'!$D:$D,"Customer Returned")</f>
        <v>0</v>
      </c>
      <c r="H148" s="50">
        <f>SUMIF('Daily Sales Entry'!$D:$D,B148,'Daily Sales Entry'!$G:$G)</f>
        <v>0</v>
      </c>
      <c r="I148" s="50">
        <f>SUMIFS('Stock Adjustment'!$E:$E,'Stock Adjustment'!$B:$B,$A148,'Stock Adjustment'!$D:$D,"Staff Consumption")</f>
        <v>0</v>
      </c>
      <c r="J148" s="50">
        <f>SUMIFS('Stock Adjustment'!$E:$E,'Stock Adjustment'!$B:$B,$A148,'Stock Adjustment'!$D:$D,"Damaged")</f>
        <v>0</v>
      </c>
      <c r="K148" s="50">
        <f>SUMIFS('Stock Adjustment'!$E:$E,'Stock Adjustment'!$B:$B,$A148,'Stock Adjustment'!$D:$D,"Expired")</f>
        <v>0</v>
      </c>
      <c r="L148" s="50">
        <f>SUMIFS('Stock Adjustment'!$E:$E,'Stock Adjustment'!$B:$B,$A148,'Stock Adjustment'!$D:$D,"Supplier Returned")</f>
        <v>0</v>
      </c>
      <c r="M1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8" s="53" t="str">
        <f>IF(B148="","",VLOOKUP(B148,'Product Master'!$B:$G,4,FALSE))</f>
        <v/>
      </c>
      <c r="O148" s="53" t="str">
        <f>IF(B148="","",VLOOKUP(B148,'Product Master'!$B:$G,5,FALSE))</f>
        <v/>
      </c>
      <c r="P148" s="50" t="str">
        <f>IF(B148="","",VLOOKUP(B148,'Product Master'!$B:$I,7,FALSE))</f>
        <v/>
      </c>
      <c r="Q148" s="158"/>
      <c r="R148" s="58" t="str">
        <f t="shared" si="2"/>
        <v/>
      </c>
      <c r="S148" s="25"/>
      <c r="T148" s="25"/>
      <c r="U148" s="25"/>
      <c r="V148" s="25"/>
      <c r="W148" s="25"/>
      <c r="X148" s="25"/>
    </row>
    <row r="149" spans="1:24" x14ac:dyDescent="0.25">
      <c r="A149" s="31" t="s">
        <v>709</v>
      </c>
      <c r="B149" s="32"/>
      <c r="C149" s="50" t="str">
        <f>IF(B149="","",VLOOKUP(B149,'Product Master'!$B:$G,2,FALSE))</f>
        <v/>
      </c>
      <c r="D149" s="50" t="str">
        <f>IF(B149="","",VLOOKUP(B149,'Product Master'!$B:$G,3,FALSE))</f>
        <v/>
      </c>
      <c r="E149" s="50"/>
      <c r="F149" s="50">
        <f>SUMIF('Stock Purchase'!$D:$D,B149,'Stock Purchase'!$F:$F)</f>
        <v>0</v>
      </c>
      <c r="G149" s="50">
        <f>SUMIFS('Stock Adjustment'!$E:$E,'Stock Adjustment'!$B:$B,$A149,'Stock Adjustment'!$D:$D,"Customer Returned")</f>
        <v>0</v>
      </c>
      <c r="H149" s="50">
        <f>SUMIF('Daily Sales Entry'!$D:$D,B149,'Daily Sales Entry'!$G:$G)</f>
        <v>0</v>
      </c>
      <c r="I149" s="50">
        <f>SUMIFS('Stock Adjustment'!$E:$E,'Stock Adjustment'!$B:$B,$A149,'Stock Adjustment'!$D:$D,"Staff Consumption")</f>
        <v>0</v>
      </c>
      <c r="J149" s="50">
        <f>SUMIFS('Stock Adjustment'!$E:$E,'Stock Adjustment'!$B:$B,$A149,'Stock Adjustment'!$D:$D,"Damaged")</f>
        <v>0</v>
      </c>
      <c r="K149" s="50">
        <f>SUMIFS('Stock Adjustment'!$E:$E,'Stock Adjustment'!$B:$B,$A149,'Stock Adjustment'!$D:$D,"Expired")</f>
        <v>0</v>
      </c>
      <c r="L149" s="50">
        <f>SUMIFS('Stock Adjustment'!$E:$E,'Stock Adjustment'!$B:$B,$A149,'Stock Adjustment'!$D:$D,"Supplier Returned")</f>
        <v>0</v>
      </c>
      <c r="M1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49" s="53" t="str">
        <f>IF(B149="","",VLOOKUP(B149,'Product Master'!$B:$G,4,FALSE))</f>
        <v/>
      </c>
      <c r="O149" s="53" t="str">
        <f>IF(B149="","",VLOOKUP(B149,'Product Master'!$B:$G,5,FALSE))</f>
        <v/>
      </c>
      <c r="P149" s="50" t="str">
        <f>IF(B149="","",VLOOKUP(B149,'Product Master'!$B:$I,7,FALSE))</f>
        <v/>
      </c>
      <c r="Q149" s="158"/>
      <c r="R149" s="58" t="str">
        <f t="shared" si="2"/>
        <v/>
      </c>
      <c r="S149" s="25"/>
      <c r="T149" s="25"/>
      <c r="U149" s="25"/>
      <c r="V149" s="25"/>
      <c r="W149" s="25"/>
      <c r="X149" s="25"/>
    </row>
    <row r="150" spans="1:24" x14ac:dyDescent="0.25">
      <c r="A150" s="31" t="s">
        <v>710</v>
      </c>
      <c r="B150" s="32"/>
      <c r="C150" s="50" t="str">
        <f>IF(B150="","",VLOOKUP(B150,'Product Master'!$B:$G,2,FALSE))</f>
        <v/>
      </c>
      <c r="D150" s="50" t="str">
        <f>IF(B150="","",VLOOKUP(B150,'Product Master'!$B:$G,3,FALSE))</f>
        <v/>
      </c>
      <c r="E150" s="50"/>
      <c r="F150" s="50">
        <f>SUMIF('Stock Purchase'!$D:$D,B150,'Stock Purchase'!$F:$F)</f>
        <v>0</v>
      </c>
      <c r="G150" s="50">
        <f>SUMIFS('Stock Adjustment'!$E:$E,'Stock Adjustment'!$B:$B,$A150,'Stock Adjustment'!$D:$D,"Customer Returned")</f>
        <v>0</v>
      </c>
      <c r="H150" s="50">
        <f>SUMIF('Daily Sales Entry'!$D:$D,B150,'Daily Sales Entry'!$G:$G)</f>
        <v>0</v>
      </c>
      <c r="I150" s="50">
        <f>SUMIFS('Stock Adjustment'!$E:$E,'Stock Adjustment'!$B:$B,$A150,'Stock Adjustment'!$D:$D,"Staff Consumption")</f>
        <v>0</v>
      </c>
      <c r="J150" s="50">
        <f>SUMIFS('Stock Adjustment'!$E:$E,'Stock Adjustment'!$B:$B,$A150,'Stock Adjustment'!$D:$D,"Damaged")</f>
        <v>0</v>
      </c>
      <c r="K150" s="50">
        <f>SUMIFS('Stock Adjustment'!$E:$E,'Stock Adjustment'!$B:$B,$A150,'Stock Adjustment'!$D:$D,"Expired")</f>
        <v>0</v>
      </c>
      <c r="L150" s="50">
        <f>SUMIFS('Stock Adjustment'!$E:$E,'Stock Adjustment'!$B:$B,$A150,'Stock Adjustment'!$D:$D,"Supplier Returned")</f>
        <v>0</v>
      </c>
      <c r="M1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0" s="53" t="str">
        <f>IF(B150="","",VLOOKUP(B150,'Product Master'!$B:$G,4,FALSE))</f>
        <v/>
      </c>
      <c r="O150" s="53" t="str">
        <f>IF(B150="","",VLOOKUP(B150,'Product Master'!$B:$G,5,FALSE))</f>
        <v/>
      </c>
      <c r="P150" s="50" t="str">
        <f>IF(B150="","",VLOOKUP(B150,'Product Master'!$B:$I,7,FALSE))</f>
        <v/>
      </c>
      <c r="Q150" s="158"/>
      <c r="R150" s="58" t="str">
        <f t="shared" si="2"/>
        <v/>
      </c>
      <c r="S150" s="25"/>
      <c r="T150" s="25"/>
      <c r="U150" s="25"/>
      <c r="V150" s="25"/>
      <c r="W150" s="25"/>
      <c r="X150" s="25"/>
    </row>
    <row r="151" spans="1:24" x14ac:dyDescent="0.25">
      <c r="A151" s="31" t="s">
        <v>711</v>
      </c>
      <c r="B151" s="32"/>
      <c r="C151" s="50" t="str">
        <f>IF(B151="","",VLOOKUP(B151,'Product Master'!$B:$G,2,FALSE))</f>
        <v/>
      </c>
      <c r="D151" s="50" t="str">
        <f>IF(B151="","",VLOOKUP(B151,'Product Master'!$B:$G,3,FALSE))</f>
        <v/>
      </c>
      <c r="E151" s="50"/>
      <c r="F151" s="50">
        <f>SUMIF('Stock Purchase'!$D:$D,B151,'Stock Purchase'!$F:$F)</f>
        <v>0</v>
      </c>
      <c r="G151" s="50">
        <f>SUMIFS('Stock Adjustment'!$E:$E,'Stock Adjustment'!$B:$B,$A151,'Stock Adjustment'!$D:$D,"Customer Returned")</f>
        <v>0</v>
      </c>
      <c r="H151" s="50">
        <f>SUMIF('Daily Sales Entry'!$D:$D,B151,'Daily Sales Entry'!$G:$G)</f>
        <v>0</v>
      </c>
      <c r="I151" s="50">
        <f>SUMIFS('Stock Adjustment'!$E:$E,'Stock Adjustment'!$B:$B,$A151,'Stock Adjustment'!$D:$D,"Staff Consumption")</f>
        <v>0</v>
      </c>
      <c r="J151" s="50">
        <f>SUMIFS('Stock Adjustment'!$E:$E,'Stock Adjustment'!$B:$B,$A151,'Stock Adjustment'!$D:$D,"Damaged")</f>
        <v>0</v>
      </c>
      <c r="K151" s="50">
        <f>SUMIFS('Stock Adjustment'!$E:$E,'Stock Adjustment'!$B:$B,$A151,'Stock Adjustment'!$D:$D,"Expired")</f>
        <v>0</v>
      </c>
      <c r="L151" s="50">
        <f>SUMIFS('Stock Adjustment'!$E:$E,'Stock Adjustment'!$B:$B,$A151,'Stock Adjustment'!$D:$D,"Supplier Returned")</f>
        <v>0</v>
      </c>
      <c r="M1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1" s="53" t="str">
        <f>IF(B151="","",VLOOKUP(B151,'Product Master'!$B:$G,4,FALSE))</f>
        <v/>
      </c>
      <c r="O151" s="53" t="str">
        <f>IF(B151="","",VLOOKUP(B151,'Product Master'!$B:$G,5,FALSE))</f>
        <v/>
      </c>
      <c r="P151" s="50" t="str">
        <f>IF(B151="","",VLOOKUP(B151,'Product Master'!$B:$I,7,FALSE))</f>
        <v/>
      </c>
      <c r="Q151" s="158"/>
      <c r="R151" s="58" t="str">
        <f t="shared" si="2"/>
        <v/>
      </c>
      <c r="S151" s="25"/>
      <c r="T151" s="25"/>
      <c r="U151" s="25"/>
      <c r="V151" s="25"/>
      <c r="W151" s="25"/>
      <c r="X151" s="25"/>
    </row>
    <row r="152" spans="1:24" x14ac:dyDescent="0.25">
      <c r="A152" s="31" t="s">
        <v>712</v>
      </c>
      <c r="B152" s="32"/>
      <c r="C152" s="50" t="str">
        <f>IF(B152="","",VLOOKUP(B152,'Product Master'!$B:$G,2,FALSE))</f>
        <v/>
      </c>
      <c r="D152" s="50" t="str">
        <f>IF(B152="","",VLOOKUP(B152,'Product Master'!$B:$G,3,FALSE))</f>
        <v/>
      </c>
      <c r="E152" s="50"/>
      <c r="F152" s="50">
        <f>SUMIF('Stock Purchase'!$D:$D,B152,'Stock Purchase'!$F:$F)</f>
        <v>0</v>
      </c>
      <c r="G152" s="50">
        <f>SUMIFS('Stock Adjustment'!$E:$E,'Stock Adjustment'!$B:$B,$A152,'Stock Adjustment'!$D:$D,"Customer Returned")</f>
        <v>0</v>
      </c>
      <c r="H152" s="50">
        <f>SUMIF('Daily Sales Entry'!$D:$D,B152,'Daily Sales Entry'!$G:$G)</f>
        <v>0</v>
      </c>
      <c r="I152" s="50">
        <f>SUMIFS('Stock Adjustment'!$E:$E,'Stock Adjustment'!$B:$B,$A152,'Stock Adjustment'!$D:$D,"Staff Consumption")</f>
        <v>0</v>
      </c>
      <c r="J152" s="50">
        <f>SUMIFS('Stock Adjustment'!$E:$E,'Stock Adjustment'!$B:$B,$A152,'Stock Adjustment'!$D:$D,"Damaged")</f>
        <v>0</v>
      </c>
      <c r="K152" s="50">
        <f>SUMIFS('Stock Adjustment'!$E:$E,'Stock Adjustment'!$B:$B,$A152,'Stock Adjustment'!$D:$D,"Expired")</f>
        <v>0</v>
      </c>
      <c r="L152" s="50">
        <f>SUMIFS('Stock Adjustment'!$E:$E,'Stock Adjustment'!$B:$B,$A152,'Stock Adjustment'!$D:$D,"Supplier Returned")</f>
        <v>0</v>
      </c>
      <c r="M1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2" s="53" t="str">
        <f>IF(B152="","",VLOOKUP(B152,'Product Master'!$B:$G,4,FALSE))</f>
        <v/>
      </c>
      <c r="O152" s="53" t="str">
        <f>IF(B152="","",VLOOKUP(B152,'Product Master'!$B:$G,5,FALSE))</f>
        <v/>
      </c>
      <c r="P152" s="50" t="str">
        <f>IF(B152="","",VLOOKUP(B152,'Product Master'!$B:$I,7,FALSE))</f>
        <v/>
      </c>
      <c r="Q152" s="158"/>
      <c r="R152" s="58" t="str">
        <f t="shared" si="2"/>
        <v/>
      </c>
      <c r="S152" s="25"/>
      <c r="T152" s="25"/>
      <c r="U152" s="25"/>
      <c r="V152" s="25"/>
      <c r="W152" s="25"/>
      <c r="X152" s="25"/>
    </row>
    <row r="153" spans="1:24" x14ac:dyDescent="0.25">
      <c r="A153" s="31" t="s">
        <v>713</v>
      </c>
      <c r="B153" s="32"/>
      <c r="C153" s="50" t="str">
        <f>IF(B153="","",VLOOKUP(B153,'Product Master'!$B:$G,2,FALSE))</f>
        <v/>
      </c>
      <c r="D153" s="50" t="str">
        <f>IF(B153="","",VLOOKUP(B153,'Product Master'!$B:$G,3,FALSE))</f>
        <v/>
      </c>
      <c r="E153" s="50"/>
      <c r="F153" s="50">
        <f>SUMIF('Stock Purchase'!$D:$D,B153,'Stock Purchase'!$F:$F)</f>
        <v>0</v>
      </c>
      <c r="G153" s="50">
        <f>SUMIFS('Stock Adjustment'!$E:$E,'Stock Adjustment'!$B:$B,$A153,'Stock Adjustment'!$D:$D,"Customer Returned")</f>
        <v>0</v>
      </c>
      <c r="H153" s="50">
        <f>SUMIF('Daily Sales Entry'!$D:$D,B153,'Daily Sales Entry'!$G:$G)</f>
        <v>0</v>
      </c>
      <c r="I153" s="50">
        <f>SUMIFS('Stock Adjustment'!$E:$E,'Stock Adjustment'!$B:$B,$A153,'Stock Adjustment'!$D:$D,"Staff Consumption")</f>
        <v>0</v>
      </c>
      <c r="J153" s="50">
        <f>SUMIFS('Stock Adjustment'!$E:$E,'Stock Adjustment'!$B:$B,$A153,'Stock Adjustment'!$D:$D,"Damaged")</f>
        <v>0</v>
      </c>
      <c r="K153" s="50">
        <f>SUMIFS('Stock Adjustment'!$E:$E,'Stock Adjustment'!$B:$B,$A153,'Stock Adjustment'!$D:$D,"Expired")</f>
        <v>0</v>
      </c>
      <c r="L153" s="50">
        <f>SUMIFS('Stock Adjustment'!$E:$E,'Stock Adjustment'!$B:$B,$A153,'Stock Adjustment'!$D:$D,"Supplier Returned")</f>
        <v>0</v>
      </c>
      <c r="M1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3" s="53" t="str">
        <f>IF(B153="","",VLOOKUP(B153,'Product Master'!$B:$G,4,FALSE))</f>
        <v/>
      </c>
      <c r="O153" s="53" t="str">
        <f>IF(B153="","",VLOOKUP(B153,'Product Master'!$B:$G,5,FALSE))</f>
        <v/>
      </c>
      <c r="P153" s="50" t="str">
        <f>IF(B153="","",VLOOKUP(B153,'Product Master'!$B:$I,7,FALSE))</f>
        <v/>
      </c>
      <c r="Q153" s="158"/>
      <c r="R153" s="58" t="str">
        <f t="shared" si="2"/>
        <v/>
      </c>
      <c r="S153" s="25"/>
      <c r="T153" s="25"/>
      <c r="U153" s="25"/>
      <c r="V153" s="25"/>
      <c r="W153" s="25"/>
      <c r="X153" s="25"/>
    </row>
    <row r="154" spans="1:24" x14ac:dyDescent="0.25">
      <c r="A154" s="31" t="s">
        <v>714</v>
      </c>
      <c r="B154" s="32"/>
      <c r="C154" s="50" t="str">
        <f>IF(B154="","",VLOOKUP(B154,'Product Master'!$B:$G,2,FALSE))</f>
        <v/>
      </c>
      <c r="D154" s="50" t="str">
        <f>IF(B154="","",VLOOKUP(B154,'Product Master'!$B:$G,3,FALSE))</f>
        <v/>
      </c>
      <c r="E154" s="50"/>
      <c r="F154" s="50">
        <f>SUMIF('Stock Purchase'!$D:$D,B154,'Stock Purchase'!$F:$F)</f>
        <v>0</v>
      </c>
      <c r="G154" s="50">
        <f>SUMIFS('Stock Adjustment'!$E:$E,'Stock Adjustment'!$B:$B,$A154,'Stock Adjustment'!$D:$D,"Customer Returned")</f>
        <v>0</v>
      </c>
      <c r="H154" s="50">
        <f>SUMIF('Daily Sales Entry'!$D:$D,B154,'Daily Sales Entry'!$G:$G)</f>
        <v>0</v>
      </c>
      <c r="I154" s="50">
        <f>SUMIFS('Stock Adjustment'!$E:$E,'Stock Adjustment'!$B:$B,$A154,'Stock Adjustment'!$D:$D,"Staff Consumption")</f>
        <v>0</v>
      </c>
      <c r="J154" s="50">
        <f>SUMIFS('Stock Adjustment'!$E:$E,'Stock Adjustment'!$B:$B,$A154,'Stock Adjustment'!$D:$D,"Damaged")</f>
        <v>0</v>
      </c>
      <c r="K154" s="50">
        <f>SUMIFS('Stock Adjustment'!$E:$E,'Stock Adjustment'!$B:$B,$A154,'Stock Adjustment'!$D:$D,"Expired")</f>
        <v>0</v>
      </c>
      <c r="L154" s="50">
        <f>SUMIFS('Stock Adjustment'!$E:$E,'Stock Adjustment'!$B:$B,$A154,'Stock Adjustment'!$D:$D,"Supplier Returned")</f>
        <v>0</v>
      </c>
      <c r="M1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4" s="53" t="str">
        <f>IF(B154="","",VLOOKUP(B154,'Product Master'!$B:$G,4,FALSE))</f>
        <v/>
      </c>
      <c r="O154" s="53" t="str">
        <f>IF(B154="","",VLOOKUP(B154,'Product Master'!$B:$G,5,FALSE))</f>
        <v/>
      </c>
      <c r="P154" s="50" t="str">
        <f>IF(B154="","",VLOOKUP(B154,'Product Master'!$B:$I,7,FALSE))</f>
        <v/>
      </c>
      <c r="Q154" s="158"/>
      <c r="R154" s="58" t="str">
        <f t="shared" si="2"/>
        <v/>
      </c>
      <c r="S154" s="25"/>
      <c r="T154" s="25"/>
      <c r="U154" s="25"/>
      <c r="V154" s="25"/>
      <c r="W154" s="25"/>
      <c r="X154" s="25"/>
    </row>
    <row r="155" spans="1:24" x14ac:dyDescent="0.25">
      <c r="A155" s="31" t="s">
        <v>715</v>
      </c>
      <c r="B155" s="32"/>
      <c r="C155" s="50" t="str">
        <f>IF(B155="","",VLOOKUP(B155,'Product Master'!$B:$G,2,FALSE))</f>
        <v/>
      </c>
      <c r="D155" s="50" t="str">
        <f>IF(B155="","",VLOOKUP(B155,'Product Master'!$B:$G,3,FALSE))</f>
        <v/>
      </c>
      <c r="E155" s="50"/>
      <c r="F155" s="50">
        <f>SUMIF('Stock Purchase'!$D:$D,B155,'Stock Purchase'!$F:$F)</f>
        <v>0</v>
      </c>
      <c r="G155" s="50">
        <f>SUMIFS('Stock Adjustment'!$E:$E,'Stock Adjustment'!$B:$B,$A155,'Stock Adjustment'!$D:$D,"Customer Returned")</f>
        <v>0</v>
      </c>
      <c r="H155" s="50">
        <f>SUMIF('Daily Sales Entry'!$D:$D,B155,'Daily Sales Entry'!$G:$G)</f>
        <v>0</v>
      </c>
      <c r="I155" s="50">
        <f>SUMIFS('Stock Adjustment'!$E:$E,'Stock Adjustment'!$B:$B,$A155,'Stock Adjustment'!$D:$D,"Staff Consumption")</f>
        <v>0</v>
      </c>
      <c r="J155" s="50">
        <f>SUMIFS('Stock Adjustment'!$E:$E,'Stock Adjustment'!$B:$B,$A155,'Stock Adjustment'!$D:$D,"Damaged")</f>
        <v>0</v>
      </c>
      <c r="K155" s="50">
        <f>SUMIFS('Stock Adjustment'!$E:$E,'Stock Adjustment'!$B:$B,$A155,'Stock Adjustment'!$D:$D,"Expired")</f>
        <v>0</v>
      </c>
      <c r="L155" s="50">
        <f>SUMIFS('Stock Adjustment'!$E:$E,'Stock Adjustment'!$B:$B,$A155,'Stock Adjustment'!$D:$D,"Supplier Returned")</f>
        <v>0</v>
      </c>
      <c r="M1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5" s="53" t="str">
        <f>IF(B155="","",VLOOKUP(B155,'Product Master'!$B:$G,4,FALSE))</f>
        <v/>
      </c>
      <c r="O155" s="53" t="str">
        <f>IF(B155="","",VLOOKUP(B155,'Product Master'!$B:$G,5,FALSE))</f>
        <v/>
      </c>
      <c r="P155" s="50" t="str">
        <f>IF(B155="","",VLOOKUP(B155,'Product Master'!$B:$I,7,FALSE))</f>
        <v/>
      </c>
      <c r="Q155" s="158"/>
      <c r="R155" s="58" t="str">
        <f t="shared" si="2"/>
        <v/>
      </c>
      <c r="S155" s="25"/>
      <c r="T155" s="25"/>
      <c r="U155" s="25"/>
      <c r="V155" s="25"/>
      <c r="W155" s="25"/>
      <c r="X155" s="25"/>
    </row>
    <row r="156" spans="1:24" x14ac:dyDescent="0.25">
      <c r="A156" s="31" t="s">
        <v>716</v>
      </c>
      <c r="B156" s="32"/>
      <c r="C156" s="50" t="str">
        <f>IF(B156="","",VLOOKUP(B156,'Product Master'!$B:$G,2,FALSE))</f>
        <v/>
      </c>
      <c r="D156" s="50" t="str">
        <f>IF(B156="","",VLOOKUP(B156,'Product Master'!$B:$G,3,FALSE))</f>
        <v/>
      </c>
      <c r="E156" s="50"/>
      <c r="F156" s="50">
        <f>SUMIF('Stock Purchase'!$D:$D,B156,'Stock Purchase'!$F:$F)</f>
        <v>0</v>
      </c>
      <c r="G156" s="50">
        <f>SUMIFS('Stock Adjustment'!$E:$E,'Stock Adjustment'!$B:$B,$A156,'Stock Adjustment'!$D:$D,"Customer Returned")</f>
        <v>0</v>
      </c>
      <c r="H156" s="50">
        <f>SUMIF('Daily Sales Entry'!$D:$D,B156,'Daily Sales Entry'!$G:$G)</f>
        <v>0</v>
      </c>
      <c r="I156" s="50">
        <f>SUMIFS('Stock Adjustment'!$E:$E,'Stock Adjustment'!$B:$B,$A156,'Stock Adjustment'!$D:$D,"Staff Consumption")</f>
        <v>0</v>
      </c>
      <c r="J156" s="50">
        <f>SUMIFS('Stock Adjustment'!$E:$E,'Stock Adjustment'!$B:$B,$A156,'Stock Adjustment'!$D:$D,"Damaged")</f>
        <v>0</v>
      </c>
      <c r="K156" s="50">
        <f>SUMIFS('Stock Adjustment'!$E:$E,'Stock Adjustment'!$B:$B,$A156,'Stock Adjustment'!$D:$D,"Expired")</f>
        <v>0</v>
      </c>
      <c r="L156" s="50">
        <f>SUMIFS('Stock Adjustment'!$E:$E,'Stock Adjustment'!$B:$B,$A156,'Stock Adjustment'!$D:$D,"Supplier Returned")</f>
        <v>0</v>
      </c>
      <c r="M1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6" s="53" t="str">
        <f>IF(B156="","",VLOOKUP(B156,'Product Master'!$B:$G,4,FALSE))</f>
        <v/>
      </c>
      <c r="O156" s="53" t="str">
        <f>IF(B156="","",VLOOKUP(B156,'Product Master'!$B:$G,5,FALSE))</f>
        <v/>
      </c>
      <c r="P156" s="50" t="str">
        <f>IF(B156="","",VLOOKUP(B156,'Product Master'!$B:$I,7,FALSE))</f>
        <v/>
      </c>
      <c r="Q156" s="158"/>
      <c r="R156" s="58" t="str">
        <f t="shared" si="2"/>
        <v/>
      </c>
      <c r="S156" s="25"/>
      <c r="T156" s="25"/>
      <c r="U156" s="25"/>
      <c r="V156" s="25"/>
      <c r="W156" s="25"/>
      <c r="X156" s="25"/>
    </row>
    <row r="157" spans="1:24" x14ac:dyDescent="0.25">
      <c r="A157" s="31" t="s">
        <v>717</v>
      </c>
      <c r="B157" s="32"/>
      <c r="C157" s="50" t="str">
        <f>IF(B157="","",VLOOKUP(B157,'Product Master'!$B:$G,2,FALSE))</f>
        <v/>
      </c>
      <c r="D157" s="50" t="str">
        <f>IF(B157="","",VLOOKUP(B157,'Product Master'!$B:$G,3,FALSE))</f>
        <v/>
      </c>
      <c r="E157" s="50"/>
      <c r="F157" s="50">
        <f>SUMIF('Stock Purchase'!$D:$D,B157,'Stock Purchase'!$F:$F)</f>
        <v>0</v>
      </c>
      <c r="G157" s="50">
        <f>SUMIFS('Stock Adjustment'!$E:$E,'Stock Adjustment'!$B:$B,$A157,'Stock Adjustment'!$D:$D,"Customer Returned")</f>
        <v>0</v>
      </c>
      <c r="H157" s="50">
        <f>SUMIF('Daily Sales Entry'!$D:$D,B157,'Daily Sales Entry'!$G:$G)</f>
        <v>0</v>
      </c>
      <c r="I157" s="50">
        <f>SUMIFS('Stock Adjustment'!$E:$E,'Stock Adjustment'!$B:$B,$A157,'Stock Adjustment'!$D:$D,"Staff Consumption")</f>
        <v>0</v>
      </c>
      <c r="J157" s="50">
        <f>SUMIFS('Stock Adjustment'!$E:$E,'Stock Adjustment'!$B:$B,$A157,'Stock Adjustment'!$D:$D,"Damaged")</f>
        <v>0</v>
      </c>
      <c r="K157" s="50">
        <f>SUMIFS('Stock Adjustment'!$E:$E,'Stock Adjustment'!$B:$B,$A157,'Stock Adjustment'!$D:$D,"Expired")</f>
        <v>0</v>
      </c>
      <c r="L157" s="50">
        <f>SUMIFS('Stock Adjustment'!$E:$E,'Stock Adjustment'!$B:$B,$A157,'Stock Adjustment'!$D:$D,"Supplier Returned")</f>
        <v>0</v>
      </c>
      <c r="M1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7" s="53" t="str">
        <f>IF(B157="","",VLOOKUP(B157,'Product Master'!$B:$G,4,FALSE))</f>
        <v/>
      </c>
      <c r="O157" s="53" t="str">
        <f>IF(B157="","",VLOOKUP(B157,'Product Master'!$B:$G,5,FALSE))</f>
        <v/>
      </c>
      <c r="P157" s="50" t="str">
        <f>IF(B157="","",VLOOKUP(B157,'Product Master'!$B:$I,7,FALSE))</f>
        <v/>
      </c>
      <c r="Q157" s="158"/>
      <c r="R157" s="58" t="str">
        <f t="shared" si="2"/>
        <v/>
      </c>
      <c r="S157" s="25"/>
      <c r="T157" s="25"/>
      <c r="U157" s="25"/>
      <c r="V157" s="25"/>
      <c r="W157" s="25"/>
      <c r="X157" s="25"/>
    </row>
    <row r="158" spans="1:24" x14ac:dyDescent="0.25">
      <c r="A158" s="31" t="s">
        <v>718</v>
      </c>
      <c r="B158" s="32"/>
      <c r="C158" s="50" t="str">
        <f>IF(B158="","",VLOOKUP(B158,'Product Master'!$B:$G,2,FALSE))</f>
        <v/>
      </c>
      <c r="D158" s="50" t="str">
        <f>IF(B158="","",VLOOKUP(B158,'Product Master'!$B:$G,3,FALSE))</f>
        <v/>
      </c>
      <c r="E158" s="50"/>
      <c r="F158" s="50">
        <f>SUMIF('Stock Purchase'!$D:$D,B158,'Stock Purchase'!$F:$F)</f>
        <v>0</v>
      </c>
      <c r="G158" s="50">
        <f>SUMIFS('Stock Adjustment'!$E:$E,'Stock Adjustment'!$B:$B,$A158,'Stock Adjustment'!$D:$D,"Customer Returned")</f>
        <v>0</v>
      </c>
      <c r="H158" s="50">
        <f>SUMIF('Daily Sales Entry'!$D:$D,B158,'Daily Sales Entry'!$G:$G)</f>
        <v>0</v>
      </c>
      <c r="I158" s="50">
        <f>SUMIFS('Stock Adjustment'!$E:$E,'Stock Adjustment'!$B:$B,$A158,'Stock Adjustment'!$D:$D,"Staff Consumption")</f>
        <v>0</v>
      </c>
      <c r="J158" s="50">
        <f>SUMIFS('Stock Adjustment'!$E:$E,'Stock Adjustment'!$B:$B,$A158,'Stock Adjustment'!$D:$D,"Damaged")</f>
        <v>0</v>
      </c>
      <c r="K158" s="50">
        <f>SUMIFS('Stock Adjustment'!$E:$E,'Stock Adjustment'!$B:$B,$A158,'Stock Adjustment'!$D:$D,"Expired")</f>
        <v>0</v>
      </c>
      <c r="L158" s="50">
        <f>SUMIFS('Stock Adjustment'!$E:$E,'Stock Adjustment'!$B:$B,$A158,'Stock Adjustment'!$D:$D,"Supplier Returned")</f>
        <v>0</v>
      </c>
      <c r="M1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8" s="53" t="str">
        <f>IF(B158="","",VLOOKUP(B158,'Product Master'!$B:$G,4,FALSE))</f>
        <v/>
      </c>
      <c r="O158" s="53" t="str">
        <f>IF(B158="","",VLOOKUP(B158,'Product Master'!$B:$G,5,FALSE))</f>
        <v/>
      </c>
      <c r="P158" s="50" t="str">
        <f>IF(B158="","",VLOOKUP(B158,'Product Master'!$B:$I,7,FALSE))</f>
        <v/>
      </c>
      <c r="Q158" s="158"/>
      <c r="R158" s="58" t="str">
        <f t="shared" si="2"/>
        <v/>
      </c>
      <c r="S158" s="25"/>
      <c r="T158" s="25"/>
      <c r="U158" s="25"/>
      <c r="V158" s="25"/>
      <c r="W158" s="25"/>
      <c r="X158" s="25"/>
    </row>
    <row r="159" spans="1:24" x14ac:dyDescent="0.25">
      <c r="A159" s="31" t="s">
        <v>719</v>
      </c>
      <c r="B159" s="32"/>
      <c r="C159" s="50" t="str">
        <f>IF(B159="","",VLOOKUP(B159,'Product Master'!$B:$G,2,FALSE))</f>
        <v/>
      </c>
      <c r="D159" s="50" t="str">
        <f>IF(B159="","",VLOOKUP(B159,'Product Master'!$B:$G,3,FALSE))</f>
        <v/>
      </c>
      <c r="E159" s="50"/>
      <c r="F159" s="50">
        <f>SUMIF('Stock Purchase'!$D:$D,B159,'Stock Purchase'!$F:$F)</f>
        <v>0</v>
      </c>
      <c r="G159" s="50">
        <f>SUMIFS('Stock Adjustment'!$E:$E,'Stock Adjustment'!$B:$B,$A159,'Stock Adjustment'!$D:$D,"Customer Returned")</f>
        <v>0</v>
      </c>
      <c r="H159" s="50">
        <f>SUMIF('Daily Sales Entry'!$D:$D,B159,'Daily Sales Entry'!$G:$G)</f>
        <v>0</v>
      </c>
      <c r="I159" s="50">
        <f>SUMIFS('Stock Adjustment'!$E:$E,'Stock Adjustment'!$B:$B,$A159,'Stock Adjustment'!$D:$D,"Staff Consumption")</f>
        <v>0</v>
      </c>
      <c r="J159" s="50">
        <f>SUMIFS('Stock Adjustment'!$E:$E,'Stock Adjustment'!$B:$B,$A159,'Stock Adjustment'!$D:$D,"Damaged")</f>
        <v>0</v>
      </c>
      <c r="K159" s="50">
        <f>SUMIFS('Stock Adjustment'!$E:$E,'Stock Adjustment'!$B:$B,$A159,'Stock Adjustment'!$D:$D,"Expired")</f>
        <v>0</v>
      </c>
      <c r="L159" s="50">
        <f>SUMIFS('Stock Adjustment'!$E:$E,'Stock Adjustment'!$B:$B,$A159,'Stock Adjustment'!$D:$D,"Supplier Returned")</f>
        <v>0</v>
      </c>
      <c r="M1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59" s="53" t="str">
        <f>IF(B159="","",VLOOKUP(B159,'Product Master'!$B:$G,4,FALSE))</f>
        <v/>
      </c>
      <c r="O159" s="53" t="str">
        <f>IF(B159="","",VLOOKUP(B159,'Product Master'!$B:$G,5,FALSE))</f>
        <v/>
      </c>
      <c r="P159" s="50" t="str">
        <f>IF(B159="","",VLOOKUP(B159,'Product Master'!$B:$I,7,FALSE))</f>
        <v/>
      </c>
      <c r="Q159" s="158"/>
      <c r="R159" s="58" t="str">
        <f t="shared" si="2"/>
        <v/>
      </c>
      <c r="S159" s="25"/>
      <c r="T159" s="25"/>
      <c r="U159" s="25"/>
      <c r="V159" s="25"/>
      <c r="W159" s="25"/>
      <c r="X159" s="25"/>
    </row>
    <row r="160" spans="1:24" x14ac:dyDescent="0.25">
      <c r="A160" s="31" t="s">
        <v>720</v>
      </c>
      <c r="B160" s="32"/>
      <c r="C160" s="50" t="str">
        <f>IF(B160="","",VLOOKUP(B160,'Product Master'!$B:$G,2,FALSE))</f>
        <v/>
      </c>
      <c r="D160" s="50" t="str">
        <f>IF(B160="","",VLOOKUP(B160,'Product Master'!$B:$G,3,FALSE))</f>
        <v/>
      </c>
      <c r="E160" s="50"/>
      <c r="F160" s="50">
        <f>SUMIF('Stock Purchase'!$D:$D,B160,'Stock Purchase'!$F:$F)</f>
        <v>0</v>
      </c>
      <c r="G160" s="50">
        <f>SUMIFS('Stock Adjustment'!$E:$E,'Stock Adjustment'!$B:$B,$A160,'Stock Adjustment'!$D:$D,"Customer Returned")</f>
        <v>0</v>
      </c>
      <c r="H160" s="50">
        <f>SUMIF('Daily Sales Entry'!$D:$D,B160,'Daily Sales Entry'!$G:$G)</f>
        <v>0</v>
      </c>
      <c r="I160" s="50">
        <f>SUMIFS('Stock Adjustment'!$E:$E,'Stock Adjustment'!$B:$B,$A160,'Stock Adjustment'!$D:$D,"Staff Consumption")</f>
        <v>0</v>
      </c>
      <c r="J160" s="50">
        <f>SUMIFS('Stock Adjustment'!$E:$E,'Stock Adjustment'!$B:$B,$A160,'Stock Adjustment'!$D:$D,"Damaged")</f>
        <v>0</v>
      </c>
      <c r="K160" s="50">
        <f>SUMIFS('Stock Adjustment'!$E:$E,'Stock Adjustment'!$B:$B,$A160,'Stock Adjustment'!$D:$D,"Expired")</f>
        <v>0</v>
      </c>
      <c r="L160" s="50">
        <f>SUMIFS('Stock Adjustment'!$E:$E,'Stock Adjustment'!$B:$B,$A160,'Stock Adjustment'!$D:$D,"Supplier Returned")</f>
        <v>0</v>
      </c>
      <c r="M1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0" s="53" t="str">
        <f>IF(B160="","",VLOOKUP(B160,'Product Master'!$B:$G,4,FALSE))</f>
        <v/>
      </c>
      <c r="O160" s="53" t="str">
        <f>IF(B160="","",VLOOKUP(B160,'Product Master'!$B:$G,5,FALSE))</f>
        <v/>
      </c>
      <c r="P160" s="50" t="str">
        <f>IF(B160="","",VLOOKUP(B160,'Product Master'!$B:$I,7,FALSE))</f>
        <v/>
      </c>
      <c r="Q160" s="158"/>
      <c r="R160" s="58" t="str">
        <f t="shared" si="2"/>
        <v/>
      </c>
      <c r="S160" s="25"/>
      <c r="T160" s="25"/>
      <c r="U160" s="25"/>
      <c r="V160" s="25"/>
      <c r="W160" s="25"/>
      <c r="X160" s="25"/>
    </row>
    <row r="161" spans="1:24" x14ac:dyDescent="0.25">
      <c r="A161" s="31" t="s">
        <v>721</v>
      </c>
      <c r="B161" s="32"/>
      <c r="C161" s="50" t="str">
        <f>IF(B161="","",VLOOKUP(B161,'Product Master'!$B:$G,2,FALSE))</f>
        <v/>
      </c>
      <c r="D161" s="50" t="str">
        <f>IF(B161="","",VLOOKUP(B161,'Product Master'!$B:$G,3,FALSE))</f>
        <v/>
      </c>
      <c r="E161" s="50"/>
      <c r="F161" s="50">
        <f>SUMIF('Stock Purchase'!$D:$D,B161,'Stock Purchase'!$F:$F)</f>
        <v>0</v>
      </c>
      <c r="G161" s="50">
        <f>SUMIFS('Stock Adjustment'!$E:$E,'Stock Adjustment'!$B:$B,$A161,'Stock Adjustment'!$D:$D,"Customer Returned")</f>
        <v>0</v>
      </c>
      <c r="H161" s="50">
        <f>SUMIF('Daily Sales Entry'!$D:$D,B161,'Daily Sales Entry'!$G:$G)</f>
        <v>0</v>
      </c>
      <c r="I161" s="50">
        <f>SUMIFS('Stock Adjustment'!$E:$E,'Stock Adjustment'!$B:$B,$A161,'Stock Adjustment'!$D:$D,"Staff Consumption")</f>
        <v>0</v>
      </c>
      <c r="J161" s="50">
        <f>SUMIFS('Stock Adjustment'!$E:$E,'Stock Adjustment'!$B:$B,$A161,'Stock Adjustment'!$D:$D,"Damaged")</f>
        <v>0</v>
      </c>
      <c r="K161" s="50">
        <f>SUMIFS('Stock Adjustment'!$E:$E,'Stock Adjustment'!$B:$B,$A161,'Stock Adjustment'!$D:$D,"Expired")</f>
        <v>0</v>
      </c>
      <c r="L161" s="50">
        <f>SUMIFS('Stock Adjustment'!$E:$E,'Stock Adjustment'!$B:$B,$A161,'Stock Adjustment'!$D:$D,"Supplier Returned")</f>
        <v>0</v>
      </c>
      <c r="M1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1" s="53" t="str">
        <f>IF(B161="","",VLOOKUP(B161,'Product Master'!$B:$G,4,FALSE))</f>
        <v/>
      </c>
      <c r="O161" s="53" t="str">
        <f>IF(B161="","",VLOOKUP(B161,'Product Master'!$B:$G,5,FALSE))</f>
        <v/>
      </c>
      <c r="P161" s="50" t="str">
        <f>IF(B161="","",VLOOKUP(B161,'Product Master'!$B:$I,7,FALSE))</f>
        <v/>
      </c>
      <c r="Q161" s="158"/>
      <c r="R161" s="58" t="str">
        <f t="shared" si="2"/>
        <v/>
      </c>
      <c r="S161" s="25"/>
      <c r="T161" s="25"/>
      <c r="U161" s="25"/>
      <c r="V161" s="25"/>
      <c r="W161" s="25"/>
      <c r="X161" s="25"/>
    </row>
    <row r="162" spans="1:24" x14ac:dyDescent="0.25">
      <c r="A162" s="31" t="s">
        <v>722</v>
      </c>
      <c r="B162" s="32"/>
      <c r="C162" s="50" t="str">
        <f>IF(B162="","",VLOOKUP(B162,'Product Master'!$B:$G,2,FALSE))</f>
        <v/>
      </c>
      <c r="D162" s="50" t="str">
        <f>IF(B162="","",VLOOKUP(B162,'Product Master'!$B:$G,3,FALSE))</f>
        <v/>
      </c>
      <c r="E162" s="50"/>
      <c r="F162" s="50">
        <f>SUMIF('Stock Purchase'!$D:$D,B162,'Stock Purchase'!$F:$F)</f>
        <v>0</v>
      </c>
      <c r="G162" s="50">
        <f>SUMIFS('Stock Adjustment'!$E:$E,'Stock Adjustment'!$B:$B,$A162,'Stock Adjustment'!$D:$D,"Customer Returned")</f>
        <v>0</v>
      </c>
      <c r="H162" s="50">
        <f>SUMIF('Daily Sales Entry'!$D:$D,B162,'Daily Sales Entry'!$G:$G)</f>
        <v>0</v>
      </c>
      <c r="I162" s="50">
        <f>SUMIFS('Stock Adjustment'!$E:$E,'Stock Adjustment'!$B:$B,$A162,'Stock Adjustment'!$D:$D,"Staff Consumption")</f>
        <v>0</v>
      </c>
      <c r="J162" s="50">
        <f>SUMIFS('Stock Adjustment'!$E:$E,'Stock Adjustment'!$B:$B,$A162,'Stock Adjustment'!$D:$D,"Damaged")</f>
        <v>0</v>
      </c>
      <c r="K162" s="50">
        <f>SUMIFS('Stock Adjustment'!$E:$E,'Stock Adjustment'!$B:$B,$A162,'Stock Adjustment'!$D:$D,"Expired")</f>
        <v>0</v>
      </c>
      <c r="L162" s="50">
        <f>SUMIFS('Stock Adjustment'!$E:$E,'Stock Adjustment'!$B:$B,$A162,'Stock Adjustment'!$D:$D,"Supplier Returned")</f>
        <v>0</v>
      </c>
      <c r="M1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2" s="53" t="str">
        <f>IF(B162="","",VLOOKUP(B162,'Product Master'!$B:$G,4,FALSE))</f>
        <v/>
      </c>
      <c r="O162" s="53" t="str">
        <f>IF(B162="","",VLOOKUP(B162,'Product Master'!$B:$G,5,FALSE))</f>
        <v/>
      </c>
      <c r="P162" s="50" t="str">
        <f>IF(B162="","",VLOOKUP(B162,'Product Master'!$B:$I,7,FALSE))</f>
        <v/>
      </c>
      <c r="Q162" s="158"/>
      <c r="R162" s="58" t="str">
        <f t="shared" si="2"/>
        <v/>
      </c>
      <c r="S162" s="25"/>
      <c r="T162" s="25"/>
      <c r="U162" s="25"/>
      <c r="V162" s="25"/>
      <c r="W162" s="25"/>
      <c r="X162" s="25"/>
    </row>
    <row r="163" spans="1:24" x14ac:dyDescent="0.25">
      <c r="A163" s="31" t="s">
        <v>723</v>
      </c>
      <c r="B163" s="32"/>
      <c r="C163" s="50" t="str">
        <f>IF(B163="","",VLOOKUP(B163,'Product Master'!$B:$G,2,FALSE))</f>
        <v/>
      </c>
      <c r="D163" s="50" t="str">
        <f>IF(B163="","",VLOOKUP(B163,'Product Master'!$B:$G,3,FALSE))</f>
        <v/>
      </c>
      <c r="E163" s="50"/>
      <c r="F163" s="50">
        <f>SUMIF('Stock Purchase'!$D:$D,B163,'Stock Purchase'!$F:$F)</f>
        <v>0</v>
      </c>
      <c r="G163" s="50">
        <f>SUMIFS('Stock Adjustment'!$E:$E,'Stock Adjustment'!$B:$B,$A163,'Stock Adjustment'!$D:$D,"Customer Returned")</f>
        <v>0</v>
      </c>
      <c r="H163" s="50">
        <f>SUMIF('Daily Sales Entry'!$D:$D,B163,'Daily Sales Entry'!$G:$G)</f>
        <v>0</v>
      </c>
      <c r="I163" s="50">
        <f>SUMIFS('Stock Adjustment'!$E:$E,'Stock Adjustment'!$B:$B,$A163,'Stock Adjustment'!$D:$D,"Staff Consumption")</f>
        <v>0</v>
      </c>
      <c r="J163" s="50">
        <f>SUMIFS('Stock Adjustment'!$E:$E,'Stock Adjustment'!$B:$B,$A163,'Stock Adjustment'!$D:$D,"Damaged")</f>
        <v>0</v>
      </c>
      <c r="K163" s="50">
        <f>SUMIFS('Stock Adjustment'!$E:$E,'Stock Adjustment'!$B:$B,$A163,'Stock Adjustment'!$D:$D,"Expired")</f>
        <v>0</v>
      </c>
      <c r="L163" s="50">
        <f>SUMIFS('Stock Adjustment'!$E:$E,'Stock Adjustment'!$B:$B,$A163,'Stock Adjustment'!$D:$D,"Supplier Returned")</f>
        <v>0</v>
      </c>
      <c r="M1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3" s="53" t="str">
        <f>IF(B163="","",VLOOKUP(B163,'Product Master'!$B:$G,4,FALSE))</f>
        <v/>
      </c>
      <c r="O163" s="53" t="str">
        <f>IF(B163="","",VLOOKUP(B163,'Product Master'!$B:$G,5,FALSE))</f>
        <v/>
      </c>
      <c r="P163" s="50" t="str">
        <f>IF(B163="","",VLOOKUP(B163,'Product Master'!$B:$I,7,FALSE))</f>
        <v/>
      </c>
      <c r="Q163" s="158"/>
      <c r="R163" s="58" t="str">
        <f t="shared" si="2"/>
        <v/>
      </c>
      <c r="S163" s="25"/>
      <c r="T163" s="25"/>
      <c r="U163" s="25"/>
      <c r="V163" s="25"/>
      <c r="W163" s="25"/>
      <c r="X163" s="25"/>
    </row>
    <row r="164" spans="1:24" x14ac:dyDescent="0.25">
      <c r="A164" s="31" t="s">
        <v>724</v>
      </c>
      <c r="B164" s="32"/>
      <c r="C164" s="50" t="str">
        <f>IF(B164="","",VLOOKUP(B164,'Product Master'!$B:$G,2,FALSE))</f>
        <v/>
      </c>
      <c r="D164" s="50" t="str">
        <f>IF(B164="","",VLOOKUP(B164,'Product Master'!$B:$G,3,FALSE))</f>
        <v/>
      </c>
      <c r="E164" s="50"/>
      <c r="F164" s="50">
        <f>SUMIF('Stock Purchase'!$D:$D,B164,'Stock Purchase'!$F:$F)</f>
        <v>0</v>
      </c>
      <c r="G164" s="50">
        <f>SUMIFS('Stock Adjustment'!$E:$E,'Stock Adjustment'!$B:$B,$A164,'Stock Adjustment'!$D:$D,"Customer Returned")</f>
        <v>0</v>
      </c>
      <c r="H164" s="50">
        <f>SUMIF('Daily Sales Entry'!$D:$D,B164,'Daily Sales Entry'!$G:$G)</f>
        <v>0</v>
      </c>
      <c r="I164" s="50">
        <f>SUMIFS('Stock Adjustment'!$E:$E,'Stock Adjustment'!$B:$B,$A164,'Stock Adjustment'!$D:$D,"Staff Consumption")</f>
        <v>0</v>
      </c>
      <c r="J164" s="50">
        <f>SUMIFS('Stock Adjustment'!$E:$E,'Stock Adjustment'!$B:$B,$A164,'Stock Adjustment'!$D:$D,"Damaged")</f>
        <v>0</v>
      </c>
      <c r="K164" s="50">
        <f>SUMIFS('Stock Adjustment'!$E:$E,'Stock Adjustment'!$B:$B,$A164,'Stock Adjustment'!$D:$D,"Expired")</f>
        <v>0</v>
      </c>
      <c r="L164" s="50">
        <f>SUMIFS('Stock Adjustment'!$E:$E,'Stock Adjustment'!$B:$B,$A164,'Stock Adjustment'!$D:$D,"Supplier Returned")</f>
        <v>0</v>
      </c>
      <c r="M1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4" s="53" t="str">
        <f>IF(B164="","",VLOOKUP(B164,'Product Master'!$B:$G,4,FALSE))</f>
        <v/>
      </c>
      <c r="O164" s="53" t="str">
        <f>IF(B164="","",VLOOKUP(B164,'Product Master'!$B:$G,5,FALSE))</f>
        <v/>
      </c>
      <c r="P164" s="50" t="str">
        <f>IF(B164="","",VLOOKUP(B164,'Product Master'!$B:$I,7,FALSE))</f>
        <v/>
      </c>
      <c r="Q164" s="158"/>
      <c r="R164" s="58" t="str">
        <f t="shared" si="2"/>
        <v/>
      </c>
      <c r="S164" s="25"/>
      <c r="T164" s="25"/>
      <c r="U164" s="25"/>
      <c r="V164" s="25"/>
      <c r="W164" s="25"/>
      <c r="X164" s="25"/>
    </row>
    <row r="165" spans="1:24" x14ac:dyDescent="0.25">
      <c r="A165" s="31" t="s">
        <v>725</v>
      </c>
      <c r="B165" s="32"/>
      <c r="C165" s="50" t="str">
        <f>IF(B165="","",VLOOKUP(B165,'Product Master'!$B:$G,2,FALSE))</f>
        <v/>
      </c>
      <c r="D165" s="50" t="str">
        <f>IF(B165="","",VLOOKUP(B165,'Product Master'!$B:$G,3,FALSE))</f>
        <v/>
      </c>
      <c r="E165" s="50"/>
      <c r="F165" s="50">
        <f>SUMIF('Stock Purchase'!$D:$D,B165,'Stock Purchase'!$F:$F)</f>
        <v>0</v>
      </c>
      <c r="G165" s="50">
        <f>SUMIFS('Stock Adjustment'!$E:$E,'Stock Adjustment'!$B:$B,$A165,'Stock Adjustment'!$D:$D,"Customer Returned")</f>
        <v>0</v>
      </c>
      <c r="H165" s="50">
        <f>SUMIF('Daily Sales Entry'!$D:$D,B165,'Daily Sales Entry'!$G:$G)</f>
        <v>0</v>
      </c>
      <c r="I165" s="50">
        <f>SUMIFS('Stock Adjustment'!$E:$E,'Stock Adjustment'!$B:$B,$A165,'Stock Adjustment'!$D:$D,"Staff Consumption")</f>
        <v>0</v>
      </c>
      <c r="J165" s="50">
        <f>SUMIFS('Stock Adjustment'!$E:$E,'Stock Adjustment'!$B:$B,$A165,'Stock Adjustment'!$D:$D,"Damaged")</f>
        <v>0</v>
      </c>
      <c r="K165" s="50">
        <f>SUMIFS('Stock Adjustment'!$E:$E,'Stock Adjustment'!$B:$B,$A165,'Stock Adjustment'!$D:$D,"Expired")</f>
        <v>0</v>
      </c>
      <c r="L165" s="50">
        <f>SUMIFS('Stock Adjustment'!$E:$E,'Stock Adjustment'!$B:$B,$A165,'Stock Adjustment'!$D:$D,"Supplier Returned")</f>
        <v>0</v>
      </c>
      <c r="M1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5" s="53" t="str">
        <f>IF(B165="","",VLOOKUP(B165,'Product Master'!$B:$G,4,FALSE))</f>
        <v/>
      </c>
      <c r="O165" s="53" t="str">
        <f>IF(B165="","",VLOOKUP(B165,'Product Master'!$B:$G,5,FALSE))</f>
        <v/>
      </c>
      <c r="P165" s="50" t="str">
        <f>IF(B165="","",VLOOKUP(B165,'Product Master'!$B:$I,7,FALSE))</f>
        <v/>
      </c>
      <c r="Q165" s="158"/>
      <c r="R165" s="58" t="str">
        <f t="shared" si="2"/>
        <v/>
      </c>
      <c r="S165" s="25"/>
      <c r="T165" s="25"/>
      <c r="U165" s="25"/>
      <c r="V165" s="25"/>
      <c r="W165" s="25"/>
      <c r="X165" s="25"/>
    </row>
    <row r="166" spans="1:24" x14ac:dyDescent="0.25">
      <c r="A166" s="31" t="s">
        <v>726</v>
      </c>
      <c r="B166" s="32"/>
      <c r="C166" s="50" t="str">
        <f>IF(B166="","",VLOOKUP(B166,'Product Master'!$B:$G,2,FALSE))</f>
        <v/>
      </c>
      <c r="D166" s="50" t="str">
        <f>IF(B166="","",VLOOKUP(B166,'Product Master'!$B:$G,3,FALSE))</f>
        <v/>
      </c>
      <c r="E166" s="50"/>
      <c r="F166" s="50">
        <f>SUMIF('Stock Purchase'!$D:$D,B166,'Stock Purchase'!$F:$F)</f>
        <v>0</v>
      </c>
      <c r="G166" s="50">
        <f>SUMIFS('Stock Adjustment'!$E:$E,'Stock Adjustment'!$B:$B,$A166,'Stock Adjustment'!$D:$D,"Customer Returned")</f>
        <v>0</v>
      </c>
      <c r="H166" s="50">
        <f>SUMIF('Daily Sales Entry'!$D:$D,B166,'Daily Sales Entry'!$G:$G)</f>
        <v>0</v>
      </c>
      <c r="I166" s="50">
        <f>SUMIFS('Stock Adjustment'!$E:$E,'Stock Adjustment'!$B:$B,$A166,'Stock Adjustment'!$D:$D,"Staff Consumption")</f>
        <v>0</v>
      </c>
      <c r="J166" s="50">
        <f>SUMIFS('Stock Adjustment'!$E:$E,'Stock Adjustment'!$B:$B,$A166,'Stock Adjustment'!$D:$D,"Damaged")</f>
        <v>0</v>
      </c>
      <c r="K166" s="50">
        <f>SUMIFS('Stock Adjustment'!$E:$E,'Stock Adjustment'!$B:$B,$A166,'Stock Adjustment'!$D:$D,"Expired")</f>
        <v>0</v>
      </c>
      <c r="L166" s="50">
        <f>SUMIFS('Stock Adjustment'!$E:$E,'Stock Adjustment'!$B:$B,$A166,'Stock Adjustment'!$D:$D,"Supplier Returned")</f>
        <v>0</v>
      </c>
      <c r="M1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6" s="53" t="str">
        <f>IF(B166="","",VLOOKUP(B166,'Product Master'!$B:$G,4,FALSE))</f>
        <v/>
      </c>
      <c r="O166" s="53" t="str">
        <f>IF(B166="","",VLOOKUP(B166,'Product Master'!$B:$G,5,FALSE))</f>
        <v/>
      </c>
      <c r="P166" s="50" t="str">
        <f>IF(B166="","",VLOOKUP(B166,'Product Master'!$B:$I,7,FALSE))</f>
        <v/>
      </c>
      <c r="Q166" s="158"/>
      <c r="R166" s="58" t="str">
        <f t="shared" si="2"/>
        <v/>
      </c>
      <c r="S166" s="25"/>
      <c r="T166" s="25"/>
      <c r="U166" s="25"/>
      <c r="V166" s="25"/>
      <c r="W166" s="25"/>
      <c r="X166" s="25"/>
    </row>
    <row r="167" spans="1:24" x14ac:dyDescent="0.25">
      <c r="A167" s="31" t="s">
        <v>727</v>
      </c>
      <c r="B167" s="32"/>
      <c r="C167" s="50" t="str">
        <f>IF(B167="","",VLOOKUP(B167,'Product Master'!$B:$G,2,FALSE))</f>
        <v/>
      </c>
      <c r="D167" s="50" t="str">
        <f>IF(B167="","",VLOOKUP(B167,'Product Master'!$B:$G,3,FALSE))</f>
        <v/>
      </c>
      <c r="E167" s="50"/>
      <c r="F167" s="50">
        <f>SUMIF('Stock Purchase'!$D:$D,B167,'Stock Purchase'!$F:$F)</f>
        <v>0</v>
      </c>
      <c r="G167" s="50">
        <f>SUMIFS('Stock Adjustment'!$E:$E,'Stock Adjustment'!$B:$B,$A167,'Stock Adjustment'!$D:$D,"Customer Returned")</f>
        <v>0</v>
      </c>
      <c r="H167" s="50">
        <f>SUMIF('Daily Sales Entry'!$D:$D,B167,'Daily Sales Entry'!$G:$G)</f>
        <v>0</v>
      </c>
      <c r="I167" s="50">
        <f>SUMIFS('Stock Adjustment'!$E:$E,'Stock Adjustment'!$B:$B,$A167,'Stock Adjustment'!$D:$D,"Staff Consumption")</f>
        <v>0</v>
      </c>
      <c r="J167" s="50">
        <f>SUMIFS('Stock Adjustment'!$E:$E,'Stock Adjustment'!$B:$B,$A167,'Stock Adjustment'!$D:$D,"Damaged")</f>
        <v>0</v>
      </c>
      <c r="K167" s="50">
        <f>SUMIFS('Stock Adjustment'!$E:$E,'Stock Adjustment'!$B:$B,$A167,'Stock Adjustment'!$D:$D,"Expired")</f>
        <v>0</v>
      </c>
      <c r="L167" s="50">
        <f>SUMIFS('Stock Adjustment'!$E:$E,'Stock Adjustment'!$B:$B,$A167,'Stock Adjustment'!$D:$D,"Supplier Returned")</f>
        <v>0</v>
      </c>
      <c r="M1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7" s="53" t="str">
        <f>IF(B167="","",VLOOKUP(B167,'Product Master'!$B:$G,4,FALSE))</f>
        <v/>
      </c>
      <c r="O167" s="53" t="str">
        <f>IF(B167="","",VLOOKUP(B167,'Product Master'!$B:$G,5,FALSE))</f>
        <v/>
      </c>
      <c r="P167" s="50" t="str">
        <f>IF(B167="","",VLOOKUP(B167,'Product Master'!$B:$I,7,FALSE))</f>
        <v/>
      </c>
      <c r="Q167" s="158"/>
      <c r="R167" s="58" t="str">
        <f t="shared" si="2"/>
        <v/>
      </c>
      <c r="S167" s="25"/>
      <c r="T167" s="25"/>
      <c r="U167" s="25"/>
      <c r="V167" s="25"/>
      <c r="W167" s="25"/>
      <c r="X167" s="25"/>
    </row>
    <row r="168" spans="1:24" x14ac:dyDescent="0.25">
      <c r="A168" s="31" t="s">
        <v>728</v>
      </c>
      <c r="B168" s="32"/>
      <c r="C168" s="50" t="str">
        <f>IF(B168="","",VLOOKUP(B168,'Product Master'!$B:$G,2,FALSE))</f>
        <v/>
      </c>
      <c r="D168" s="50" t="str">
        <f>IF(B168="","",VLOOKUP(B168,'Product Master'!$B:$G,3,FALSE))</f>
        <v/>
      </c>
      <c r="E168" s="50"/>
      <c r="F168" s="50">
        <f>SUMIF('Stock Purchase'!$D:$D,B168,'Stock Purchase'!$F:$F)</f>
        <v>0</v>
      </c>
      <c r="G168" s="50">
        <f>SUMIFS('Stock Adjustment'!$E:$E,'Stock Adjustment'!$B:$B,$A168,'Stock Adjustment'!$D:$D,"Customer Returned")</f>
        <v>0</v>
      </c>
      <c r="H168" s="50">
        <f>SUMIF('Daily Sales Entry'!$D:$D,B168,'Daily Sales Entry'!$G:$G)</f>
        <v>0</v>
      </c>
      <c r="I168" s="50">
        <f>SUMIFS('Stock Adjustment'!$E:$E,'Stock Adjustment'!$B:$B,$A168,'Stock Adjustment'!$D:$D,"Staff Consumption")</f>
        <v>0</v>
      </c>
      <c r="J168" s="50">
        <f>SUMIFS('Stock Adjustment'!$E:$E,'Stock Adjustment'!$B:$B,$A168,'Stock Adjustment'!$D:$D,"Damaged")</f>
        <v>0</v>
      </c>
      <c r="K168" s="50">
        <f>SUMIFS('Stock Adjustment'!$E:$E,'Stock Adjustment'!$B:$B,$A168,'Stock Adjustment'!$D:$D,"Expired")</f>
        <v>0</v>
      </c>
      <c r="L168" s="50">
        <f>SUMIFS('Stock Adjustment'!$E:$E,'Stock Adjustment'!$B:$B,$A168,'Stock Adjustment'!$D:$D,"Supplier Returned")</f>
        <v>0</v>
      </c>
      <c r="M1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8" s="53" t="str">
        <f>IF(B168="","",VLOOKUP(B168,'Product Master'!$B:$G,4,FALSE))</f>
        <v/>
      </c>
      <c r="O168" s="53" t="str">
        <f>IF(B168="","",VLOOKUP(B168,'Product Master'!$B:$G,5,FALSE))</f>
        <v/>
      </c>
      <c r="P168" s="50" t="str">
        <f>IF(B168="","",VLOOKUP(B168,'Product Master'!$B:$I,7,FALSE))</f>
        <v/>
      </c>
      <c r="Q168" s="158"/>
      <c r="R168" s="58" t="str">
        <f t="shared" si="2"/>
        <v/>
      </c>
      <c r="S168" s="25"/>
      <c r="T168" s="25"/>
      <c r="U168" s="25"/>
      <c r="V168" s="25"/>
      <c r="W168" s="25"/>
      <c r="X168" s="25"/>
    </row>
    <row r="169" spans="1:24" x14ac:dyDescent="0.25">
      <c r="A169" s="31" t="s">
        <v>729</v>
      </c>
      <c r="B169" s="32"/>
      <c r="C169" s="50" t="str">
        <f>IF(B169="","",VLOOKUP(B169,'Product Master'!$B:$G,2,FALSE))</f>
        <v/>
      </c>
      <c r="D169" s="50" t="str">
        <f>IF(B169="","",VLOOKUP(B169,'Product Master'!$B:$G,3,FALSE))</f>
        <v/>
      </c>
      <c r="E169" s="50"/>
      <c r="F169" s="50">
        <f>SUMIF('Stock Purchase'!$D:$D,B169,'Stock Purchase'!$F:$F)</f>
        <v>0</v>
      </c>
      <c r="G169" s="50">
        <f>SUMIFS('Stock Adjustment'!$E:$E,'Stock Adjustment'!$B:$B,$A169,'Stock Adjustment'!$D:$D,"Customer Returned")</f>
        <v>0</v>
      </c>
      <c r="H169" s="50">
        <f>SUMIF('Daily Sales Entry'!$D:$D,B169,'Daily Sales Entry'!$G:$G)</f>
        <v>0</v>
      </c>
      <c r="I169" s="50">
        <f>SUMIFS('Stock Adjustment'!$E:$E,'Stock Adjustment'!$B:$B,$A169,'Stock Adjustment'!$D:$D,"Staff Consumption")</f>
        <v>0</v>
      </c>
      <c r="J169" s="50">
        <f>SUMIFS('Stock Adjustment'!$E:$E,'Stock Adjustment'!$B:$B,$A169,'Stock Adjustment'!$D:$D,"Damaged")</f>
        <v>0</v>
      </c>
      <c r="K169" s="50">
        <f>SUMIFS('Stock Adjustment'!$E:$E,'Stock Adjustment'!$B:$B,$A169,'Stock Adjustment'!$D:$D,"Expired")</f>
        <v>0</v>
      </c>
      <c r="L169" s="50">
        <f>SUMIFS('Stock Adjustment'!$E:$E,'Stock Adjustment'!$B:$B,$A169,'Stock Adjustment'!$D:$D,"Supplier Returned")</f>
        <v>0</v>
      </c>
      <c r="M1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69" s="53" t="str">
        <f>IF(B169="","",VLOOKUP(B169,'Product Master'!$B:$G,4,FALSE))</f>
        <v/>
      </c>
      <c r="O169" s="53" t="str">
        <f>IF(B169="","",VLOOKUP(B169,'Product Master'!$B:$G,5,FALSE))</f>
        <v/>
      </c>
      <c r="P169" s="50" t="str">
        <f>IF(B169="","",VLOOKUP(B169,'Product Master'!$B:$I,7,FALSE))</f>
        <v/>
      </c>
      <c r="Q169" s="158"/>
      <c r="R169" s="58" t="str">
        <f t="shared" si="2"/>
        <v/>
      </c>
      <c r="S169" s="25"/>
      <c r="T169" s="25"/>
      <c r="U169" s="25"/>
      <c r="V169" s="25"/>
      <c r="W169" s="25"/>
      <c r="X169" s="25"/>
    </row>
    <row r="170" spans="1:24" x14ac:dyDescent="0.25">
      <c r="A170" s="31" t="s">
        <v>730</v>
      </c>
      <c r="B170" s="32"/>
      <c r="C170" s="50" t="str">
        <f>IF(B170="","",VLOOKUP(B170,'Product Master'!$B:$G,2,FALSE))</f>
        <v/>
      </c>
      <c r="D170" s="50" t="str">
        <f>IF(B170="","",VLOOKUP(B170,'Product Master'!$B:$G,3,FALSE))</f>
        <v/>
      </c>
      <c r="E170" s="50"/>
      <c r="F170" s="50">
        <f>SUMIF('Stock Purchase'!$D:$D,B170,'Stock Purchase'!$F:$F)</f>
        <v>0</v>
      </c>
      <c r="G170" s="50">
        <f>SUMIFS('Stock Adjustment'!$E:$E,'Stock Adjustment'!$B:$B,$A170,'Stock Adjustment'!$D:$D,"Customer Returned")</f>
        <v>0</v>
      </c>
      <c r="H170" s="50">
        <f>SUMIF('Daily Sales Entry'!$D:$D,B170,'Daily Sales Entry'!$G:$G)</f>
        <v>0</v>
      </c>
      <c r="I170" s="50">
        <f>SUMIFS('Stock Adjustment'!$E:$E,'Stock Adjustment'!$B:$B,$A170,'Stock Adjustment'!$D:$D,"Staff Consumption")</f>
        <v>0</v>
      </c>
      <c r="J170" s="50">
        <f>SUMIFS('Stock Adjustment'!$E:$E,'Stock Adjustment'!$B:$B,$A170,'Stock Adjustment'!$D:$D,"Damaged")</f>
        <v>0</v>
      </c>
      <c r="K170" s="50">
        <f>SUMIFS('Stock Adjustment'!$E:$E,'Stock Adjustment'!$B:$B,$A170,'Stock Adjustment'!$D:$D,"Expired")</f>
        <v>0</v>
      </c>
      <c r="L170" s="50">
        <f>SUMIFS('Stock Adjustment'!$E:$E,'Stock Adjustment'!$B:$B,$A170,'Stock Adjustment'!$D:$D,"Supplier Returned")</f>
        <v>0</v>
      </c>
      <c r="M1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0" s="53" t="str">
        <f>IF(B170="","",VLOOKUP(B170,'Product Master'!$B:$G,4,FALSE))</f>
        <v/>
      </c>
      <c r="O170" s="53" t="str">
        <f>IF(B170="","",VLOOKUP(B170,'Product Master'!$B:$G,5,FALSE))</f>
        <v/>
      </c>
      <c r="P170" s="50" t="str">
        <f>IF(B170="","",VLOOKUP(B170,'Product Master'!$B:$I,7,FALSE))</f>
        <v/>
      </c>
      <c r="Q170" s="158"/>
      <c r="R170" s="58" t="str">
        <f t="shared" si="2"/>
        <v/>
      </c>
      <c r="S170" s="25"/>
      <c r="T170" s="25"/>
      <c r="U170" s="25"/>
      <c r="V170" s="25"/>
      <c r="W170" s="25"/>
      <c r="X170" s="25"/>
    </row>
    <row r="171" spans="1:24" x14ac:dyDescent="0.25">
      <c r="A171" s="31" t="s">
        <v>731</v>
      </c>
      <c r="B171" s="32"/>
      <c r="C171" s="50" t="str">
        <f>IF(B171="","",VLOOKUP(B171,'Product Master'!$B:$G,2,FALSE))</f>
        <v/>
      </c>
      <c r="D171" s="50" t="str">
        <f>IF(B171="","",VLOOKUP(B171,'Product Master'!$B:$G,3,FALSE))</f>
        <v/>
      </c>
      <c r="E171" s="50"/>
      <c r="F171" s="50">
        <f>SUMIF('Stock Purchase'!$D:$D,B171,'Stock Purchase'!$F:$F)</f>
        <v>0</v>
      </c>
      <c r="G171" s="50">
        <f>SUMIFS('Stock Adjustment'!$E:$E,'Stock Adjustment'!$B:$B,$A171,'Stock Adjustment'!$D:$D,"Customer Returned")</f>
        <v>0</v>
      </c>
      <c r="H171" s="50">
        <f>SUMIF('Daily Sales Entry'!$D:$D,B171,'Daily Sales Entry'!$G:$G)</f>
        <v>0</v>
      </c>
      <c r="I171" s="50">
        <f>SUMIFS('Stock Adjustment'!$E:$E,'Stock Adjustment'!$B:$B,$A171,'Stock Adjustment'!$D:$D,"Staff Consumption")</f>
        <v>0</v>
      </c>
      <c r="J171" s="50">
        <f>SUMIFS('Stock Adjustment'!$E:$E,'Stock Adjustment'!$B:$B,$A171,'Stock Adjustment'!$D:$D,"Damaged")</f>
        <v>0</v>
      </c>
      <c r="K171" s="50">
        <f>SUMIFS('Stock Adjustment'!$E:$E,'Stock Adjustment'!$B:$B,$A171,'Stock Adjustment'!$D:$D,"Expired")</f>
        <v>0</v>
      </c>
      <c r="L171" s="50">
        <f>SUMIFS('Stock Adjustment'!$E:$E,'Stock Adjustment'!$B:$B,$A171,'Stock Adjustment'!$D:$D,"Supplier Returned")</f>
        <v>0</v>
      </c>
      <c r="M1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1" s="53" t="str">
        <f>IF(B171="","",VLOOKUP(B171,'Product Master'!$B:$G,4,FALSE))</f>
        <v/>
      </c>
      <c r="O171" s="53" t="str">
        <f>IF(B171="","",VLOOKUP(B171,'Product Master'!$B:$G,5,FALSE))</f>
        <v/>
      </c>
      <c r="P171" s="50" t="str">
        <f>IF(B171="","",VLOOKUP(B171,'Product Master'!$B:$I,7,FALSE))</f>
        <v/>
      </c>
      <c r="Q171" s="158"/>
      <c r="R171" s="58" t="str">
        <f t="shared" si="2"/>
        <v/>
      </c>
      <c r="S171" s="25"/>
      <c r="T171" s="25"/>
      <c r="U171" s="25"/>
      <c r="V171" s="25"/>
      <c r="W171" s="25"/>
      <c r="X171" s="25"/>
    </row>
    <row r="172" spans="1:24" x14ac:dyDescent="0.25">
      <c r="A172" s="31" t="s">
        <v>732</v>
      </c>
      <c r="B172" s="32"/>
      <c r="C172" s="50" t="str">
        <f>IF(B172="","",VLOOKUP(B172,'Product Master'!$B:$G,2,FALSE))</f>
        <v/>
      </c>
      <c r="D172" s="50" t="str">
        <f>IF(B172="","",VLOOKUP(B172,'Product Master'!$B:$G,3,FALSE))</f>
        <v/>
      </c>
      <c r="E172" s="50"/>
      <c r="F172" s="50">
        <f>SUMIF('Stock Purchase'!$D:$D,B172,'Stock Purchase'!$F:$F)</f>
        <v>0</v>
      </c>
      <c r="G172" s="50">
        <f>SUMIFS('Stock Adjustment'!$E:$E,'Stock Adjustment'!$B:$B,$A172,'Stock Adjustment'!$D:$D,"Customer Returned")</f>
        <v>0</v>
      </c>
      <c r="H172" s="50">
        <f>SUMIF('Daily Sales Entry'!$D:$D,B172,'Daily Sales Entry'!$G:$G)</f>
        <v>0</v>
      </c>
      <c r="I172" s="50">
        <f>SUMIFS('Stock Adjustment'!$E:$E,'Stock Adjustment'!$B:$B,$A172,'Stock Adjustment'!$D:$D,"Staff Consumption")</f>
        <v>0</v>
      </c>
      <c r="J172" s="50">
        <f>SUMIFS('Stock Adjustment'!$E:$E,'Stock Adjustment'!$B:$B,$A172,'Stock Adjustment'!$D:$D,"Damaged")</f>
        <v>0</v>
      </c>
      <c r="K172" s="50">
        <f>SUMIFS('Stock Adjustment'!$E:$E,'Stock Adjustment'!$B:$B,$A172,'Stock Adjustment'!$D:$D,"Expired")</f>
        <v>0</v>
      </c>
      <c r="L172" s="50">
        <f>SUMIFS('Stock Adjustment'!$E:$E,'Stock Adjustment'!$B:$B,$A172,'Stock Adjustment'!$D:$D,"Supplier Returned")</f>
        <v>0</v>
      </c>
      <c r="M1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2" s="53" t="str">
        <f>IF(B172="","",VLOOKUP(B172,'Product Master'!$B:$G,4,FALSE))</f>
        <v/>
      </c>
      <c r="O172" s="53" t="str">
        <f>IF(B172="","",VLOOKUP(B172,'Product Master'!$B:$G,5,FALSE))</f>
        <v/>
      </c>
      <c r="P172" s="50" t="str">
        <f>IF(B172="","",VLOOKUP(B172,'Product Master'!$B:$I,7,FALSE))</f>
        <v/>
      </c>
      <c r="Q172" s="158"/>
      <c r="R172" s="58" t="str">
        <f t="shared" si="2"/>
        <v/>
      </c>
      <c r="S172" s="25"/>
      <c r="T172" s="25"/>
      <c r="U172" s="25"/>
      <c r="V172" s="25"/>
      <c r="W172" s="25"/>
      <c r="X172" s="25"/>
    </row>
    <row r="173" spans="1:24" x14ac:dyDescent="0.25">
      <c r="A173" s="31" t="s">
        <v>733</v>
      </c>
      <c r="B173" s="32"/>
      <c r="C173" s="50" t="str">
        <f>IF(B173="","",VLOOKUP(B173,'Product Master'!$B:$G,2,FALSE))</f>
        <v/>
      </c>
      <c r="D173" s="50" t="str">
        <f>IF(B173="","",VLOOKUP(B173,'Product Master'!$B:$G,3,FALSE))</f>
        <v/>
      </c>
      <c r="E173" s="50"/>
      <c r="F173" s="50">
        <f>SUMIF('Stock Purchase'!$D:$D,B173,'Stock Purchase'!$F:$F)</f>
        <v>0</v>
      </c>
      <c r="G173" s="50">
        <f>SUMIFS('Stock Adjustment'!$E:$E,'Stock Adjustment'!$B:$B,$A173,'Stock Adjustment'!$D:$D,"Customer Returned")</f>
        <v>0</v>
      </c>
      <c r="H173" s="50">
        <f>SUMIF('Daily Sales Entry'!$D:$D,B173,'Daily Sales Entry'!$G:$G)</f>
        <v>0</v>
      </c>
      <c r="I173" s="50">
        <f>SUMIFS('Stock Adjustment'!$E:$E,'Stock Adjustment'!$B:$B,$A173,'Stock Adjustment'!$D:$D,"Staff Consumption")</f>
        <v>0</v>
      </c>
      <c r="J173" s="50">
        <f>SUMIFS('Stock Adjustment'!$E:$E,'Stock Adjustment'!$B:$B,$A173,'Stock Adjustment'!$D:$D,"Damaged")</f>
        <v>0</v>
      </c>
      <c r="K173" s="50">
        <f>SUMIFS('Stock Adjustment'!$E:$E,'Stock Adjustment'!$B:$B,$A173,'Stock Adjustment'!$D:$D,"Expired")</f>
        <v>0</v>
      </c>
      <c r="L173" s="50">
        <f>SUMIFS('Stock Adjustment'!$E:$E,'Stock Adjustment'!$B:$B,$A173,'Stock Adjustment'!$D:$D,"Supplier Returned")</f>
        <v>0</v>
      </c>
      <c r="M1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3" s="53" t="str">
        <f>IF(B173="","",VLOOKUP(B173,'Product Master'!$B:$G,4,FALSE))</f>
        <v/>
      </c>
      <c r="O173" s="53" t="str">
        <f>IF(B173="","",VLOOKUP(B173,'Product Master'!$B:$G,5,FALSE))</f>
        <v/>
      </c>
      <c r="P173" s="50" t="str">
        <f>IF(B173="","",VLOOKUP(B173,'Product Master'!$B:$I,7,FALSE))</f>
        <v/>
      </c>
      <c r="Q173" s="158"/>
      <c r="R173" s="58" t="str">
        <f t="shared" si="2"/>
        <v/>
      </c>
      <c r="S173" s="25"/>
      <c r="T173" s="25"/>
      <c r="U173" s="25"/>
      <c r="V173" s="25"/>
      <c r="W173" s="25"/>
      <c r="X173" s="25"/>
    </row>
    <row r="174" spans="1:24" x14ac:dyDescent="0.25">
      <c r="A174" s="31" t="s">
        <v>734</v>
      </c>
      <c r="B174" s="32"/>
      <c r="C174" s="50" t="str">
        <f>IF(B174="","",VLOOKUP(B174,'Product Master'!$B:$G,2,FALSE))</f>
        <v/>
      </c>
      <c r="D174" s="50" t="str">
        <f>IF(B174="","",VLOOKUP(B174,'Product Master'!$B:$G,3,FALSE))</f>
        <v/>
      </c>
      <c r="E174" s="50"/>
      <c r="F174" s="50">
        <f>SUMIF('Stock Purchase'!$D:$D,B174,'Stock Purchase'!$F:$F)</f>
        <v>0</v>
      </c>
      <c r="G174" s="50">
        <f>SUMIFS('Stock Adjustment'!$E:$E,'Stock Adjustment'!$B:$B,$A174,'Stock Adjustment'!$D:$D,"Customer Returned")</f>
        <v>0</v>
      </c>
      <c r="H174" s="50">
        <f>SUMIF('Daily Sales Entry'!$D:$D,B174,'Daily Sales Entry'!$G:$G)</f>
        <v>0</v>
      </c>
      <c r="I174" s="50">
        <f>SUMIFS('Stock Adjustment'!$E:$E,'Stock Adjustment'!$B:$B,$A174,'Stock Adjustment'!$D:$D,"Staff Consumption")</f>
        <v>0</v>
      </c>
      <c r="J174" s="50">
        <f>SUMIFS('Stock Adjustment'!$E:$E,'Stock Adjustment'!$B:$B,$A174,'Stock Adjustment'!$D:$D,"Damaged")</f>
        <v>0</v>
      </c>
      <c r="K174" s="50">
        <f>SUMIFS('Stock Adjustment'!$E:$E,'Stock Adjustment'!$B:$B,$A174,'Stock Adjustment'!$D:$D,"Expired")</f>
        <v>0</v>
      </c>
      <c r="L174" s="50">
        <f>SUMIFS('Stock Adjustment'!$E:$E,'Stock Adjustment'!$B:$B,$A174,'Stock Adjustment'!$D:$D,"Supplier Returned")</f>
        <v>0</v>
      </c>
      <c r="M1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4" s="53" t="str">
        <f>IF(B174="","",VLOOKUP(B174,'Product Master'!$B:$G,4,FALSE))</f>
        <v/>
      </c>
      <c r="O174" s="53" t="str">
        <f>IF(B174="","",VLOOKUP(B174,'Product Master'!$B:$G,5,FALSE))</f>
        <v/>
      </c>
      <c r="P174" s="50" t="str">
        <f>IF(B174="","",VLOOKUP(B174,'Product Master'!$B:$I,7,FALSE))</f>
        <v/>
      </c>
      <c r="Q174" s="158"/>
      <c r="R174" s="58" t="str">
        <f t="shared" si="2"/>
        <v/>
      </c>
      <c r="S174" s="25"/>
      <c r="T174" s="25"/>
      <c r="U174" s="25"/>
      <c r="V174" s="25"/>
      <c r="W174" s="25"/>
      <c r="X174" s="25"/>
    </row>
    <row r="175" spans="1:24" x14ac:dyDescent="0.25">
      <c r="A175" s="31" t="s">
        <v>735</v>
      </c>
      <c r="B175" s="32"/>
      <c r="C175" s="50" t="str">
        <f>IF(B175="","",VLOOKUP(B175,'Product Master'!$B:$G,2,FALSE))</f>
        <v/>
      </c>
      <c r="D175" s="50" t="str">
        <f>IF(B175="","",VLOOKUP(B175,'Product Master'!$B:$G,3,FALSE))</f>
        <v/>
      </c>
      <c r="E175" s="50"/>
      <c r="F175" s="50">
        <f>SUMIF('Stock Purchase'!$D:$D,B175,'Stock Purchase'!$F:$F)</f>
        <v>0</v>
      </c>
      <c r="G175" s="50">
        <f>SUMIFS('Stock Adjustment'!$E:$E,'Stock Adjustment'!$B:$B,$A175,'Stock Adjustment'!$D:$D,"Customer Returned")</f>
        <v>0</v>
      </c>
      <c r="H175" s="50">
        <f>SUMIF('Daily Sales Entry'!$D:$D,B175,'Daily Sales Entry'!$G:$G)</f>
        <v>0</v>
      </c>
      <c r="I175" s="50">
        <f>SUMIFS('Stock Adjustment'!$E:$E,'Stock Adjustment'!$B:$B,$A175,'Stock Adjustment'!$D:$D,"Staff Consumption")</f>
        <v>0</v>
      </c>
      <c r="J175" s="50">
        <f>SUMIFS('Stock Adjustment'!$E:$E,'Stock Adjustment'!$B:$B,$A175,'Stock Adjustment'!$D:$D,"Damaged")</f>
        <v>0</v>
      </c>
      <c r="K175" s="50">
        <f>SUMIFS('Stock Adjustment'!$E:$E,'Stock Adjustment'!$B:$B,$A175,'Stock Adjustment'!$D:$D,"Expired")</f>
        <v>0</v>
      </c>
      <c r="L175" s="50">
        <f>SUMIFS('Stock Adjustment'!$E:$E,'Stock Adjustment'!$B:$B,$A175,'Stock Adjustment'!$D:$D,"Supplier Returned")</f>
        <v>0</v>
      </c>
      <c r="M1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5" s="53" t="str">
        <f>IF(B175="","",VLOOKUP(B175,'Product Master'!$B:$G,4,FALSE))</f>
        <v/>
      </c>
      <c r="O175" s="53" t="str">
        <f>IF(B175="","",VLOOKUP(B175,'Product Master'!$B:$G,5,FALSE))</f>
        <v/>
      </c>
      <c r="P175" s="50" t="str">
        <f>IF(B175="","",VLOOKUP(B175,'Product Master'!$B:$I,7,FALSE))</f>
        <v/>
      </c>
      <c r="Q175" s="158"/>
      <c r="R175" s="58" t="str">
        <f t="shared" si="2"/>
        <v/>
      </c>
      <c r="S175" s="25"/>
      <c r="T175" s="25"/>
      <c r="U175" s="25"/>
      <c r="V175" s="25"/>
      <c r="W175" s="25"/>
      <c r="X175" s="25"/>
    </row>
    <row r="176" spans="1:24" x14ac:dyDescent="0.25">
      <c r="A176" s="31" t="s">
        <v>736</v>
      </c>
      <c r="B176" s="32"/>
      <c r="C176" s="50" t="str">
        <f>IF(B176="","",VLOOKUP(B176,'Product Master'!$B:$G,2,FALSE))</f>
        <v/>
      </c>
      <c r="D176" s="50" t="str">
        <f>IF(B176="","",VLOOKUP(B176,'Product Master'!$B:$G,3,FALSE))</f>
        <v/>
      </c>
      <c r="E176" s="50"/>
      <c r="F176" s="50">
        <f>SUMIF('Stock Purchase'!$D:$D,B176,'Stock Purchase'!$F:$F)</f>
        <v>0</v>
      </c>
      <c r="G176" s="50">
        <f>SUMIFS('Stock Adjustment'!$E:$E,'Stock Adjustment'!$B:$B,$A176,'Stock Adjustment'!$D:$D,"Customer Returned")</f>
        <v>0</v>
      </c>
      <c r="H176" s="50">
        <f>SUMIF('Daily Sales Entry'!$D:$D,B176,'Daily Sales Entry'!$G:$G)</f>
        <v>0</v>
      </c>
      <c r="I176" s="50">
        <f>SUMIFS('Stock Adjustment'!$E:$E,'Stock Adjustment'!$B:$B,$A176,'Stock Adjustment'!$D:$D,"Staff Consumption")</f>
        <v>0</v>
      </c>
      <c r="J176" s="50">
        <f>SUMIFS('Stock Adjustment'!$E:$E,'Stock Adjustment'!$B:$B,$A176,'Stock Adjustment'!$D:$D,"Damaged")</f>
        <v>0</v>
      </c>
      <c r="K176" s="50">
        <f>SUMIFS('Stock Adjustment'!$E:$E,'Stock Adjustment'!$B:$B,$A176,'Stock Adjustment'!$D:$D,"Expired")</f>
        <v>0</v>
      </c>
      <c r="L176" s="50">
        <f>SUMIFS('Stock Adjustment'!$E:$E,'Stock Adjustment'!$B:$B,$A176,'Stock Adjustment'!$D:$D,"Supplier Returned")</f>
        <v>0</v>
      </c>
      <c r="M1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6" s="53" t="str">
        <f>IF(B176="","",VLOOKUP(B176,'Product Master'!$B:$G,4,FALSE))</f>
        <v/>
      </c>
      <c r="O176" s="53" t="str">
        <f>IF(B176="","",VLOOKUP(B176,'Product Master'!$B:$G,5,FALSE))</f>
        <v/>
      </c>
      <c r="P176" s="50" t="str">
        <f>IF(B176="","",VLOOKUP(B176,'Product Master'!$B:$I,7,FALSE))</f>
        <v/>
      </c>
      <c r="Q176" s="158"/>
      <c r="R176" s="58" t="str">
        <f t="shared" si="2"/>
        <v/>
      </c>
      <c r="S176" s="25"/>
      <c r="T176" s="25"/>
      <c r="U176" s="25"/>
      <c r="V176" s="25"/>
      <c r="W176" s="25"/>
      <c r="X176" s="25"/>
    </row>
    <row r="177" spans="1:24" x14ac:dyDescent="0.25">
      <c r="A177" s="31" t="s">
        <v>737</v>
      </c>
      <c r="B177" s="32"/>
      <c r="C177" s="50" t="str">
        <f>IF(B177="","",VLOOKUP(B177,'Product Master'!$B:$G,2,FALSE))</f>
        <v/>
      </c>
      <c r="D177" s="50" t="str">
        <f>IF(B177="","",VLOOKUP(B177,'Product Master'!$B:$G,3,FALSE))</f>
        <v/>
      </c>
      <c r="E177" s="50"/>
      <c r="F177" s="50">
        <f>SUMIF('Stock Purchase'!$D:$D,B177,'Stock Purchase'!$F:$F)</f>
        <v>0</v>
      </c>
      <c r="G177" s="50">
        <f>SUMIFS('Stock Adjustment'!$E:$E,'Stock Adjustment'!$B:$B,$A177,'Stock Adjustment'!$D:$D,"Customer Returned")</f>
        <v>0</v>
      </c>
      <c r="H177" s="50">
        <f>SUMIF('Daily Sales Entry'!$D:$D,B177,'Daily Sales Entry'!$G:$G)</f>
        <v>0</v>
      </c>
      <c r="I177" s="50">
        <f>SUMIFS('Stock Adjustment'!$E:$E,'Stock Adjustment'!$B:$B,$A177,'Stock Adjustment'!$D:$D,"Staff Consumption")</f>
        <v>0</v>
      </c>
      <c r="J177" s="50">
        <f>SUMIFS('Stock Adjustment'!$E:$E,'Stock Adjustment'!$B:$B,$A177,'Stock Adjustment'!$D:$D,"Damaged")</f>
        <v>0</v>
      </c>
      <c r="K177" s="50">
        <f>SUMIFS('Stock Adjustment'!$E:$E,'Stock Adjustment'!$B:$B,$A177,'Stock Adjustment'!$D:$D,"Expired")</f>
        <v>0</v>
      </c>
      <c r="L177" s="50">
        <f>SUMIFS('Stock Adjustment'!$E:$E,'Stock Adjustment'!$B:$B,$A177,'Stock Adjustment'!$D:$D,"Supplier Returned")</f>
        <v>0</v>
      </c>
      <c r="M1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7" s="53" t="str">
        <f>IF(B177="","",VLOOKUP(B177,'Product Master'!$B:$G,4,FALSE))</f>
        <v/>
      </c>
      <c r="O177" s="53" t="str">
        <f>IF(B177="","",VLOOKUP(B177,'Product Master'!$B:$G,5,FALSE))</f>
        <v/>
      </c>
      <c r="P177" s="50" t="str">
        <f>IF(B177="","",VLOOKUP(B177,'Product Master'!$B:$I,7,FALSE))</f>
        <v/>
      </c>
      <c r="Q177" s="158"/>
      <c r="R177" s="58" t="str">
        <f t="shared" si="2"/>
        <v/>
      </c>
      <c r="S177" s="25"/>
      <c r="T177" s="25"/>
      <c r="U177" s="25"/>
      <c r="V177" s="25"/>
      <c r="W177" s="25"/>
      <c r="X177" s="25"/>
    </row>
    <row r="178" spans="1:24" x14ac:dyDescent="0.25">
      <c r="A178" s="31" t="s">
        <v>738</v>
      </c>
      <c r="B178" s="32"/>
      <c r="C178" s="50" t="str">
        <f>IF(B178="","",VLOOKUP(B178,'Product Master'!$B:$G,2,FALSE))</f>
        <v/>
      </c>
      <c r="D178" s="50" t="str">
        <f>IF(B178="","",VLOOKUP(B178,'Product Master'!$B:$G,3,FALSE))</f>
        <v/>
      </c>
      <c r="E178" s="50"/>
      <c r="F178" s="50">
        <f>SUMIF('Stock Purchase'!$D:$D,B178,'Stock Purchase'!$F:$F)</f>
        <v>0</v>
      </c>
      <c r="G178" s="50">
        <f>SUMIFS('Stock Adjustment'!$E:$E,'Stock Adjustment'!$B:$B,$A178,'Stock Adjustment'!$D:$D,"Customer Returned")</f>
        <v>0</v>
      </c>
      <c r="H178" s="50">
        <f>SUMIF('Daily Sales Entry'!$D:$D,B178,'Daily Sales Entry'!$G:$G)</f>
        <v>0</v>
      </c>
      <c r="I178" s="50">
        <f>SUMIFS('Stock Adjustment'!$E:$E,'Stock Adjustment'!$B:$B,$A178,'Stock Adjustment'!$D:$D,"Staff Consumption")</f>
        <v>0</v>
      </c>
      <c r="J178" s="50">
        <f>SUMIFS('Stock Adjustment'!$E:$E,'Stock Adjustment'!$B:$B,$A178,'Stock Adjustment'!$D:$D,"Damaged")</f>
        <v>0</v>
      </c>
      <c r="K178" s="50">
        <f>SUMIFS('Stock Adjustment'!$E:$E,'Stock Adjustment'!$B:$B,$A178,'Stock Adjustment'!$D:$D,"Expired")</f>
        <v>0</v>
      </c>
      <c r="L178" s="50">
        <f>SUMIFS('Stock Adjustment'!$E:$E,'Stock Adjustment'!$B:$B,$A178,'Stock Adjustment'!$D:$D,"Supplier Returned")</f>
        <v>0</v>
      </c>
      <c r="M1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8" s="53" t="str">
        <f>IF(B178="","",VLOOKUP(B178,'Product Master'!$B:$G,4,FALSE))</f>
        <v/>
      </c>
      <c r="O178" s="53" t="str">
        <f>IF(B178="","",VLOOKUP(B178,'Product Master'!$B:$G,5,FALSE))</f>
        <v/>
      </c>
      <c r="P178" s="50" t="str">
        <f>IF(B178="","",VLOOKUP(B178,'Product Master'!$B:$I,7,FALSE))</f>
        <v/>
      </c>
      <c r="Q178" s="158"/>
      <c r="R178" s="58" t="str">
        <f t="shared" si="2"/>
        <v/>
      </c>
      <c r="S178" s="25"/>
      <c r="T178" s="25"/>
      <c r="U178" s="25"/>
      <c r="V178" s="25"/>
      <c r="W178" s="25"/>
      <c r="X178" s="25"/>
    </row>
    <row r="179" spans="1:24" x14ac:dyDescent="0.25">
      <c r="A179" s="31" t="s">
        <v>739</v>
      </c>
      <c r="B179" s="32"/>
      <c r="C179" s="50" t="str">
        <f>IF(B179="","",VLOOKUP(B179,'Product Master'!$B:$G,2,FALSE))</f>
        <v/>
      </c>
      <c r="D179" s="50" t="str">
        <f>IF(B179="","",VLOOKUP(B179,'Product Master'!$B:$G,3,FALSE))</f>
        <v/>
      </c>
      <c r="E179" s="50"/>
      <c r="F179" s="50">
        <f>SUMIF('Stock Purchase'!$D:$D,B179,'Stock Purchase'!$F:$F)</f>
        <v>0</v>
      </c>
      <c r="G179" s="50">
        <f>SUMIFS('Stock Adjustment'!$E:$E,'Stock Adjustment'!$B:$B,$A179,'Stock Adjustment'!$D:$D,"Customer Returned")</f>
        <v>0</v>
      </c>
      <c r="H179" s="50">
        <f>SUMIF('Daily Sales Entry'!$D:$D,B179,'Daily Sales Entry'!$G:$G)</f>
        <v>0</v>
      </c>
      <c r="I179" s="50">
        <f>SUMIFS('Stock Adjustment'!$E:$E,'Stock Adjustment'!$B:$B,$A179,'Stock Adjustment'!$D:$D,"Staff Consumption")</f>
        <v>0</v>
      </c>
      <c r="J179" s="50">
        <f>SUMIFS('Stock Adjustment'!$E:$E,'Stock Adjustment'!$B:$B,$A179,'Stock Adjustment'!$D:$D,"Damaged")</f>
        <v>0</v>
      </c>
      <c r="K179" s="50">
        <f>SUMIFS('Stock Adjustment'!$E:$E,'Stock Adjustment'!$B:$B,$A179,'Stock Adjustment'!$D:$D,"Expired")</f>
        <v>0</v>
      </c>
      <c r="L179" s="50">
        <f>SUMIFS('Stock Adjustment'!$E:$E,'Stock Adjustment'!$B:$B,$A179,'Stock Adjustment'!$D:$D,"Supplier Returned")</f>
        <v>0</v>
      </c>
      <c r="M1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79" s="53" t="str">
        <f>IF(B179="","",VLOOKUP(B179,'Product Master'!$B:$G,4,FALSE))</f>
        <v/>
      </c>
      <c r="O179" s="53" t="str">
        <f>IF(B179="","",VLOOKUP(B179,'Product Master'!$B:$G,5,FALSE))</f>
        <v/>
      </c>
      <c r="P179" s="50" t="str">
        <f>IF(B179="","",VLOOKUP(B179,'Product Master'!$B:$I,7,FALSE))</f>
        <v/>
      </c>
      <c r="Q179" s="158"/>
      <c r="R179" s="58" t="str">
        <f t="shared" si="2"/>
        <v/>
      </c>
      <c r="S179" s="25"/>
      <c r="T179" s="25"/>
      <c r="U179" s="25"/>
      <c r="V179" s="25"/>
      <c r="W179" s="25"/>
      <c r="X179" s="25"/>
    </row>
    <row r="180" spans="1:24" x14ac:dyDescent="0.25">
      <c r="A180" s="31" t="s">
        <v>740</v>
      </c>
      <c r="B180" s="32"/>
      <c r="C180" s="50" t="str">
        <f>IF(B180="","",VLOOKUP(B180,'Product Master'!$B:$G,2,FALSE))</f>
        <v/>
      </c>
      <c r="D180" s="50" t="str">
        <f>IF(B180="","",VLOOKUP(B180,'Product Master'!$B:$G,3,FALSE))</f>
        <v/>
      </c>
      <c r="E180" s="50"/>
      <c r="F180" s="50">
        <f>SUMIF('Stock Purchase'!$D:$D,B180,'Stock Purchase'!$F:$F)</f>
        <v>0</v>
      </c>
      <c r="G180" s="50">
        <f>SUMIFS('Stock Adjustment'!$E:$E,'Stock Adjustment'!$B:$B,$A180,'Stock Adjustment'!$D:$D,"Customer Returned")</f>
        <v>0</v>
      </c>
      <c r="H180" s="50">
        <f>SUMIF('Daily Sales Entry'!$D:$D,B180,'Daily Sales Entry'!$G:$G)</f>
        <v>0</v>
      </c>
      <c r="I180" s="50">
        <f>SUMIFS('Stock Adjustment'!$E:$E,'Stock Adjustment'!$B:$B,$A180,'Stock Adjustment'!$D:$D,"Staff Consumption")</f>
        <v>0</v>
      </c>
      <c r="J180" s="50">
        <f>SUMIFS('Stock Adjustment'!$E:$E,'Stock Adjustment'!$B:$B,$A180,'Stock Adjustment'!$D:$D,"Damaged")</f>
        <v>0</v>
      </c>
      <c r="K180" s="50">
        <f>SUMIFS('Stock Adjustment'!$E:$E,'Stock Adjustment'!$B:$B,$A180,'Stock Adjustment'!$D:$D,"Expired")</f>
        <v>0</v>
      </c>
      <c r="L180" s="50">
        <f>SUMIFS('Stock Adjustment'!$E:$E,'Stock Adjustment'!$B:$B,$A180,'Stock Adjustment'!$D:$D,"Supplier Returned")</f>
        <v>0</v>
      </c>
      <c r="M1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0" s="53" t="str">
        <f>IF(B180="","",VLOOKUP(B180,'Product Master'!$B:$G,4,FALSE))</f>
        <v/>
      </c>
      <c r="O180" s="53" t="str">
        <f>IF(B180="","",VLOOKUP(B180,'Product Master'!$B:$G,5,FALSE))</f>
        <v/>
      </c>
      <c r="P180" s="50" t="str">
        <f>IF(B180="","",VLOOKUP(B180,'Product Master'!$B:$I,7,FALSE))</f>
        <v/>
      </c>
      <c r="Q180" s="158"/>
      <c r="R180" s="58" t="str">
        <f t="shared" si="2"/>
        <v/>
      </c>
      <c r="S180" s="25"/>
      <c r="T180" s="25"/>
      <c r="U180" s="25"/>
      <c r="V180" s="25"/>
      <c r="W180" s="25"/>
      <c r="X180" s="25"/>
    </row>
    <row r="181" spans="1:24" x14ac:dyDescent="0.25">
      <c r="A181" s="31" t="s">
        <v>741</v>
      </c>
      <c r="B181" s="32"/>
      <c r="C181" s="50" t="str">
        <f>IF(B181="","",VLOOKUP(B181,'Product Master'!$B:$G,2,FALSE))</f>
        <v/>
      </c>
      <c r="D181" s="50" t="str">
        <f>IF(B181="","",VLOOKUP(B181,'Product Master'!$B:$G,3,FALSE))</f>
        <v/>
      </c>
      <c r="E181" s="50"/>
      <c r="F181" s="50">
        <f>SUMIF('Stock Purchase'!$D:$D,B181,'Stock Purchase'!$F:$F)</f>
        <v>0</v>
      </c>
      <c r="G181" s="50">
        <f>SUMIFS('Stock Adjustment'!$E:$E,'Stock Adjustment'!$B:$B,$A181,'Stock Adjustment'!$D:$D,"Customer Returned")</f>
        <v>0</v>
      </c>
      <c r="H181" s="50">
        <f>SUMIF('Daily Sales Entry'!$D:$D,B181,'Daily Sales Entry'!$G:$G)</f>
        <v>0</v>
      </c>
      <c r="I181" s="50">
        <f>SUMIFS('Stock Adjustment'!$E:$E,'Stock Adjustment'!$B:$B,$A181,'Stock Adjustment'!$D:$D,"Staff Consumption")</f>
        <v>0</v>
      </c>
      <c r="J181" s="50">
        <f>SUMIFS('Stock Adjustment'!$E:$E,'Stock Adjustment'!$B:$B,$A181,'Stock Adjustment'!$D:$D,"Damaged")</f>
        <v>0</v>
      </c>
      <c r="K181" s="50">
        <f>SUMIFS('Stock Adjustment'!$E:$E,'Stock Adjustment'!$B:$B,$A181,'Stock Adjustment'!$D:$D,"Expired")</f>
        <v>0</v>
      </c>
      <c r="L181" s="50">
        <f>SUMIFS('Stock Adjustment'!$E:$E,'Stock Adjustment'!$B:$B,$A181,'Stock Adjustment'!$D:$D,"Supplier Returned")</f>
        <v>0</v>
      </c>
      <c r="M1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1" s="53" t="str">
        <f>IF(B181="","",VLOOKUP(B181,'Product Master'!$B:$G,4,FALSE))</f>
        <v/>
      </c>
      <c r="O181" s="53" t="str">
        <f>IF(B181="","",VLOOKUP(B181,'Product Master'!$B:$G,5,FALSE))</f>
        <v/>
      </c>
      <c r="P181" s="50" t="str">
        <f>IF(B181="","",VLOOKUP(B181,'Product Master'!$B:$I,7,FALSE))</f>
        <v/>
      </c>
      <c r="Q181" s="158"/>
      <c r="R181" s="58" t="str">
        <f t="shared" si="2"/>
        <v/>
      </c>
      <c r="S181" s="25"/>
      <c r="T181" s="25"/>
      <c r="U181" s="25"/>
      <c r="V181" s="25"/>
      <c r="W181" s="25"/>
      <c r="X181" s="25"/>
    </row>
    <row r="182" spans="1:24" x14ac:dyDescent="0.25">
      <c r="A182" s="31" t="s">
        <v>742</v>
      </c>
      <c r="B182" s="32"/>
      <c r="C182" s="50" t="str">
        <f>IF(B182="","",VLOOKUP(B182,'Product Master'!$B:$G,2,FALSE))</f>
        <v/>
      </c>
      <c r="D182" s="50" t="str">
        <f>IF(B182="","",VLOOKUP(B182,'Product Master'!$B:$G,3,FALSE))</f>
        <v/>
      </c>
      <c r="E182" s="50"/>
      <c r="F182" s="50">
        <f>SUMIF('Stock Purchase'!$D:$D,B182,'Stock Purchase'!$F:$F)</f>
        <v>0</v>
      </c>
      <c r="G182" s="50">
        <f>SUMIFS('Stock Adjustment'!$E:$E,'Stock Adjustment'!$B:$B,$A182,'Stock Adjustment'!$D:$D,"Customer Returned")</f>
        <v>0</v>
      </c>
      <c r="H182" s="50">
        <f>SUMIF('Daily Sales Entry'!$D:$D,B182,'Daily Sales Entry'!$G:$G)</f>
        <v>0</v>
      </c>
      <c r="I182" s="50">
        <f>SUMIFS('Stock Adjustment'!$E:$E,'Stock Adjustment'!$B:$B,$A182,'Stock Adjustment'!$D:$D,"Staff Consumption")</f>
        <v>0</v>
      </c>
      <c r="J182" s="50">
        <f>SUMIFS('Stock Adjustment'!$E:$E,'Stock Adjustment'!$B:$B,$A182,'Stock Adjustment'!$D:$D,"Damaged")</f>
        <v>0</v>
      </c>
      <c r="K182" s="50">
        <f>SUMIFS('Stock Adjustment'!$E:$E,'Stock Adjustment'!$B:$B,$A182,'Stock Adjustment'!$D:$D,"Expired")</f>
        <v>0</v>
      </c>
      <c r="L182" s="50">
        <f>SUMIFS('Stock Adjustment'!$E:$E,'Stock Adjustment'!$B:$B,$A182,'Stock Adjustment'!$D:$D,"Supplier Returned")</f>
        <v>0</v>
      </c>
      <c r="M1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2" s="53" t="str">
        <f>IF(B182="","",VLOOKUP(B182,'Product Master'!$B:$G,4,FALSE))</f>
        <v/>
      </c>
      <c r="O182" s="53" t="str">
        <f>IF(B182="","",VLOOKUP(B182,'Product Master'!$B:$G,5,FALSE))</f>
        <v/>
      </c>
      <c r="P182" s="50" t="str">
        <f>IF(B182="","",VLOOKUP(B182,'Product Master'!$B:$I,7,FALSE))</f>
        <v/>
      </c>
      <c r="Q182" s="158"/>
      <c r="R182" s="58" t="str">
        <f t="shared" si="2"/>
        <v/>
      </c>
      <c r="S182" s="25"/>
      <c r="T182" s="25"/>
      <c r="U182" s="25"/>
      <c r="V182" s="25"/>
      <c r="W182" s="25"/>
      <c r="X182" s="25"/>
    </row>
    <row r="183" spans="1:24" x14ac:dyDescent="0.25">
      <c r="A183" s="31" t="s">
        <v>743</v>
      </c>
      <c r="B183" s="32"/>
      <c r="C183" s="50" t="str">
        <f>IF(B183="","",VLOOKUP(B183,'Product Master'!$B:$G,2,FALSE))</f>
        <v/>
      </c>
      <c r="D183" s="50" t="str">
        <f>IF(B183="","",VLOOKUP(B183,'Product Master'!$B:$G,3,FALSE))</f>
        <v/>
      </c>
      <c r="E183" s="50"/>
      <c r="F183" s="50">
        <f>SUMIF('Stock Purchase'!$D:$D,B183,'Stock Purchase'!$F:$F)</f>
        <v>0</v>
      </c>
      <c r="G183" s="50">
        <f>SUMIFS('Stock Adjustment'!$E:$E,'Stock Adjustment'!$B:$B,$A183,'Stock Adjustment'!$D:$D,"Customer Returned")</f>
        <v>0</v>
      </c>
      <c r="H183" s="50">
        <f>SUMIF('Daily Sales Entry'!$D:$D,B183,'Daily Sales Entry'!$G:$G)</f>
        <v>0</v>
      </c>
      <c r="I183" s="50">
        <f>SUMIFS('Stock Adjustment'!$E:$E,'Stock Adjustment'!$B:$B,$A183,'Stock Adjustment'!$D:$D,"Staff Consumption")</f>
        <v>0</v>
      </c>
      <c r="J183" s="50">
        <f>SUMIFS('Stock Adjustment'!$E:$E,'Stock Adjustment'!$B:$B,$A183,'Stock Adjustment'!$D:$D,"Damaged")</f>
        <v>0</v>
      </c>
      <c r="K183" s="50">
        <f>SUMIFS('Stock Adjustment'!$E:$E,'Stock Adjustment'!$B:$B,$A183,'Stock Adjustment'!$D:$D,"Expired")</f>
        <v>0</v>
      </c>
      <c r="L183" s="50">
        <f>SUMIFS('Stock Adjustment'!$E:$E,'Stock Adjustment'!$B:$B,$A183,'Stock Adjustment'!$D:$D,"Supplier Returned")</f>
        <v>0</v>
      </c>
      <c r="M1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3" s="53" t="str">
        <f>IF(B183="","",VLOOKUP(B183,'Product Master'!$B:$G,4,FALSE))</f>
        <v/>
      </c>
      <c r="O183" s="53" t="str">
        <f>IF(B183="","",VLOOKUP(B183,'Product Master'!$B:$G,5,FALSE))</f>
        <v/>
      </c>
      <c r="P183" s="50" t="str">
        <f>IF(B183="","",VLOOKUP(B183,'Product Master'!$B:$I,7,FALSE))</f>
        <v/>
      </c>
      <c r="Q183" s="158"/>
      <c r="R183" s="58" t="str">
        <f t="shared" si="2"/>
        <v/>
      </c>
      <c r="S183" s="25"/>
      <c r="T183" s="25"/>
      <c r="U183" s="25"/>
      <c r="V183" s="25"/>
      <c r="W183" s="25"/>
      <c r="X183" s="25"/>
    </row>
    <row r="184" spans="1:24" x14ac:dyDescent="0.25">
      <c r="A184" s="31" t="s">
        <v>744</v>
      </c>
      <c r="B184" s="32"/>
      <c r="C184" s="50" t="str">
        <f>IF(B184="","",VLOOKUP(B184,'Product Master'!$B:$G,2,FALSE))</f>
        <v/>
      </c>
      <c r="D184" s="50" t="str">
        <f>IF(B184="","",VLOOKUP(B184,'Product Master'!$B:$G,3,FALSE))</f>
        <v/>
      </c>
      <c r="E184" s="50"/>
      <c r="F184" s="50">
        <f>SUMIF('Stock Purchase'!$D:$D,B184,'Stock Purchase'!$F:$F)</f>
        <v>0</v>
      </c>
      <c r="G184" s="50">
        <f>SUMIFS('Stock Adjustment'!$E:$E,'Stock Adjustment'!$B:$B,$A184,'Stock Adjustment'!$D:$D,"Customer Returned")</f>
        <v>0</v>
      </c>
      <c r="H184" s="50">
        <f>SUMIF('Daily Sales Entry'!$D:$D,B184,'Daily Sales Entry'!$G:$G)</f>
        <v>0</v>
      </c>
      <c r="I184" s="50">
        <f>SUMIFS('Stock Adjustment'!$E:$E,'Stock Adjustment'!$B:$B,$A184,'Stock Adjustment'!$D:$D,"Staff Consumption")</f>
        <v>0</v>
      </c>
      <c r="J184" s="50">
        <f>SUMIFS('Stock Adjustment'!$E:$E,'Stock Adjustment'!$B:$B,$A184,'Stock Adjustment'!$D:$D,"Damaged")</f>
        <v>0</v>
      </c>
      <c r="K184" s="50">
        <f>SUMIFS('Stock Adjustment'!$E:$E,'Stock Adjustment'!$B:$B,$A184,'Stock Adjustment'!$D:$D,"Expired")</f>
        <v>0</v>
      </c>
      <c r="L184" s="50">
        <f>SUMIFS('Stock Adjustment'!$E:$E,'Stock Adjustment'!$B:$B,$A184,'Stock Adjustment'!$D:$D,"Supplier Returned")</f>
        <v>0</v>
      </c>
      <c r="M1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4" s="53" t="str">
        <f>IF(B184="","",VLOOKUP(B184,'Product Master'!$B:$G,4,FALSE))</f>
        <v/>
      </c>
      <c r="O184" s="53" t="str">
        <f>IF(B184="","",VLOOKUP(B184,'Product Master'!$B:$G,5,FALSE))</f>
        <v/>
      </c>
      <c r="P184" s="50" t="str">
        <f>IF(B184="","",VLOOKUP(B184,'Product Master'!$B:$I,7,FALSE))</f>
        <v/>
      </c>
      <c r="Q184" s="158"/>
      <c r="R184" s="58" t="str">
        <f t="shared" si="2"/>
        <v/>
      </c>
      <c r="S184" s="25"/>
      <c r="T184" s="25"/>
      <c r="U184" s="25"/>
      <c r="V184" s="25"/>
      <c r="W184" s="25"/>
      <c r="X184" s="25"/>
    </row>
    <row r="185" spans="1:24" x14ac:dyDescent="0.25">
      <c r="A185" s="31" t="s">
        <v>745</v>
      </c>
      <c r="B185" s="32"/>
      <c r="C185" s="50" t="str">
        <f>IF(B185="","",VLOOKUP(B185,'Product Master'!$B:$G,2,FALSE))</f>
        <v/>
      </c>
      <c r="D185" s="50" t="str">
        <f>IF(B185="","",VLOOKUP(B185,'Product Master'!$B:$G,3,FALSE))</f>
        <v/>
      </c>
      <c r="E185" s="50"/>
      <c r="F185" s="50">
        <f>SUMIF('Stock Purchase'!$D:$D,B185,'Stock Purchase'!$F:$F)</f>
        <v>0</v>
      </c>
      <c r="G185" s="50">
        <f>SUMIFS('Stock Adjustment'!$E:$E,'Stock Adjustment'!$B:$B,$A185,'Stock Adjustment'!$D:$D,"Customer Returned")</f>
        <v>0</v>
      </c>
      <c r="H185" s="50">
        <f>SUMIF('Daily Sales Entry'!$D:$D,B185,'Daily Sales Entry'!$G:$G)</f>
        <v>0</v>
      </c>
      <c r="I185" s="50">
        <f>SUMIFS('Stock Adjustment'!$E:$E,'Stock Adjustment'!$B:$B,$A185,'Stock Adjustment'!$D:$D,"Staff Consumption")</f>
        <v>0</v>
      </c>
      <c r="J185" s="50">
        <f>SUMIFS('Stock Adjustment'!$E:$E,'Stock Adjustment'!$B:$B,$A185,'Stock Adjustment'!$D:$D,"Damaged")</f>
        <v>0</v>
      </c>
      <c r="K185" s="50">
        <f>SUMIFS('Stock Adjustment'!$E:$E,'Stock Adjustment'!$B:$B,$A185,'Stock Adjustment'!$D:$D,"Expired")</f>
        <v>0</v>
      </c>
      <c r="L185" s="50">
        <f>SUMIFS('Stock Adjustment'!$E:$E,'Stock Adjustment'!$B:$B,$A185,'Stock Adjustment'!$D:$D,"Supplier Returned")</f>
        <v>0</v>
      </c>
      <c r="M1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5" s="53" t="str">
        <f>IF(B185="","",VLOOKUP(B185,'Product Master'!$B:$G,4,FALSE))</f>
        <v/>
      </c>
      <c r="O185" s="53" t="str">
        <f>IF(B185="","",VLOOKUP(B185,'Product Master'!$B:$G,5,FALSE))</f>
        <v/>
      </c>
      <c r="P185" s="50" t="str">
        <f>IF(B185="","",VLOOKUP(B185,'Product Master'!$B:$I,7,FALSE))</f>
        <v/>
      </c>
      <c r="Q185" s="158"/>
      <c r="R185" s="58" t="str">
        <f t="shared" si="2"/>
        <v/>
      </c>
      <c r="S185" s="25"/>
      <c r="T185" s="25"/>
      <c r="U185" s="25"/>
      <c r="V185" s="25"/>
      <c r="W185" s="25"/>
      <c r="X185" s="25"/>
    </row>
    <row r="186" spans="1:24" x14ac:dyDescent="0.25">
      <c r="A186" s="31" t="s">
        <v>746</v>
      </c>
      <c r="B186" s="32"/>
      <c r="C186" s="50" t="str">
        <f>IF(B186="","",VLOOKUP(B186,'Product Master'!$B:$G,2,FALSE))</f>
        <v/>
      </c>
      <c r="D186" s="50" t="str">
        <f>IF(B186="","",VLOOKUP(B186,'Product Master'!$B:$G,3,FALSE))</f>
        <v/>
      </c>
      <c r="E186" s="50"/>
      <c r="F186" s="50">
        <f>SUMIF('Stock Purchase'!$D:$D,B186,'Stock Purchase'!$F:$F)</f>
        <v>0</v>
      </c>
      <c r="G186" s="50">
        <f>SUMIFS('Stock Adjustment'!$E:$E,'Stock Adjustment'!$B:$B,$A186,'Stock Adjustment'!$D:$D,"Customer Returned")</f>
        <v>0</v>
      </c>
      <c r="H186" s="50">
        <f>SUMIF('Daily Sales Entry'!$D:$D,B186,'Daily Sales Entry'!$G:$G)</f>
        <v>0</v>
      </c>
      <c r="I186" s="50">
        <f>SUMIFS('Stock Adjustment'!$E:$E,'Stock Adjustment'!$B:$B,$A186,'Stock Adjustment'!$D:$D,"Staff Consumption")</f>
        <v>0</v>
      </c>
      <c r="J186" s="50">
        <f>SUMIFS('Stock Adjustment'!$E:$E,'Stock Adjustment'!$B:$B,$A186,'Stock Adjustment'!$D:$D,"Damaged")</f>
        <v>0</v>
      </c>
      <c r="K186" s="50">
        <f>SUMIFS('Stock Adjustment'!$E:$E,'Stock Adjustment'!$B:$B,$A186,'Stock Adjustment'!$D:$D,"Expired")</f>
        <v>0</v>
      </c>
      <c r="L186" s="50">
        <f>SUMIFS('Stock Adjustment'!$E:$E,'Stock Adjustment'!$B:$B,$A186,'Stock Adjustment'!$D:$D,"Supplier Returned")</f>
        <v>0</v>
      </c>
      <c r="M1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6" s="53" t="str">
        <f>IF(B186="","",VLOOKUP(B186,'Product Master'!$B:$G,4,FALSE))</f>
        <v/>
      </c>
      <c r="O186" s="53" t="str">
        <f>IF(B186="","",VLOOKUP(B186,'Product Master'!$B:$G,5,FALSE))</f>
        <v/>
      </c>
      <c r="P186" s="50" t="str">
        <f>IF(B186="","",VLOOKUP(B186,'Product Master'!$B:$I,7,FALSE))</f>
        <v/>
      </c>
      <c r="Q186" s="158"/>
      <c r="R186" s="58" t="str">
        <f t="shared" si="2"/>
        <v/>
      </c>
      <c r="S186" s="25"/>
      <c r="T186" s="25"/>
      <c r="U186" s="25"/>
      <c r="V186" s="25"/>
      <c r="W186" s="25"/>
      <c r="X186" s="25"/>
    </row>
    <row r="187" spans="1:24" x14ac:dyDescent="0.25">
      <c r="A187" s="31" t="s">
        <v>747</v>
      </c>
      <c r="B187" s="32"/>
      <c r="C187" s="50" t="str">
        <f>IF(B187="","",VLOOKUP(B187,'Product Master'!$B:$G,2,FALSE))</f>
        <v/>
      </c>
      <c r="D187" s="50" t="str">
        <f>IF(B187="","",VLOOKUP(B187,'Product Master'!$B:$G,3,FALSE))</f>
        <v/>
      </c>
      <c r="E187" s="50"/>
      <c r="F187" s="50">
        <f>SUMIF('Stock Purchase'!$D:$D,B187,'Stock Purchase'!$F:$F)</f>
        <v>0</v>
      </c>
      <c r="G187" s="50">
        <f>SUMIFS('Stock Adjustment'!$E:$E,'Stock Adjustment'!$B:$B,$A187,'Stock Adjustment'!$D:$D,"Customer Returned")</f>
        <v>0</v>
      </c>
      <c r="H187" s="50">
        <f>SUMIF('Daily Sales Entry'!$D:$D,B187,'Daily Sales Entry'!$G:$G)</f>
        <v>0</v>
      </c>
      <c r="I187" s="50">
        <f>SUMIFS('Stock Adjustment'!$E:$E,'Stock Adjustment'!$B:$B,$A187,'Stock Adjustment'!$D:$D,"Staff Consumption")</f>
        <v>0</v>
      </c>
      <c r="J187" s="50">
        <f>SUMIFS('Stock Adjustment'!$E:$E,'Stock Adjustment'!$B:$B,$A187,'Stock Adjustment'!$D:$D,"Damaged")</f>
        <v>0</v>
      </c>
      <c r="K187" s="50">
        <f>SUMIFS('Stock Adjustment'!$E:$E,'Stock Adjustment'!$B:$B,$A187,'Stock Adjustment'!$D:$D,"Expired")</f>
        <v>0</v>
      </c>
      <c r="L187" s="50">
        <f>SUMIFS('Stock Adjustment'!$E:$E,'Stock Adjustment'!$B:$B,$A187,'Stock Adjustment'!$D:$D,"Supplier Returned")</f>
        <v>0</v>
      </c>
      <c r="M1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7" s="53" t="str">
        <f>IF(B187="","",VLOOKUP(B187,'Product Master'!$B:$G,4,FALSE))</f>
        <v/>
      </c>
      <c r="O187" s="53" t="str">
        <f>IF(B187="","",VLOOKUP(B187,'Product Master'!$B:$G,5,FALSE))</f>
        <v/>
      </c>
      <c r="P187" s="50" t="str">
        <f>IF(B187="","",VLOOKUP(B187,'Product Master'!$B:$I,7,FALSE))</f>
        <v/>
      </c>
      <c r="Q187" s="158"/>
      <c r="R187" s="58" t="str">
        <f t="shared" si="2"/>
        <v/>
      </c>
      <c r="S187" s="25"/>
      <c r="T187" s="25"/>
      <c r="U187" s="25"/>
      <c r="V187" s="25"/>
      <c r="W187" s="25"/>
      <c r="X187" s="25"/>
    </row>
    <row r="188" spans="1:24" x14ac:dyDescent="0.25">
      <c r="A188" s="31" t="s">
        <v>748</v>
      </c>
      <c r="B188" s="32"/>
      <c r="C188" s="50" t="str">
        <f>IF(B188="","",VLOOKUP(B188,'Product Master'!$B:$G,2,FALSE))</f>
        <v/>
      </c>
      <c r="D188" s="50" t="str">
        <f>IF(B188="","",VLOOKUP(B188,'Product Master'!$B:$G,3,FALSE))</f>
        <v/>
      </c>
      <c r="E188" s="50"/>
      <c r="F188" s="50">
        <f>SUMIF('Stock Purchase'!$D:$D,B188,'Stock Purchase'!$F:$F)</f>
        <v>0</v>
      </c>
      <c r="G188" s="50">
        <f>SUMIFS('Stock Adjustment'!$E:$E,'Stock Adjustment'!$B:$B,$A188,'Stock Adjustment'!$D:$D,"Customer Returned")</f>
        <v>0</v>
      </c>
      <c r="H188" s="50">
        <f>SUMIF('Daily Sales Entry'!$D:$D,B188,'Daily Sales Entry'!$G:$G)</f>
        <v>0</v>
      </c>
      <c r="I188" s="50">
        <f>SUMIFS('Stock Adjustment'!$E:$E,'Stock Adjustment'!$B:$B,$A188,'Stock Adjustment'!$D:$D,"Staff Consumption")</f>
        <v>0</v>
      </c>
      <c r="J188" s="50">
        <f>SUMIFS('Stock Adjustment'!$E:$E,'Stock Adjustment'!$B:$B,$A188,'Stock Adjustment'!$D:$D,"Damaged")</f>
        <v>0</v>
      </c>
      <c r="K188" s="50">
        <f>SUMIFS('Stock Adjustment'!$E:$E,'Stock Adjustment'!$B:$B,$A188,'Stock Adjustment'!$D:$D,"Expired")</f>
        <v>0</v>
      </c>
      <c r="L188" s="50">
        <f>SUMIFS('Stock Adjustment'!$E:$E,'Stock Adjustment'!$B:$B,$A188,'Stock Adjustment'!$D:$D,"Supplier Returned")</f>
        <v>0</v>
      </c>
      <c r="M1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8" s="53" t="str">
        <f>IF(B188="","",VLOOKUP(B188,'Product Master'!$B:$G,4,FALSE))</f>
        <v/>
      </c>
      <c r="O188" s="53" t="str">
        <f>IF(B188="","",VLOOKUP(B188,'Product Master'!$B:$G,5,FALSE))</f>
        <v/>
      </c>
      <c r="P188" s="50" t="str">
        <f>IF(B188="","",VLOOKUP(B188,'Product Master'!$B:$I,7,FALSE))</f>
        <v/>
      </c>
      <c r="Q188" s="158"/>
      <c r="R188" s="58" t="str">
        <f t="shared" si="2"/>
        <v/>
      </c>
      <c r="S188" s="25"/>
      <c r="T188" s="25"/>
      <c r="U188" s="25"/>
      <c r="V188" s="25"/>
      <c r="W188" s="25"/>
      <c r="X188" s="25"/>
    </row>
    <row r="189" spans="1:24" x14ac:dyDescent="0.25">
      <c r="A189" s="31" t="s">
        <v>749</v>
      </c>
      <c r="B189" s="32"/>
      <c r="C189" s="50" t="str">
        <f>IF(B189="","",VLOOKUP(B189,'Product Master'!$B:$G,2,FALSE))</f>
        <v/>
      </c>
      <c r="D189" s="50" t="str">
        <f>IF(B189="","",VLOOKUP(B189,'Product Master'!$B:$G,3,FALSE))</f>
        <v/>
      </c>
      <c r="E189" s="50"/>
      <c r="F189" s="50">
        <f>SUMIF('Stock Purchase'!$D:$D,B189,'Stock Purchase'!$F:$F)</f>
        <v>0</v>
      </c>
      <c r="G189" s="50">
        <f>SUMIFS('Stock Adjustment'!$E:$E,'Stock Adjustment'!$B:$B,$A189,'Stock Adjustment'!$D:$D,"Customer Returned")</f>
        <v>0</v>
      </c>
      <c r="H189" s="50">
        <f>SUMIF('Daily Sales Entry'!$D:$D,B189,'Daily Sales Entry'!$G:$G)</f>
        <v>0</v>
      </c>
      <c r="I189" s="50">
        <f>SUMIFS('Stock Adjustment'!$E:$E,'Stock Adjustment'!$B:$B,$A189,'Stock Adjustment'!$D:$D,"Staff Consumption")</f>
        <v>0</v>
      </c>
      <c r="J189" s="50">
        <f>SUMIFS('Stock Adjustment'!$E:$E,'Stock Adjustment'!$B:$B,$A189,'Stock Adjustment'!$D:$D,"Damaged")</f>
        <v>0</v>
      </c>
      <c r="K189" s="50">
        <f>SUMIFS('Stock Adjustment'!$E:$E,'Stock Adjustment'!$B:$B,$A189,'Stock Adjustment'!$D:$D,"Expired")</f>
        <v>0</v>
      </c>
      <c r="L189" s="50">
        <f>SUMIFS('Stock Adjustment'!$E:$E,'Stock Adjustment'!$B:$B,$A189,'Stock Adjustment'!$D:$D,"Supplier Returned")</f>
        <v>0</v>
      </c>
      <c r="M1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89" s="53" t="str">
        <f>IF(B189="","",VLOOKUP(B189,'Product Master'!$B:$G,4,FALSE))</f>
        <v/>
      </c>
      <c r="O189" s="53" t="str">
        <f>IF(B189="","",VLOOKUP(B189,'Product Master'!$B:$G,5,FALSE))</f>
        <v/>
      </c>
      <c r="P189" s="50" t="str">
        <f>IF(B189="","",VLOOKUP(B189,'Product Master'!$B:$I,7,FALSE))</f>
        <v/>
      </c>
      <c r="Q189" s="158"/>
      <c r="R189" s="58" t="str">
        <f t="shared" si="2"/>
        <v/>
      </c>
      <c r="S189" s="25"/>
      <c r="T189" s="25"/>
      <c r="U189" s="25"/>
      <c r="V189" s="25"/>
      <c r="W189" s="25"/>
      <c r="X189" s="25"/>
    </row>
    <row r="190" spans="1:24" x14ac:dyDescent="0.25">
      <c r="A190" s="31" t="s">
        <v>750</v>
      </c>
      <c r="B190" s="32"/>
      <c r="C190" s="50" t="str">
        <f>IF(B190="","",VLOOKUP(B190,'Product Master'!$B:$G,2,FALSE))</f>
        <v/>
      </c>
      <c r="D190" s="50" t="str">
        <f>IF(B190="","",VLOOKUP(B190,'Product Master'!$B:$G,3,FALSE))</f>
        <v/>
      </c>
      <c r="E190" s="50"/>
      <c r="F190" s="50">
        <f>SUMIF('Stock Purchase'!$D:$D,B190,'Stock Purchase'!$F:$F)</f>
        <v>0</v>
      </c>
      <c r="G190" s="50">
        <f>SUMIFS('Stock Adjustment'!$E:$E,'Stock Adjustment'!$B:$B,$A190,'Stock Adjustment'!$D:$D,"Customer Returned")</f>
        <v>0</v>
      </c>
      <c r="H190" s="50">
        <f>SUMIF('Daily Sales Entry'!$D:$D,B190,'Daily Sales Entry'!$G:$G)</f>
        <v>0</v>
      </c>
      <c r="I190" s="50">
        <f>SUMIFS('Stock Adjustment'!$E:$E,'Stock Adjustment'!$B:$B,$A190,'Stock Adjustment'!$D:$D,"Staff Consumption")</f>
        <v>0</v>
      </c>
      <c r="J190" s="50">
        <f>SUMIFS('Stock Adjustment'!$E:$E,'Stock Adjustment'!$B:$B,$A190,'Stock Adjustment'!$D:$D,"Damaged")</f>
        <v>0</v>
      </c>
      <c r="K190" s="50">
        <f>SUMIFS('Stock Adjustment'!$E:$E,'Stock Adjustment'!$B:$B,$A190,'Stock Adjustment'!$D:$D,"Expired")</f>
        <v>0</v>
      </c>
      <c r="L190" s="50">
        <f>SUMIFS('Stock Adjustment'!$E:$E,'Stock Adjustment'!$B:$B,$A190,'Stock Adjustment'!$D:$D,"Supplier Returned")</f>
        <v>0</v>
      </c>
      <c r="M1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0" s="53" t="str">
        <f>IF(B190="","",VLOOKUP(B190,'Product Master'!$B:$G,4,FALSE))</f>
        <v/>
      </c>
      <c r="O190" s="53" t="str">
        <f>IF(B190="","",VLOOKUP(B190,'Product Master'!$B:$G,5,FALSE))</f>
        <v/>
      </c>
      <c r="P190" s="50" t="str">
        <f>IF(B190="","",VLOOKUP(B190,'Product Master'!$B:$I,7,FALSE))</f>
        <v/>
      </c>
      <c r="Q190" s="158"/>
      <c r="R190" s="58" t="str">
        <f t="shared" si="2"/>
        <v/>
      </c>
      <c r="S190" s="25"/>
      <c r="T190" s="25"/>
      <c r="U190" s="25"/>
      <c r="V190" s="25"/>
      <c r="W190" s="25"/>
      <c r="X190" s="25"/>
    </row>
    <row r="191" spans="1:24" x14ac:dyDescent="0.25">
      <c r="A191" s="31" t="s">
        <v>751</v>
      </c>
      <c r="B191" s="32"/>
      <c r="C191" s="50" t="str">
        <f>IF(B191="","",VLOOKUP(B191,'Product Master'!$B:$G,2,FALSE))</f>
        <v/>
      </c>
      <c r="D191" s="50" t="str">
        <f>IF(B191="","",VLOOKUP(B191,'Product Master'!$B:$G,3,FALSE))</f>
        <v/>
      </c>
      <c r="E191" s="50"/>
      <c r="F191" s="50">
        <f>SUMIF('Stock Purchase'!$D:$D,B191,'Stock Purchase'!$F:$F)</f>
        <v>0</v>
      </c>
      <c r="G191" s="50">
        <f>SUMIFS('Stock Adjustment'!$E:$E,'Stock Adjustment'!$B:$B,$A191,'Stock Adjustment'!$D:$D,"Customer Returned")</f>
        <v>0</v>
      </c>
      <c r="H191" s="50">
        <f>SUMIF('Daily Sales Entry'!$D:$D,B191,'Daily Sales Entry'!$G:$G)</f>
        <v>0</v>
      </c>
      <c r="I191" s="50">
        <f>SUMIFS('Stock Adjustment'!$E:$E,'Stock Adjustment'!$B:$B,$A191,'Stock Adjustment'!$D:$D,"Staff Consumption")</f>
        <v>0</v>
      </c>
      <c r="J191" s="50">
        <f>SUMIFS('Stock Adjustment'!$E:$E,'Stock Adjustment'!$B:$B,$A191,'Stock Adjustment'!$D:$D,"Damaged")</f>
        <v>0</v>
      </c>
      <c r="K191" s="50">
        <f>SUMIFS('Stock Adjustment'!$E:$E,'Stock Adjustment'!$B:$B,$A191,'Stock Adjustment'!$D:$D,"Expired")</f>
        <v>0</v>
      </c>
      <c r="L191" s="50">
        <f>SUMIFS('Stock Adjustment'!$E:$E,'Stock Adjustment'!$B:$B,$A191,'Stock Adjustment'!$D:$D,"Supplier Returned")</f>
        <v>0</v>
      </c>
      <c r="M1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1" s="53" t="str">
        <f>IF(B191="","",VLOOKUP(B191,'Product Master'!$B:$G,4,FALSE))</f>
        <v/>
      </c>
      <c r="O191" s="53" t="str">
        <f>IF(B191="","",VLOOKUP(B191,'Product Master'!$B:$G,5,FALSE))</f>
        <v/>
      </c>
      <c r="P191" s="50" t="str">
        <f>IF(B191="","",VLOOKUP(B191,'Product Master'!$B:$I,7,FALSE))</f>
        <v/>
      </c>
      <c r="Q191" s="158"/>
      <c r="R191" s="58" t="str">
        <f t="shared" si="2"/>
        <v/>
      </c>
      <c r="S191" s="25"/>
      <c r="T191" s="25"/>
      <c r="U191" s="25"/>
      <c r="V191" s="25"/>
      <c r="W191" s="25"/>
      <c r="X191" s="25"/>
    </row>
    <row r="192" spans="1:24" x14ac:dyDescent="0.25">
      <c r="A192" s="31" t="s">
        <v>752</v>
      </c>
      <c r="B192" s="32"/>
      <c r="C192" s="50" t="str">
        <f>IF(B192="","",VLOOKUP(B192,'Product Master'!$B:$G,2,FALSE))</f>
        <v/>
      </c>
      <c r="D192" s="50" t="str">
        <f>IF(B192="","",VLOOKUP(B192,'Product Master'!$B:$G,3,FALSE))</f>
        <v/>
      </c>
      <c r="E192" s="50"/>
      <c r="F192" s="50">
        <f>SUMIF('Stock Purchase'!$D:$D,B192,'Stock Purchase'!$F:$F)</f>
        <v>0</v>
      </c>
      <c r="G192" s="50">
        <f>SUMIFS('Stock Adjustment'!$E:$E,'Stock Adjustment'!$B:$B,$A192,'Stock Adjustment'!$D:$D,"Customer Returned")</f>
        <v>0</v>
      </c>
      <c r="H192" s="50">
        <f>SUMIF('Daily Sales Entry'!$D:$D,B192,'Daily Sales Entry'!$G:$G)</f>
        <v>0</v>
      </c>
      <c r="I192" s="50">
        <f>SUMIFS('Stock Adjustment'!$E:$E,'Stock Adjustment'!$B:$B,$A192,'Stock Adjustment'!$D:$D,"Staff Consumption")</f>
        <v>0</v>
      </c>
      <c r="J192" s="50">
        <f>SUMIFS('Stock Adjustment'!$E:$E,'Stock Adjustment'!$B:$B,$A192,'Stock Adjustment'!$D:$D,"Damaged")</f>
        <v>0</v>
      </c>
      <c r="K192" s="50">
        <f>SUMIFS('Stock Adjustment'!$E:$E,'Stock Adjustment'!$B:$B,$A192,'Stock Adjustment'!$D:$D,"Expired")</f>
        <v>0</v>
      </c>
      <c r="L192" s="50">
        <f>SUMIFS('Stock Adjustment'!$E:$E,'Stock Adjustment'!$B:$B,$A192,'Stock Adjustment'!$D:$D,"Supplier Returned")</f>
        <v>0</v>
      </c>
      <c r="M1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2" s="53" t="str">
        <f>IF(B192="","",VLOOKUP(B192,'Product Master'!$B:$G,4,FALSE))</f>
        <v/>
      </c>
      <c r="O192" s="53" t="str">
        <f>IF(B192="","",VLOOKUP(B192,'Product Master'!$B:$G,5,FALSE))</f>
        <v/>
      </c>
      <c r="P192" s="50" t="str">
        <f>IF(B192="","",VLOOKUP(B192,'Product Master'!$B:$I,7,FALSE))</f>
        <v/>
      </c>
      <c r="Q192" s="158"/>
      <c r="R192" s="58" t="str">
        <f t="shared" si="2"/>
        <v/>
      </c>
      <c r="S192" s="25"/>
      <c r="T192" s="25"/>
      <c r="U192" s="25"/>
      <c r="V192" s="25"/>
      <c r="W192" s="25"/>
      <c r="X192" s="25"/>
    </row>
    <row r="193" spans="1:24" x14ac:dyDescent="0.25">
      <c r="A193" s="31" t="s">
        <v>753</v>
      </c>
      <c r="B193" s="32"/>
      <c r="C193" s="50" t="str">
        <f>IF(B193="","",VLOOKUP(B193,'Product Master'!$B:$G,2,FALSE))</f>
        <v/>
      </c>
      <c r="D193" s="50" t="str">
        <f>IF(B193="","",VLOOKUP(B193,'Product Master'!$B:$G,3,FALSE))</f>
        <v/>
      </c>
      <c r="E193" s="50"/>
      <c r="F193" s="50">
        <f>SUMIF('Stock Purchase'!$D:$D,B193,'Stock Purchase'!$F:$F)</f>
        <v>0</v>
      </c>
      <c r="G193" s="50">
        <f>SUMIFS('Stock Adjustment'!$E:$E,'Stock Adjustment'!$B:$B,$A193,'Stock Adjustment'!$D:$D,"Customer Returned")</f>
        <v>0</v>
      </c>
      <c r="H193" s="50">
        <f>SUMIF('Daily Sales Entry'!$D:$D,B193,'Daily Sales Entry'!$G:$G)</f>
        <v>0</v>
      </c>
      <c r="I193" s="50">
        <f>SUMIFS('Stock Adjustment'!$E:$E,'Stock Adjustment'!$B:$B,$A193,'Stock Adjustment'!$D:$D,"Staff Consumption")</f>
        <v>0</v>
      </c>
      <c r="J193" s="50">
        <f>SUMIFS('Stock Adjustment'!$E:$E,'Stock Adjustment'!$B:$B,$A193,'Stock Adjustment'!$D:$D,"Damaged")</f>
        <v>0</v>
      </c>
      <c r="K193" s="50">
        <f>SUMIFS('Stock Adjustment'!$E:$E,'Stock Adjustment'!$B:$B,$A193,'Stock Adjustment'!$D:$D,"Expired")</f>
        <v>0</v>
      </c>
      <c r="L193" s="50">
        <f>SUMIFS('Stock Adjustment'!$E:$E,'Stock Adjustment'!$B:$B,$A193,'Stock Adjustment'!$D:$D,"Supplier Returned")</f>
        <v>0</v>
      </c>
      <c r="M1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3" s="53" t="str">
        <f>IF(B193="","",VLOOKUP(B193,'Product Master'!$B:$G,4,FALSE))</f>
        <v/>
      </c>
      <c r="O193" s="53" t="str">
        <f>IF(B193="","",VLOOKUP(B193,'Product Master'!$B:$G,5,FALSE))</f>
        <v/>
      </c>
      <c r="P193" s="50" t="str">
        <f>IF(B193="","",VLOOKUP(B193,'Product Master'!$B:$I,7,FALSE))</f>
        <v/>
      </c>
      <c r="Q193" s="158"/>
      <c r="R193" s="58" t="str">
        <f t="shared" si="2"/>
        <v/>
      </c>
      <c r="S193" s="25"/>
      <c r="T193" s="25"/>
      <c r="U193" s="25"/>
      <c r="V193" s="25"/>
      <c r="W193" s="25"/>
      <c r="X193" s="25"/>
    </row>
    <row r="194" spans="1:24" x14ac:dyDescent="0.25">
      <c r="A194" s="31" t="s">
        <v>754</v>
      </c>
      <c r="B194" s="32"/>
      <c r="C194" s="50" t="str">
        <f>IF(B194="","",VLOOKUP(B194,'Product Master'!$B:$G,2,FALSE))</f>
        <v/>
      </c>
      <c r="D194" s="50" t="str">
        <f>IF(B194="","",VLOOKUP(B194,'Product Master'!$B:$G,3,FALSE))</f>
        <v/>
      </c>
      <c r="E194" s="50"/>
      <c r="F194" s="50">
        <f>SUMIF('Stock Purchase'!$D:$D,B194,'Stock Purchase'!$F:$F)</f>
        <v>0</v>
      </c>
      <c r="G194" s="50">
        <f>SUMIFS('Stock Adjustment'!$E:$E,'Stock Adjustment'!$B:$B,$A194,'Stock Adjustment'!$D:$D,"Customer Returned")</f>
        <v>0</v>
      </c>
      <c r="H194" s="50">
        <f>SUMIF('Daily Sales Entry'!$D:$D,B194,'Daily Sales Entry'!$G:$G)</f>
        <v>0</v>
      </c>
      <c r="I194" s="50">
        <f>SUMIFS('Stock Adjustment'!$E:$E,'Stock Adjustment'!$B:$B,$A194,'Stock Adjustment'!$D:$D,"Staff Consumption")</f>
        <v>0</v>
      </c>
      <c r="J194" s="50">
        <f>SUMIFS('Stock Adjustment'!$E:$E,'Stock Adjustment'!$B:$B,$A194,'Stock Adjustment'!$D:$D,"Damaged")</f>
        <v>0</v>
      </c>
      <c r="K194" s="50">
        <f>SUMIFS('Stock Adjustment'!$E:$E,'Stock Adjustment'!$B:$B,$A194,'Stock Adjustment'!$D:$D,"Expired")</f>
        <v>0</v>
      </c>
      <c r="L194" s="50">
        <f>SUMIFS('Stock Adjustment'!$E:$E,'Stock Adjustment'!$B:$B,$A194,'Stock Adjustment'!$D:$D,"Supplier Returned")</f>
        <v>0</v>
      </c>
      <c r="M1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4" s="53" t="str">
        <f>IF(B194="","",VLOOKUP(B194,'Product Master'!$B:$G,4,FALSE))</f>
        <v/>
      </c>
      <c r="O194" s="53" t="str">
        <f>IF(B194="","",VLOOKUP(B194,'Product Master'!$B:$G,5,FALSE))</f>
        <v/>
      </c>
      <c r="P194" s="50" t="str">
        <f>IF(B194="","",VLOOKUP(B194,'Product Master'!$B:$I,7,FALSE))</f>
        <v/>
      </c>
      <c r="Q194" s="158"/>
      <c r="R194" s="58" t="str">
        <f t="shared" ref="R194:R257" si="3">IF(B194="","",IF(M194=0,"Out of Stock",IF(M194&lt;=10,"Low Stock","In Stock")))</f>
        <v/>
      </c>
      <c r="S194" s="25"/>
      <c r="T194" s="25"/>
      <c r="U194" s="25"/>
      <c r="V194" s="25"/>
      <c r="W194" s="25"/>
      <c r="X194" s="25"/>
    </row>
    <row r="195" spans="1:24" x14ac:dyDescent="0.25">
      <c r="A195" s="31" t="s">
        <v>755</v>
      </c>
      <c r="B195" s="32"/>
      <c r="C195" s="50" t="str">
        <f>IF(B195="","",VLOOKUP(B195,'Product Master'!$B:$G,2,FALSE))</f>
        <v/>
      </c>
      <c r="D195" s="50" t="str">
        <f>IF(B195="","",VLOOKUP(B195,'Product Master'!$B:$G,3,FALSE))</f>
        <v/>
      </c>
      <c r="E195" s="50"/>
      <c r="F195" s="50">
        <f>SUMIF('Stock Purchase'!$D:$D,B195,'Stock Purchase'!$F:$F)</f>
        <v>0</v>
      </c>
      <c r="G195" s="50">
        <f>SUMIFS('Stock Adjustment'!$E:$E,'Stock Adjustment'!$B:$B,$A195,'Stock Adjustment'!$D:$D,"Customer Returned")</f>
        <v>0</v>
      </c>
      <c r="H195" s="50">
        <f>SUMIF('Daily Sales Entry'!$D:$D,B195,'Daily Sales Entry'!$G:$G)</f>
        <v>0</v>
      </c>
      <c r="I195" s="50">
        <f>SUMIFS('Stock Adjustment'!$E:$E,'Stock Adjustment'!$B:$B,$A195,'Stock Adjustment'!$D:$D,"Staff Consumption")</f>
        <v>0</v>
      </c>
      <c r="J195" s="50">
        <f>SUMIFS('Stock Adjustment'!$E:$E,'Stock Adjustment'!$B:$B,$A195,'Stock Adjustment'!$D:$D,"Damaged")</f>
        <v>0</v>
      </c>
      <c r="K195" s="50">
        <f>SUMIFS('Stock Adjustment'!$E:$E,'Stock Adjustment'!$B:$B,$A195,'Stock Adjustment'!$D:$D,"Expired")</f>
        <v>0</v>
      </c>
      <c r="L195" s="50">
        <f>SUMIFS('Stock Adjustment'!$E:$E,'Stock Adjustment'!$B:$B,$A195,'Stock Adjustment'!$D:$D,"Supplier Returned")</f>
        <v>0</v>
      </c>
      <c r="M1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5" s="53" t="str">
        <f>IF(B195="","",VLOOKUP(B195,'Product Master'!$B:$G,4,FALSE))</f>
        <v/>
      </c>
      <c r="O195" s="53" t="str">
        <f>IF(B195="","",VLOOKUP(B195,'Product Master'!$B:$G,5,FALSE))</f>
        <v/>
      </c>
      <c r="P195" s="50" t="str">
        <f>IF(B195="","",VLOOKUP(B195,'Product Master'!$B:$I,7,FALSE))</f>
        <v/>
      </c>
      <c r="Q195" s="158"/>
      <c r="R195" s="58" t="str">
        <f t="shared" si="3"/>
        <v/>
      </c>
      <c r="S195" s="25"/>
      <c r="T195" s="25"/>
      <c r="U195" s="25"/>
      <c r="V195" s="25"/>
      <c r="W195" s="25"/>
      <c r="X195" s="25"/>
    </row>
    <row r="196" spans="1:24" x14ac:dyDescent="0.25">
      <c r="A196" s="31" t="s">
        <v>756</v>
      </c>
      <c r="B196" s="32"/>
      <c r="C196" s="50" t="str">
        <f>IF(B196="","",VLOOKUP(B196,'Product Master'!$B:$G,2,FALSE))</f>
        <v/>
      </c>
      <c r="D196" s="50" t="str">
        <f>IF(B196="","",VLOOKUP(B196,'Product Master'!$B:$G,3,FALSE))</f>
        <v/>
      </c>
      <c r="E196" s="50"/>
      <c r="F196" s="50">
        <f>SUMIF('Stock Purchase'!$D:$D,B196,'Stock Purchase'!$F:$F)</f>
        <v>0</v>
      </c>
      <c r="G196" s="50">
        <f>SUMIFS('Stock Adjustment'!$E:$E,'Stock Adjustment'!$B:$B,$A196,'Stock Adjustment'!$D:$D,"Customer Returned")</f>
        <v>0</v>
      </c>
      <c r="H196" s="50">
        <f>SUMIF('Daily Sales Entry'!$D:$D,B196,'Daily Sales Entry'!$G:$G)</f>
        <v>0</v>
      </c>
      <c r="I196" s="50">
        <f>SUMIFS('Stock Adjustment'!$E:$E,'Stock Adjustment'!$B:$B,$A196,'Stock Adjustment'!$D:$D,"Staff Consumption")</f>
        <v>0</v>
      </c>
      <c r="J196" s="50">
        <f>SUMIFS('Stock Adjustment'!$E:$E,'Stock Adjustment'!$B:$B,$A196,'Stock Adjustment'!$D:$D,"Damaged")</f>
        <v>0</v>
      </c>
      <c r="K196" s="50">
        <f>SUMIFS('Stock Adjustment'!$E:$E,'Stock Adjustment'!$B:$B,$A196,'Stock Adjustment'!$D:$D,"Expired")</f>
        <v>0</v>
      </c>
      <c r="L196" s="50">
        <f>SUMIFS('Stock Adjustment'!$E:$E,'Stock Adjustment'!$B:$B,$A196,'Stock Adjustment'!$D:$D,"Supplier Returned")</f>
        <v>0</v>
      </c>
      <c r="M1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6" s="53" t="str">
        <f>IF(B196="","",VLOOKUP(B196,'Product Master'!$B:$G,4,FALSE))</f>
        <v/>
      </c>
      <c r="O196" s="53" t="str">
        <f>IF(B196="","",VLOOKUP(B196,'Product Master'!$B:$G,5,FALSE))</f>
        <v/>
      </c>
      <c r="P196" s="50" t="str">
        <f>IF(B196="","",VLOOKUP(B196,'Product Master'!$B:$I,7,FALSE))</f>
        <v/>
      </c>
      <c r="Q196" s="158"/>
      <c r="R196" s="58" t="str">
        <f t="shared" si="3"/>
        <v/>
      </c>
      <c r="S196" s="25"/>
      <c r="T196" s="25"/>
      <c r="U196" s="25"/>
      <c r="V196" s="25"/>
      <c r="W196" s="25"/>
      <c r="X196" s="25"/>
    </row>
    <row r="197" spans="1:24" x14ac:dyDescent="0.25">
      <c r="A197" s="31" t="s">
        <v>757</v>
      </c>
      <c r="B197" s="32"/>
      <c r="C197" s="50" t="str">
        <f>IF(B197="","",VLOOKUP(B197,'Product Master'!$B:$G,2,FALSE))</f>
        <v/>
      </c>
      <c r="D197" s="50" t="str">
        <f>IF(B197="","",VLOOKUP(B197,'Product Master'!$B:$G,3,FALSE))</f>
        <v/>
      </c>
      <c r="E197" s="50"/>
      <c r="F197" s="50">
        <f>SUMIF('Stock Purchase'!$D:$D,B197,'Stock Purchase'!$F:$F)</f>
        <v>0</v>
      </c>
      <c r="G197" s="50">
        <f>SUMIFS('Stock Adjustment'!$E:$E,'Stock Adjustment'!$B:$B,$A197,'Stock Adjustment'!$D:$D,"Customer Returned")</f>
        <v>0</v>
      </c>
      <c r="H197" s="50">
        <f>SUMIF('Daily Sales Entry'!$D:$D,B197,'Daily Sales Entry'!$G:$G)</f>
        <v>0</v>
      </c>
      <c r="I197" s="50">
        <f>SUMIFS('Stock Adjustment'!$E:$E,'Stock Adjustment'!$B:$B,$A197,'Stock Adjustment'!$D:$D,"Staff Consumption")</f>
        <v>0</v>
      </c>
      <c r="J197" s="50">
        <f>SUMIFS('Stock Adjustment'!$E:$E,'Stock Adjustment'!$B:$B,$A197,'Stock Adjustment'!$D:$D,"Damaged")</f>
        <v>0</v>
      </c>
      <c r="K197" s="50">
        <f>SUMIFS('Stock Adjustment'!$E:$E,'Stock Adjustment'!$B:$B,$A197,'Stock Adjustment'!$D:$D,"Expired")</f>
        <v>0</v>
      </c>
      <c r="L197" s="50">
        <f>SUMIFS('Stock Adjustment'!$E:$E,'Stock Adjustment'!$B:$B,$A197,'Stock Adjustment'!$D:$D,"Supplier Returned")</f>
        <v>0</v>
      </c>
      <c r="M1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7" s="53" t="str">
        <f>IF(B197="","",VLOOKUP(B197,'Product Master'!$B:$G,4,FALSE))</f>
        <v/>
      </c>
      <c r="O197" s="53" t="str">
        <f>IF(B197="","",VLOOKUP(B197,'Product Master'!$B:$G,5,FALSE))</f>
        <v/>
      </c>
      <c r="P197" s="50" t="str">
        <f>IF(B197="","",VLOOKUP(B197,'Product Master'!$B:$I,7,FALSE))</f>
        <v/>
      </c>
      <c r="Q197" s="158"/>
      <c r="R197" s="58" t="str">
        <f t="shared" si="3"/>
        <v/>
      </c>
      <c r="S197" s="25"/>
      <c r="T197" s="25"/>
      <c r="U197" s="25"/>
      <c r="V197" s="25"/>
      <c r="W197" s="25"/>
      <c r="X197" s="25"/>
    </row>
    <row r="198" spans="1:24" x14ac:dyDescent="0.25">
      <c r="A198" s="31" t="s">
        <v>758</v>
      </c>
      <c r="B198" s="32"/>
      <c r="C198" s="50" t="str">
        <f>IF(B198="","",VLOOKUP(B198,'Product Master'!$B:$G,2,FALSE))</f>
        <v/>
      </c>
      <c r="D198" s="50" t="str">
        <f>IF(B198="","",VLOOKUP(B198,'Product Master'!$B:$G,3,FALSE))</f>
        <v/>
      </c>
      <c r="E198" s="50"/>
      <c r="F198" s="50">
        <f>SUMIF('Stock Purchase'!$D:$D,B198,'Stock Purchase'!$F:$F)</f>
        <v>0</v>
      </c>
      <c r="G198" s="50">
        <f>SUMIFS('Stock Adjustment'!$E:$E,'Stock Adjustment'!$B:$B,$A198,'Stock Adjustment'!$D:$D,"Customer Returned")</f>
        <v>0</v>
      </c>
      <c r="H198" s="50">
        <f>SUMIF('Daily Sales Entry'!$D:$D,B198,'Daily Sales Entry'!$G:$G)</f>
        <v>0</v>
      </c>
      <c r="I198" s="50">
        <f>SUMIFS('Stock Adjustment'!$E:$E,'Stock Adjustment'!$B:$B,$A198,'Stock Adjustment'!$D:$D,"Staff Consumption")</f>
        <v>0</v>
      </c>
      <c r="J198" s="50">
        <f>SUMIFS('Stock Adjustment'!$E:$E,'Stock Adjustment'!$B:$B,$A198,'Stock Adjustment'!$D:$D,"Damaged")</f>
        <v>0</v>
      </c>
      <c r="K198" s="50">
        <f>SUMIFS('Stock Adjustment'!$E:$E,'Stock Adjustment'!$B:$B,$A198,'Stock Adjustment'!$D:$D,"Expired")</f>
        <v>0</v>
      </c>
      <c r="L198" s="50">
        <f>SUMIFS('Stock Adjustment'!$E:$E,'Stock Adjustment'!$B:$B,$A198,'Stock Adjustment'!$D:$D,"Supplier Returned")</f>
        <v>0</v>
      </c>
      <c r="M1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8" s="53" t="str">
        <f>IF(B198="","",VLOOKUP(B198,'Product Master'!$B:$G,4,FALSE))</f>
        <v/>
      </c>
      <c r="O198" s="53" t="str">
        <f>IF(B198="","",VLOOKUP(B198,'Product Master'!$B:$G,5,FALSE))</f>
        <v/>
      </c>
      <c r="P198" s="50" t="str">
        <f>IF(B198="","",VLOOKUP(B198,'Product Master'!$B:$I,7,FALSE))</f>
        <v/>
      </c>
      <c r="Q198" s="158"/>
      <c r="R198" s="58" t="str">
        <f t="shared" si="3"/>
        <v/>
      </c>
      <c r="S198" s="25"/>
      <c r="T198" s="25"/>
      <c r="U198" s="25"/>
      <c r="V198" s="25"/>
      <c r="W198" s="25"/>
      <c r="X198" s="25"/>
    </row>
    <row r="199" spans="1:24" x14ac:dyDescent="0.25">
      <c r="A199" s="31" t="s">
        <v>759</v>
      </c>
      <c r="B199" s="32"/>
      <c r="C199" s="50" t="str">
        <f>IF(B199="","",VLOOKUP(B199,'Product Master'!$B:$G,2,FALSE))</f>
        <v/>
      </c>
      <c r="D199" s="50" t="str">
        <f>IF(B199="","",VLOOKUP(B199,'Product Master'!$B:$G,3,FALSE))</f>
        <v/>
      </c>
      <c r="E199" s="50"/>
      <c r="F199" s="50">
        <f>SUMIF('Stock Purchase'!$D:$D,B199,'Stock Purchase'!$F:$F)</f>
        <v>0</v>
      </c>
      <c r="G199" s="50">
        <f>SUMIFS('Stock Adjustment'!$E:$E,'Stock Adjustment'!$B:$B,$A199,'Stock Adjustment'!$D:$D,"Customer Returned")</f>
        <v>0</v>
      </c>
      <c r="H199" s="50">
        <f>SUMIF('Daily Sales Entry'!$D:$D,B199,'Daily Sales Entry'!$G:$G)</f>
        <v>0</v>
      </c>
      <c r="I199" s="50">
        <f>SUMIFS('Stock Adjustment'!$E:$E,'Stock Adjustment'!$B:$B,$A199,'Stock Adjustment'!$D:$D,"Staff Consumption")</f>
        <v>0</v>
      </c>
      <c r="J199" s="50">
        <f>SUMIFS('Stock Adjustment'!$E:$E,'Stock Adjustment'!$B:$B,$A199,'Stock Adjustment'!$D:$D,"Damaged")</f>
        <v>0</v>
      </c>
      <c r="K199" s="50">
        <f>SUMIFS('Stock Adjustment'!$E:$E,'Stock Adjustment'!$B:$B,$A199,'Stock Adjustment'!$D:$D,"Expired")</f>
        <v>0</v>
      </c>
      <c r="L199" s="50">
        <f>SUMIFS('Stock Adjustment'!$E:$E,'Stock Adjustment'!$B:$B,$A199,'Stock Adjustment'!$D:$D,"Supplier Returned")</f>
        <v>0</v>
      </c>
      <c r="M1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99" s="53" t="str">
        <f>IF(B199="","",VLOOKUP(B199,'Product Master'!$B:$G,4,FALSE))</f>
        <v/>
      </c>
      <c r="O199" s="53" t="str">
        <f>IF(B199="","",VLOOKUP(B199,'Product Master'!$B:$G,5,FALSE))</f>
        <v/>
      </c>
      <c r="P199" s="50" t="str">
        <f>IF(B199="","",VLOOKUP(B199,'Product Master'!$B:$I,7,FALSE))</f>
        <v/>
      </c>
      <c r="Q199" s="158"/>
      <c r="R199" s="58" t="str">
        <f t="shared" si="3"/>
        <v/>
      </c>
      <c r="S199" s="25"/>
      <c r="T199" s="25"/>
      <c r="U199" s="25"/>
      <c r="V199" s="25"/>
      <c r="W199" s="25"/>
      <c r="X199" s="25"/>
    </row>
    <row r="200" spans="1:24" x14ac:dyDescent="0.25">
      <c r="A200" s="31" t="s">
        <v>760</v>
      </c>
      <c r="B200" s="32"/>
      <c r="C200" s="50" t="str">
        <f>IF(B200="","",VLOOKUP(B200,'Product Master'!$B:$G,2,FALSE))</f>
        <v/>
      </c>
      <c r="D200" s="50" t="str">
        <f>IF(B200="","",VLOOKUP(B200,'Product Master'!$B:$G,3,FALSE))</f>
        <v/>
      </c>
      <c r="E200" s="50"/>
      <c r="F200" s="50">
        <f>SUMIF('Stock Purchase'!$D:$D,B200,'Stock Purchase'!$F:$F)</f>
        <v>0</v>
      </c>
      <c r="G200" s="50">
        <f>SUMIFS('Stock Adjustment'!$E:$E,'Stock Adjustment'!$B:$B,$A200,'Stock Adjustment'!$D:$D,"Customer Returned")</f>
        <v>0</v>
      </c>
      <c r="H200" s="50">
        <f>SUMIF('Daily Sales Entry'!$D:$D,B200,'Daily Sales Entry'!$G:$G)</f>
        <v>0</v>
      </c>
      <c r="I200" s="50">
        <f>SUMIFS('Stock Adjustment'!$E:$E,'Stock Adjustment'!$B:$B,$A200,'Stock Adjustment'!$D:$D,"Staff Consumption")</f>
        <v>0</v>
      </c>
      <c r="J200" s="50">
        <f>SUMIFS('Stock Adjustment'!$E:$E,'Stock Adjustment'!$B:$B,$A200,'Stock Adjustment'!$D:$D,"Damaged")</f>
        <v>0</v>
      </c>
      <c r="K200" s="50">
        <f>SUMIFS('Stock Adjustment'!$E:$E,'Stock Adjustment'!$B:$B,$A200,'Stock Adjustment'!$D:$D,"Expired")</f>
        <v>0</v>
      </c>
      <c r="L200" s="50">
        <f>SUMIFS('Stock Adjustment'!$E:$E,'Stock Adjustment'!$B:$B,$A200,'Stock Adjustment'!$D:$D,"Supplier Returned")</f>
        <v>0</v>
      </c>
      <c r="M2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0" s="53" t="str">
        <f>IF(B200="","",VLOOKUP(B200,'Product Master'!$B:$G,4,FALSE))</f>
        <v/>
      </c>
      <c r="O200" s="53" t="str">
        <f>IF(B200="","",VLOOKUP(B200,'Product Master'!$B:$G,5,FALSE))</f>
        <v/>
      </c>
      <c r="P200" s="50" t="str">
        <f>IF(B200="","",VLOOKUP(B200,'Product Master'!$B:$I,7,FALSE))</f>
        <v/>
      </c>
      <c r="Q200" s="158"/>
      <c r="R200" s="58" t="str">
        <f t="shared" si="3"/>
        <v/>
      </c>
      <c r="S200" s="25"/>
      <c r="T200" s="25"/>
      <c r="U200" s="25"/>
      <c r="V200" s="25"/>
      <c r="W200" s="25"/>
      <c r="X200" s="25"/>
    </row>
    <row r="201" spans="1:24" x14ac:dyDescent="0.25">
      <c r="A201" s="31" t="s">
        <v>761</v>
      </c>
      <c r="B201" s="32"/>
      <c r="C201" s="50" t="str">
        <f>IF(B201="","",VLOOKUP(B201,'Product Master'!$B:$G,2,FALSE))</f>
        <v/>
      </c>
      <c r="D201" s="50" t="str">
        <f>IF(B201="","",VLOOKUP(B201,'Product Master'!$B:$G,3,FALSE))</f>
        <v/>
      </c>
      <c r="E201" s="50"/>
      <c r="F201" s="50">
        <f>SUMIF('Stock Purchase'!$D:$D,B201,'Stock Purchase'!$F:$F)</f>
        <v>0</v>
      </c>
      <c r="G201" s="50">
        <f>SUMIFS('Stock Adjustment'!$E:$E,'Stock Adjustment'!$B:$B,$A201,'Stock Adjustment'!$D:$D,"Customer Returned")</f>
        <v>0</v>
      </c>
      <c r="H201" s="50">
        <f>SUMIF('Daily Sales Entry'!$D:$D,B201,'Daily Sales Entry'!$G:$G)</f>
        <v>0</v>
      </c>
      <c r="I201" s="50">
        <f>SUMIFS('Stock Adjustment'!$E:$E,'Stock Adjustment'!$B:$B,$A201,'Stock Adjustment'!$D:$D,"Staff Consumption")</f>
        <v>0</v>
      </c>
      <c r="J201" s="50">
        <f>SUMIFS('Stock Adjustment'!$E:$E,'Stock Adjustment'!$B:$B,$A201,'Stock Adjustment'!$D:$D,"Damaged")</f>
        <v>0</v>
      </c>
      <c r="K201" s="50">
        <f>SUMIFS('Stock Adjustment'!$E:$E,'Stock Adjustment'!$B:$B,$A201,'Stock Adjustment'!$D:$D,"Expired")</f>
        <v>0</v>
      </c>
      <c r="L201" s="50">
        <f>SUMIFS('Stock Adjustment'!$E:$E,'Stock Adjustment'!$B:$B,$A201,'Stock Adjustment'!$D:$D,"Supplier Returned")</f>
        <v>0</v>
      </c>
      <c r="M2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1" s="53" t="str">
        <f>IF(B201="","",VLOOKUP(B201,'Product Master'!$B:$G,4,FALSE))</f>
        <v/>
      </c>
      <c r="O201" s="53" t="str">
        <f>IF(B201="","",VLOOKUP(B201,'Product Master'!$B:$G,5,FALSE))</f>
        <v/>
      </c>
      <c r="P201" s="50" t="str">
        <f>IF(B201="","",VLOOKUP(B201,'Product Master'!$B:$I,7,FALSE))</f>
        <v/>
      </c>
      <c r="Q201" s="158"/>
      <c r="R201" s="58" t="str">
        <f t="shared" si="3"/>
        <v/>
      </c>
      <c r="S201" s="25"/>
      <c r="T201" s="25"/>
      <c r="U201" s="25"/>
      <c r="V201" s="25"/>
      <c r="W201" s="25"/>
      <c r="X201" s="25"/>
    </row>
    <row r="202" spans="1:24" x14ac:dyDescent="0.25">
      <c r="A202" s="31" t="s">
        <v>762</v>
      </c>
      <c r="B202" s="32"/>
      <c r="C202" s="50" t="str">
        <f>IF(B202="","",VLOOKUP(B202,'Product Master'!$B:$G,2,FALSE))</f>
        <v/>
      </c>
      <c r="D202" s="50" t="str">
        <f>IF(B202="","",VLOOKUP(B202,'Product Master'!$B:$G,3,FALSE))</f>
        <v/>
      </c>
      <c r="E202" s="50"/>
      <c r="F202" s="50">
        <f>SUMIF('Stock Purchase'!$D:$D,B202,'Stock Purchase'!$F:$F)</f>
        <v>0</v>
      </c>
      <c r="G202" s="50">
        <f>SUMIFS('Stock Adjustment'!$E:$E,'Stock Adjustment'!$B:$B,$A202,'Stock Adjustment'!$D:$D,"Customer Returned")</f>
        <v>0</v>
      </c>
      <c r="H202" s="50">
        <f>SUMIF('Daily Sales Entry'!$D:$D,B202,'Daily Sales Entry'!$G:$G)</f>
        <v>0</v>
      </c>
      <c r="I202" s="50">
        <f>SUMIFS('Stock Adjustment'!$E:$E,'Stock Adjustment'!$B:$B,$A202,'Stock Adjustment'!$D:$D,"Staff Consumption")</f>
        <v>0</v>
      </c>
      <c r="J202" s="50">
        <f>SUMIFS('Stock Adjustment'!$E:$E,'Stock Adjustment'!$B:$B,$A202,'Stock Adjustment'!$D:$D,"Damaged")</f>
        <v>0</v>
      </c>
      <c r="K202" s="50">
        <f>SUMIFS('Stock Adjustment'!$E:$E,'Stock Adjustment'!$B:$B,$A202,'Stock Adjustment'!$D:$D,"Expired")</f>
        <v>0</v>
      </c>
      <c r="L202" s="50">
        <f>SUMIFS('Stock Adjustment'!$E:$E,'Stock Adjustment'!$B:$B,$A202,'Stock Adjustment'!$D:$D,"Supplier Returned")</f>
        <v>0</v>
      </c>
      <c r="M2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2" s="53" t="str">
        <f>IF(B202="","",VLOOKUP(B202,'Product Master'!$B:$G,4,FALSE))</f>
        <v/>
      </c>
      <c r="O202" s="53" t="str">
        <f>IF(B202="","",VLOOKUP(B202,'Product Master'!$B:$G,5,FALSE))</f>
        <v/>
      </c>
      <c r="P202" s="50" t="str">
        <f>IF(B202="","",VLOOKUP(B202,'Product Master'!$B:$I,7,FALSE))</f>
        <v/>
      </c>
      <c r="Q202" s="158"/>
      <c r="R202" s="58" t="str">
        <f t="shared" si="3"/>
        <v/>
      </c>
      <c r="S202" s="25"/>
      <c r="T202" s="25"/>
      <c r="U202" s="25"/>
      <c r="V202" s="25"/>
      <c r="W202" s="25"/>
      <c r="X202" s="25"/>
    </row>
    <row r="203" spans="1:24" x14ac:dyDescent="0.25">
      <c r="A203" s="31" t="s">
        <v>763</v>
      </c>
      <c r="B203" s="32"/>
      <c r="C203" s="50" t="str">
        <f>IF(B203="","",VLOOKUP(B203,'Product Master'!$B:$G,2,FALSE))</f>
        <v/>
      </c>
      <c r="D203" s="50" t="str">
        <f>IF(B203="","",VLOOKUP(B203,'Product Master'!$B:$G,3,FALSE))</f>
        <v/>
      </c>
      <c r="E203" s="50"/>
      <c r="F203" s="50">
        <f>SUMIF('Stock Purchase'!$D:$D,B203,'Stock Purchase'!$F:$F)</f>
        <v>0</v>
      </c>
      <c r="G203" s="50">
        <f>SUMIFS('Stock Adjustment'!$E:$E,'Stock Adjustment'!$B:$B,$A203,'Stock Adjustment'!$D:$D,"Customer Returned")</f>
        <v>0</v>
      </c>
      <c r="H203" s="50">
        <f>SUMIF('Daily Sales Entry'!$D:$D,B203,'Daily Sales Entry'!$G:$G)</f>
        <v>0</v>
      </c>
      <c r="I203" s="50">
        <f>SUMIFS('Stock Adjustment'!$E:$E,'Stock Adjustment'!$B:$B,$A203,'Stock Adjustment'!$D:$D,"Staff Consumption")</f>
        <v>0</v>
      </c>
      <c r="J203" s="50">
        <f>SUMIFS('Stock Adjustment'!$E:$E,'Stock Adjustment'!$B:$B,$A203,'Stock Adjustment'!$D:$D,"Damaged")</f>
        <v>0</v>
      </c>
      <c r="K203" s="50">
        <f>SUMIFS('Stock Adjustment'!$E:$E,'Stock Adjustment'!$B:$B,$A203,'Stock Adjustment'!$D:$D,"Expired")</f>
        <v>0</v>
      </c>
      <c r="L203" s="50">
        <f>SUMIFS('Stock Adjustment'!$E:$E,'Stock Adjustment'!$B:$B,$A203,'Stock Adjustment'!$D:$D,"Supplier Returned")</f>
        <v>0</v>
      </c>
      <c r="M2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3" s="53" t="str">
        <f>IF(B203="","",VLOOKUP(B203,'Product Master'!$B:$G,4,FALSE))</f>
        <v/>
      </c>
      <c r="O203" s="53" t="str">
        <f>IF(B203="","",VLOOKUP(B203,'Product Master'!$B:$G,5,FALSE))</f>
        <v/>
      </c>
      <c r="P203" s="50" t="str">
        <f>IF(B203="","",VLOOKUP(B203,'Product Master'!$B:$I,7,FALSE))</f>
        <v/>
      </c>
      <c r="Q203" s="158"/>
      <c r="R203" s="58" t="str">
        <f t="shared" si="3"/>
        <v/>
      </c>
      <c r="S203" s="25"/>
      <c r="T203" s="25"/>
      <c r="U203" s="25"/>
      <c r="V203" s="25"/>
      <c r="W203" s="25"/>
      <c r="X203" s="25"/>
    </row>
    <row r="204" spans="1:24" x14ac:dyDescent="0.25">
      <c r="A204" s="31" t="s">
        <v>764</v>
      </c>
      <c r="B204" s="32"/>
      <c r="C204" s="50" t="str">
        <f>IF(B204="","",VLOOKUP(B204,'Product Master'!$B:$G,2,FALSE))</f>
        <v/>
      </c>
      <c r="D204" s="50" t="str">
        <f>IF(B204="","",VLOOKUP(B204,'Product Master'!$B:$G,3,FALSE))</f>
        <v/>
      </c>
      <c r="E204" s="50"/>
      <c r="F204" s="50">
        <f>SUMIF('Stock Purchase'!$D:$D,B204,'Stock Purchase'!$F:$F)</f>
        <v>0</v>
      </c>
      <c r="G204" s="50">
        <f>SUMIFS('Stock Adjustment'!$E:$E,'Stock Adjustment'!$B:$B,$A204,'Stock Adjustment'!$D:$D,"Customer Returned")</f>
        <v>0</v>
      </c>
      <c r="H204" s="50">
        <f>SUMIF('Daily Sales Entry'!$D:$D,B204,'Daily Sales Entry'!$G:$G)</f>
        <v>0</v>
      </c>
      <c r="I204" s="50">
        <f>SUMIFS('Stock Adjustment'!$E:$E,'Stock Adjustment'!$B:$B,$A204,'Stock Adjustment'!$D:$D,"Staff Consumption")</f>
        <v>0</v>
      </c>
      <c r="J204" s="50">
        <f>SUMIFS('Stock Adjustment'!$E:$E,'Stock Adjustment'!$B:$B,$A204,'Stock Adjustment'!$D:$D,"Damaged")</f>
        <v>0</v>
      </c>
      <c r="K204" s="50">
        <f>SUMIFS('Stock Adjustment'!$E:$E,'Stock Adjustment'!$B:$B,$A204,'Stock Adjustment'!$D:$D,"Expired")</f>
        <v>0</v>
      </c>
      <c r="L204" s="50">
        <f>SUMIFS('Stock Adjustment'!$E:$E,'Stock Adjustment'!$B:$B,$A204,'Stock Adjustment'!$D:$D,"Supplier Returned")</f>
        <v>0</v>
      </c>
      <c r="M2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4" s="53" t="str">
        <f>IF(B204="","",VLOOKUP(B204,'Product Master'!$B:$G,4,FALSE))</f>
        <v/>
      </c>
      <c r="O204" s="53" t="str">
        <f>IF(B204="","",VLOOKUP(B204,'Product Master'!$B:$G,5,FALSE))</f>
        <v/>
      </c>
      <c r="P204" s="50" t="str">
        <f>IF(B204="","",VLOOKUP(B204,'Product Master'!$B:$I,7,FALSE))</f>
        <v/>
      </c>
      <c r="Q204" s="158"/>
      <c r="R204" s="58" t="str">
        <f t="shared" si="3"/>
        <v/>
      </c>
      <c r="S204" s="25"/>
      <c r="T204" s="25"/>
      <c r="U204" s="25"/>
      <c r="V204" s="25"/>
      <c r="W204" s="25"/>
      <c r="X204" s="25"/>
    </row>
    <row r="205" spans="1:24" x14ac:dyDescent="0.25">
      <c r="A205" s="31" t="s">
        <v>765</v>
      </c>
      <c r="B205" s="32"/>
      <c r="C205" s="50" t="str">
        <f>IF(B205="","",VLOOKUP(B205,'Product Master'!$B:$G,2,FALSE))</f>
        <v/>
      </c>
      <c r="D205" s="50" t="str">
        <f>IF(B205="","",VLOOKUP(B205,'Product Master'!$B:$G,3,FALSE))</f>
        <v/>
      </c>
      <c r="E205" s="50"/>
      <c r="F205" s="50">
        <f>SUMIF('Stock Purchase'!$D:$D,B205,'Stock Purchase'!$F:$F)</f>
        <v>0</v>
      </c>
      <c r="G205" s="50">
        <f>SUMIFS('Stock Adjustment'!$E:$E,'Stock Adjustment'!$B:$B,$A205,'Stock Adjustment'!$D:$D,"Customer Returned")</f>
        <v>0</v>
      </c>
      <c r="H205" s="50">
        <f>SUMIF('Daily Sales Entry'!$D:$D,B205,'Daily Sales Entry'!$G:$G)</f>
        <v>0</v>
      </c>
      <c r="I205" s="50">
        <f>SUMIFS('Stock Adjustment'!$E:$E,'Stock Adjustment'!$B:$B,$A205,'Stock Adjustment'!$D:$D,"Staff Consumption")</f>
        <v>0</v>
      </c>
      <c r="J205" s="50">
        <f>SUMIFS('Stock Adjustment'!$E:$E,'Stock Adjustment'!$B:$B,$A205,'Stock Adjustment'!$D:$D,"Damaged")</f>
        <v>0</v>
      </c>
      <c r="K205" s="50">
        <f>SUMIFS('Stock Adjustment'!$E:$E,'Stock Adjustment'!$B:$B,$A205,'Stock Adjustment'!$D:$D,"Expired")</f>
        <v>0</v>
      </c>
      <c r="L205" s="50">
        <f>SUMIFS('Stock Adjustment'!$E:$E,'Stock Adjustment'!$B:$B,$A205,'Stock Adjustment'!$D:$D,"Supplier Returned")</f>
        <v>0</v>
      </c>
      <c r="M2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5" s="53" t="str">
        <f>IF(B205="","",VLOOKUP(B205,'Product Master'!$B:$G,4,FALSE))</f>
        <v/>
      </c>
      <c r="O205" s="53" t="str">
        <f>IF(B205="","",VLOOKUP(B205,'Product Master'!$B:$G,5,FALSE))</f>
        <v/>
      </c>
      <c r="P205" s="50" t="str">
        <f>IF(B205="","",VLOOKUP(B205,'Product Master'!$B:$I,7,FALSE))</f>
        <v/>
      </c>
      <c r="Q205" s="158"/>
      <c r="R205" s="58" t="str">
        <f t="shared" si="3"/>
        <v/>
      </c>
      <c r="S205" s="25"/>
      <c r="T205" s="25"/>
      <c r="U205" s="25"/>
      <c r="V205" s="25"/>
      <c r="W205" s="25"/>
      <c r="X205" s="25"/>
    </row>
    <row r="206" spans="1:24" x14ac:dyDescent="0.25">
      <c r="A206" s="31" t="s">
        <v>766</v>
      </c>
      <c r="B206" s="32"/>
      <c r="C206" s="50" t="str">
        <f>IF(B206="","",VLOOKUP(B206,'Product Master'!$B:$G,2,FALSE))</f>
        <v/>
      </c>
      <c r="D206" s="50" t="str">
        <f>IF(B206="","",VLOOKUP(B206,'Product Master'!$B:$G,3,FALSE))</f>
        <v/>
      </c>
      <c r="E206" s="50"/>
      <c r="F206" s="50">
        <f>SUMIF('Stock Purchase'!$D:$D,B206,'Stock Purchase'!$F:$F)</f>
        <v>0</v>
      </c>
      <c r="G206" s="50">
        <f>SUMIFS('Stock Adjustment'!$E:$E,'Stock Adjustment'!$B:$B,$A206,'Stock Adjustment'!$D:$D,"Customer Returned")</f>
        <v>0</v>
      </c>
      <c r="H206" s="50">
        <f>SUMIF('Daily Sales Entry'!$D:$D,B206,'Daily Sales Entry'!$G:$G)</f>
        <v>0</v>
      </c>
      <c r="I206" s="50">
        <f>SUMIFS('Stock Adjustment'!$E:$E,'Stock Adjustment'!$B:$B,$A206,'Stock Adjustment'!$D:$D,"Staff Consumption")</f>
        <v>0</v>
      </c>
      <c r="J206" s="50">
        <f>SUMIFS('Stock Adjustment'!$E:$E,'Stock Adjustment'!$B:$B,$A206,'Stock Adjustment'!$D:$D,"Damaged")</f>
        <v>0</v>
      </c>
      <c r="K206" s="50">
        <f>SUMIFS('Stock Adjustment'!$E:$E,'Stock Adjustment'!$B:$B,$A206,'Stock Adjustment'!$D:$D,"Expired")</f>
        <v>0</v>
      </c>
      <c r="L206" s="50">
        <f>SUMIFS('Stock Adjustment'!$E:$E,'Stock Adjustment'!$B:$B,$A206,'Stock Adjustment'!$D:$D,"Supplier Returned")</f>
        <v>0</v>
      </c>
      <c r="M2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6" s="53" t="str">
        <f>IF(B206="","",VLOOKUP(B206,'Product Master'!$B:$G,4,FALSE))</f>
        <v/>
      </c>
      <c r="O206" s="53" t="str">
        <f>IF(B206="","",VLOOKUP(B206,'Product Master'!$B:$G,5,FALSE))</f>
        <v/>
      </c>
      <c r="P206" s="50" t="str">
        <f>IF(B206="","",VLOOKUP(B206,'Product Master'!$B:$I,7,FALSE))</f>
        <v/>
      </c>
      <c r="Q206" s="158"/>
      <c r="R206" s="58" t="str">
        <f t="shared" si="3"/>
        <v/>
      </c>
      <c r="S206" s="25"/>
      <c r="T206" s="25"/>
      <c r="U206" s="25"/>
      <c r="V206" s="25"/>
      <c r="W206" s="25"/>
      <c r="X206" s="25"/>
    </row>
    <row r="207" spans="1:24" x14ac:dyDescent="0.25">
      <c r="A207" s="31" t="s">
        <v>767</v>
      </c>
      <c r="B207" s="32"/>
      <c r="C207" s="50" t="str">
        <f>IF(B207="","",VLOOKUP(B207,'Product Master'!$B:$G,2,FALSE))</f>
        <v/>
      </c>
      <c r="D207" s="50" t="str">
        <f>IF(B207="","",VLOOKUP(B207,'Product Master'!$B:$G,3,FALSE))</f>
        <v/>
      </c>
      <c r="E207" s="50"/>
      <c r="F207" s="50">
        <f>SUMIF('Stock Purchase'!$D:$D,B207,'Stock Purchase'!$F:$F)</f>
        <v>0</v>
      </c>
      <c r="G207" s="50">
        <f>SUMIFS('Stock Adjustment'!$E:$E,'Stock Adjustment'!$B:$B,$A207,'Stock Adjustment'!$D:$D,"Customer Returned")</f>
        <v>0</v>
      </c>
      <c r="H207" s="50">
        <f>SUMIF('Daily Sales Entry'!$D:$D,B207,'Daily Sales Entry'!$G:$G)</f>
        <v>0</v>
      </c>
      <c r="I207" s="50">
        <f>SUMIFS('Stock Adjustment'!$E:$E,'Stock Adjustment'!$B:$B,$A207,'Stock Adjustment'!$D:$D,"Staff Consumption")</f>
        <v>0</v>
      </c>
      <c r="J207" s="50">
        <f>SUMIFS('Stock Adjustment'!$E:$E,'Stock Adjustment'!$B:$B,$A207,'Stock Adjustment'!$D:$D,"Damaged")</f>
        <v>0</v>
      </c>
      <c r="K207" s="50">
        <f>SUMIFS('Stock Adjustment'!$E:$E,'Stock Adjustment'!$B:$B,$A207,'Stock Adjustment'!$D:$D,"Expired")</f>
        <v>0</v>
      </c>
      <c r="L207" s="50">
        <f>SUMIFS('Stock Adjustment'!$E:$E,'Stock Adjustment'!$B:$B,$A207,'Stock Adjustment'!$D:$D,"Supplier Returned")</f>
        <v>0</v>
      </c>
      <c r="M2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7" s="53" t="str">
        <f>IF(B207="","",VLOOKUP(B207,'Product Master'!$B:$G,4,FALSE))</f>
        <v/>
      </c>
      <c r="O207" s="53" t="str">
        <f>IF(B207="","",VLOOKUP(B207,'Product Master'!$B:$G,5,FALSE))</f>
        <v/>
      </c>
      <c r="P207" s="50" t="str">
        <f>IF(B207="","",VLOOKUP(B207,'Product Master'!$B:$I,7,FALSE))</f>
        <v/>
      </c>
      <c r="Q207" s="158"/>
      <c r="R207" s="58" t="str">
        <f t="shared" si="3"/>
        <v/>
      </c>
      <c r="S207" s="25"/>
      <c r="T207" s="25"/>
      <c r="U207" s="25"/>
      <c r="V207" s="25"/>
      <c r="W207" s="25"/>
      <c r="X207" s="25"/>
    </row>
    <row r="208" spans="1:24" x14ac:dyDescent="0.25">
      <c r="A208" s="31" t="s">
        <v>768</v>
      </c>
      <c r="B208" s="32"/>
      <c r="C208" s="50" t="str">
        <f>IF(B208="","",VLOOKUP(B208,'Product Master'!$B:$G,2,FALSE))</f>
        <v/>
      </c>
      <c r="D208" s="50" t="str">
        <f>IF(B208="","",VLOOKUP(B208,'Product Master'!$B:$G,3,FALSE))</f>
        <v/>
      </c>
      <c r="E208" s="50"/>
      <c r="F208" s="50">
        <f>SUMIF('Stock Purchase'!$D:$D,B208,'Stock Purchase'!$F:$F)</f>
        <v>0</v>
      </c>
      <c r="G208" s="50">
        <f>SUMIFS('Stock Adjustment'!$E:$E,'Stock Adjustment'!$B:$B,$A208,'Stock Adjustment'!$D:$D,"Customer Returned")</f>
        <v>0</v>
      </c>
      <c r="H208" s="50">
        <f>SUMIF('Daily Sales Entry'!$D:$D,B208,'Daily Sales Entry'!$G:$G)</f>
        <v>0</v>
      </c>
      <c r="I208" s="50">
        <f>SUMIFS('Stock Adjustment'!$E:$E,'Stock Adjustment'!$B:$B,$A208,'Stock Adjustment'!$D:$D,"Staff Consumption")</f>
        <v>0</v>
      </c>
      <c r="J208" s="50">
        <f>SUMIFS('Stock Adjustment'!$E:$E,'Stock Adjustment'!$B:$B,$A208,'Stock Adjustment'!$D:$D,"Damaged")</f>
        <v>0</v>
      </c>
      <c r="K208" s="50">
        <f>SUMIFS('Stock Adjustment'!$E:$E,'Stock Adjustment'!$B:$B,$A208,'Stock Adjustment'!$D:$D,"Expired")</f>
        <v>0</v>
      </c>
      <c r="L208" s="50">
        <f>SUMIFS('Stock Adjustment'!$E:$E,'Stock Adjustment'!$B:$B,$A208,'Stock Adjustment'!$D:$D,"Supplier Returned")</f>
        <v>0</v>
      </c>
      <c r="M2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8" s="53" t="str">
        <f>IF(B208="","",VLOOKUP(B208,'Product Master'!$B:$G,4,FALSE))</f>
        <v/>
      </c>
      <c r="O208" s="53" t="str">
        <f>IF(B208="","",VLOOKUP(B208,'Product Master'!$B:$G,5,FALSE))</f>
        <v/>
      </c>
      <c r="P208" s="50" t="str">
        <f>IF(B208="","",VLOOKUP(B208,'Product Master'!$B:$I,7,FALSE))</f>
        <v/>
      </c>
      <c r="Q208" s="158"/>
      <c r="R208" s="58" t="str">
        <f t="shared" si="3"/>
        <v/>
      </c>
      <c r="S208" s="25"/>
      <c r="T208" s="25"/>
      <c r="U208" s="25"/>
      <c r="V208" s="25"/>
      <c r="W208" s="25"/>
      <c r="X208" s="25"/>
    </row>
    <row r="209" spans="1:24" x14ac:dyDescent="0.25">
      <c r="A209" s="31" t="s">
        <v>769</v>
      </c>
      <c r="B209" s="32"/>
      <c r="C209" s="50" t="str">
        <f>IF(B209="","",VLOOKUP(B209,'Product Master'!$B:$G,2,FALSE))</f>
        <v/>
      </c>
      <c r="D209" s="50" t="str">
        <f>IF(B209="","",VLOOKUP(B209,'Product Master'!$B:$G,3,FALSE))</f>
        <v/>
      </c>
      <c r="E209" s="50"/>
      <c r="F209" s="50">
        <f>SUMIF('Stock Purchase'!$D:$D,B209,'Stock Purchase'!$F:$F)</f>
        <v>0</v>
      </c>
      <c r="G209" s="50">
        <f>SUMIFS('Stock Adjustment'!$E:$E,'Stock Adjustment'!$B:$B,$A209,'Stock Adjustment'!$D:$D,"Customer Returned")</f>
        <v>0</v>
      </c>
      <c r="H209" s="50">
        <f>SUMIF('Daily Sales Entry'!$D:$D,B209,'Daily Sales Entry'!$G:$G)</f>
        <v>0</v>
      </c>
      <c r="I209" s="50">
        <f>SUMIFS('Stock Adjustment'!$E:$E,'Stock Adjustment'!$B:$B,$A209,'Stock Adjustment'!$D:$D,"Staff Consumption")</f>
        <v>0</v>
      </c>
      <c r="J209" s="50">
        <f>SUMIFS('Stock Adjustment'!$E:$E,'Stock Adjustment'!$B:$B,$A209,'Stock Adjustment'!$D:$D,"Damaged")</f>
        <v>0</v>
      </c>
      <c r="K209" s="50">
        <f>SUMIFS('Stock Adjustment'!$E:$E,'Stock Adjustment'!$B:$B,$A209,'Stock Adjustment'!$D:$D,"Expired")</f>
        <v>0</v>
      </c>
      <c r="L209" s="50">
        <f>SUMIFS('Stock Adjustment'!$E:$E,'Stock Adjustment'!$B:$B,$A209,'Stock Adjustment'!$D:$D,"Supplier Returned")</f>
        <v>0</v>
      </c>
      <c r="M2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09" s="53" t="str">
        <f>IF(B209="","",VLOOKUP(B209,'Product Master'!$B:$G,4,FALSE))</f>
        <v/>
      </c>
      <c r="O209" s="53" t="str">
        <f>IF(B209="","",VLOOKUP(B209,'Product Master'!$B:$G,5,FALSE))</f>
        <v/>
      </c>
      <c r="P209" s="50" t="str">
        <f>IF(B209="","",VLOOKUP(B209,'Product Master'!$B:$I,7,FALSE))</f>
        <v/>
      </c>
      <c r="Q209" s="158"/>
      <c r="R209" s="58" t="str">
        <f t="shared" si="3"/>
        <v/>
      </c>
      <c r="S209" s="25"/>
      <c r="T209" s="25"/>
      <c r="U209" s="25"/>
      <c r="V209" s="25"/>
      <c r="W209" s="25"/>
      <c r="X209" s="25"/>
    </row>
    <row r="210" spans="1:24" x14ac:dyDescent="0.25">
      <c r="A210" s="31" t="s">
        <v>770</v>
      </c>
      <c r="B210" s="32"/>
      <c r="C210" s="50" t="str">
        <f>IF(B210="","",VLOOKUP(B210,'Product Master'!$B:$G,2,FALSE))</f>
        <v/>
      </c>
      <c r="D210" s="50" t="str">
        <f>IF(B210="","",VLOOKUP(B210,'Product Master'!$B:$G,3,FALSE))</f>
        <v/>
      </c>
      <c r="E210" s="50"/>
      <c r="F210" s="50">
        <f>SUMIF('Stock Purchase'!$D:$D,B210,'Stock Purchase'!$F:$F)</f>
        <v>0</v>
      </c>
      <c r="G210" s="50">
        <f>SUMIFS('Stock Adjustment'!$E:$E,'Stock Adjustment'!$B:$B,$A210,'Stock Adjustment'!$D:$D,"Customer Returned")</f>
        <v>0</v>
      </c>
      <c r="H210" s="50">
        <f>SUMIF('Daily Sales Entry'!$D:$D,B210,'Daily Sales Entry'!$G:$G)</f>
        <v>0</v>
      </c>
      <c r="I210" s="50">
        <f>SUMIFS('Stock Adjustment'!$E:$E,'Stock Adjustment'!$B:$B,$A210,'Stock Adjustment'!$D:$D,"Staff Consumption")</f>
        <v>0</v>
      </c>
      <c r="J210" s="50">
        <f>SUMIFS('Stock Adjustment'!$E:$E,'Stock Adjustment'!$B:$B,$A210,'Stock Adjustment'!$D:$D,"Damaged")</f>
        <v>0</v>
      </c>
      <c r="K210" s="50">
        <f>SUMIFS('Stock Adjustment'!$E:$E,'Stock Adjustment'!$B:$B,$A210,'Stock Adjustment'!$D:$D,"Expired")</f>
        <v>0</v>
      </c>
      <c r="L210" s="50">
        <f>SUMIFS('Stock Adjustment'!$E:$E,'Stock Adjustment'!$B:$B,$A210,'Stock Adjustment'!$D:$D,"Supplier Returned")</f>
        <v>0</v>
      </c>
      <c r="M2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0" s="53" t="str">
        <f>IF(B210="","",VLOOKUP(B210,'Product Master'!$B:$G,4,FALSE))</f>
        <v/>
      </c>
      <c r="O210" s="53" t="str">
        <f>IF(B210="","",VLOOKUP(B210,'Product Master'!$B:$G,5,FALSE))</f>
        <v/>
      </c>
      <c r="P210" s="50" t="str">
        <f>IF(B210="","",VLOOKUP(B210,'Product Master'!$B:$I,7,FALSE))</f>
        <v/>
      </c>
      <c r="Q210" s="158"/>
      <c r="R210" s="58" t="str">
        <f t="shared" si="3"/>
        <v/>
      </c>
      <c r="S210" s="25"/>
      <c r="T210" s="25"/>
      <c r="U210" s="25"/>
      <c r="V210" s="25"/>
      <c r="W210" s="25"/>
      <c r="X210" s="25"/>
    </row>
    <row r="211" spans="1:24" x14ac:dyDescent="0.25">
      <c r="A211" s="31" t="s">
        <v>771</v>
      </c>
      <c r="B211" s="32"/>
      <c r="C211" s="50" t="str">
        <f>IF(B211="","",VLOOKUP(B211,'Product Master'!$B:$G,2,FALSE))</f>
        <v/>
      </c>
      <c r="D211" s="50" t="str">
        <f>IF(B211="","",VLOOKUP(B211,'Product Master'!$B:$G,3,FALSE))</f>
        <v/>
      </c>
      <c r="E211" s="50"/>
      <c r="F211" s="50">
        <f>SUMIF('Stock Purchase'!$D:$D,B211,'Stock Purchase'!$F:$F)</f>
        <v>0</v>
      </c>
      <c r="G211" s="50">
        <f>SUMIFS('Stock Adjustment'!$E:$E,'Stock Adjustment'!$B:$B,$A211,'Stock Adjustment'!$D:$D,"Customer Returned")</f>
        <v>0</v>
      </c>
      <c r="H211" s="50">
        <f>SUMIF('Daily Sales Entry'!$D:$D,B211,'Daily Sales Entry'!$G:$G)</f>
        <v>0</v>
      </c>
      <c r="I211" s="50">
        <f>SUMIFS('Stock Adjustment'!$E:$E,'Stock Adjustment'!$B:$B,$A211,'Stock Adjustment'!$D:$D,"Staff Consumption")</f>
        <v>0</v>
      </c>
      <c r="J211" s="50">
        <f>SUMIFS('Stock Adjustment'!$E:$E,'Stock Adjustment'!$B:$B,$A211,'Stock Adjustment'!$D:$D,"Damaged")</f>
        <v>0</v>
      </c>
      <c r="K211" s="50">
        <f>SUMIFS('Stock Adjustment'!$E:$E,'Stock Adjustment'!$B:$B,$A211,'Stock Adjustment'!$D:$D,"Expired")</f>
        <v>0</v>
      </c>
      <c r="L211" s="50">
        <f>SUMIFS('Stock Adjustment'!$E:$E,'Stock Adjustment'!$B:$B,$A211,'Stock Adjustment'!$D:$D,"Supplier Returned")</f>
        <v>0</v>
      </c>
      <c r="M2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1" s="53" t="str">
        <f>IF(B211="","",VLOOKUP(B211,'Product Master'!$B:$G,4,FALSE))</f>
        <v/>
      </c>
      <c r="O211" s="53" t="str">
        <f>IF(B211="","",VLOOKUP(B211,'Product Master'!$B:$G,5,FALSE))</f>
        <v/>
      </c>
      <c r="P211" s="50" t="str">
        <f>IF(B211="","",VLOOKUP(B211,'Product Master'!$B:$I,7,FALSE))</f>
        <v/>
      </c>
      <c r="Q211" s="158"/>
      <c r="R211" s="58" t="str">
        <f t="shared" si="3"/>
        <v/>
      </c>
      <c r="S211" s="25"/>
      <c r="T211" s="25"/>
      <c r="U211" s="25"/>
      <c r="V211" s="25"/>
      <c r="W211" s="25"/>
      <c r="X211" s="25"/>
    </row>
    <row r="212" spans="1:24" x14ac:dyDescent="0.25">
      <c r="A212" s="31" t="s">
        <v>772</v>
      </c>
      <c r="B212" s="32"/>
      <c r="C212" s="50" t="str">
        <f>IF(B212="","",VLOOKUP(B212,'Product Master'!$B:$G,2,FALSE))</f>
        <v/>
      </c>
      <c r="D212" s="50" t="str">
        <f>IF(B212="","",VLOOKUP(B212,'Product Master'!$B:$G,3,FALSE))</f>
        <v/>
      </c>
      <c r="E212" s="50"/>
      <c r="F212" s="50">
        <f>SUMIF('Stock Purchase'!$D:$D,B212,'Stock Purchase'!$F:$F)</f>
        <v>0</v>
      </c>
      <c r="G212" s="50">
        <f>SUMIFS('Stock Adjustment'!$E:$E,'Stock Adjustment'!$B:$B,$A212,'Stock Adjustment'!$D:$D,"Customer Returned")</f>
        <v>0</v>
      </c>
      <c r="H212" s="50">
        <f>SUMIF('Daily Sales Entry'!$D:$D,B212,'Daily Sales Entry'!$G:$G)</f>
        <v>0</v>
      </c>
      <c r="I212" s="50">
        <f>SUMIFS('Stock Adjustment'!$E:$E,'Stock Adjustment'!$B:$B,$A212,'Stock Adjustment'!$D:$D,"Staff Consumption")</f>
        <v>0</v>
      </c>
      <c r="J212" s="50">
        <f>SUMIFS('Stock Adjustment'!$E:$E,'Stock Adjustment'!$B:$B,$A212,'Stock Adjustment'!$D:$D,"Damaged")</f>
        <v>0</v>
      </c>
      <c r="K212" s="50">
        <f>SUMIFS('Stock Adjustment'!$E:$E,'Stock Adjustment'!$B:$B,$A212,'Stock Adjustment'!$D:$D,"Expired")</f>
        <v>0</v>
      </c>
      <c r="L212" s="50">
        <f>SUMIFS('Stock Adjustment'!$E:$E,'Stock Adjustment'!$B:$B,$A212,'Stock Adjustment'!$D:$D,"Supplier Returned")</f>
        <v>0</v>
      </c>
      <c r="M2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2" s="53" t="str">
        <f>IF(B212="","",VLOOKUP(B212,'Product Master'!$B:$G,4,FALSE))</f>
        <v/>
      </c>
      <c r="O212" s="53" t="str">
        <f>IF(B212="","",VLOOKUP(B212,'Product Master'!$B:$G,5,FALSE))</f>
        <v/>
      </c>
      <c r="P212" s="50" t="str">
        <f>IF(B212="","",VLOOKUP(B212,'Product Master'!$B:$I,7,FALSE))</f>
        <v/>
      </c>
      <c r="Q212" s="158"/>
      <c r="R212" s="58" t="str">
        <f t="shared" si="3"/>
        <v/>
      </c>
      <c r="S212" s="25"/>
      <c r="T212" s="25"/>
      <c r="U212" s="25"/>
      <c r="V212" s="25"/>
      <c r="W212" s="25"/>
      <c r="X212" s="25"/>
    </row>
    <row r="213" spans="1:24" x14ac:dyDescent="0.25">
      <c r="A213" s="31" t="s">
        <v>773</v>
      </c>
      <c r="B213" s="32"/>
      <c r="C213" s="50" t="str">
        <f>IF(B213="","",VLOOKUP(B213,'Product Master'!$B:$G,2,FALSE))</f>
        <v/>
      </c>
      <c r="D213" s="50" t="str">
        <f>IF(B213="","",VLOOKUP(B213,'Product Master'!$B:$G,3,FALSE))</f>
        <v/>
      </c>
      <c r="E213" s="50"/>
      <c r="F213" s="50">
        <f>SUMIF('Stock Purchase'!$D:$D,B213,'Stock Purchase'!$F:$F)</f>
        <v>0</v>
      </c>
      <c r="G213" s="50">
        <f>SUMIFS('Stock Adjustment'!$E:$E,'Stock Adjustment'!$B:$B,$A213,'Stock Adjustment'!$D:$D,"Customer Returned")</f>
        <v>0</v>
      </c>
      <c r="H213" s="50">
        <f>SUMIF('Daily Sales Entry'!$D:$D,B213,'Daily Sales Entry'!$G:$G)</f>
        <v>0</v>
      </c>
      <c r="I213" s="50">
        <f>SUMIFS('Stock Adjustment'!$E:$E,'Stock Adjustment'!$B:$B,$A213,'Stock Adjustment'!$D:$D,"Staff Consumption")</f>
        <v>0</v>
      </c>
      <c r="J213" s="50">
        <f>SUMIFS('Stock Adjustment'!$E:$E,'Stock Adjustment'!$B:$B,$A213,'Stock Adjustment'!$D:$D,"Damaged")</f>
        <v>0</v>
      </c>
      <c r="K213" s="50">
        <f>SUMIFS('Stock Adjustment'!$E:$E,'Stock Adjustment'!$B:$B,$A213,'Stock Adjustment'!$D:$D,"Expired")</f>
        <v>0</v>
      </c>
      <c r="L213" s="50">
        <f>SUMIFS('Stock Adjustment'!$E:$E,'Stock Adjustment'!$B:$B,$A213,'Stock Adjustment'!$D:$D,"Supplier Returned")</f>
        <v>0</v>
      </c>
      <c r="M2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3" s="53" t="str">
        <f>IF(B213="","",VLOOKUP(B213,'Product Master'!$B:$G,4,FALSE))</f>
        <v/>
      </c>
      <c r="O213" s="53" t="str">
        <f>IF(B213="","",VLOOKUP(B213,'Product Master'!$B:$G,5,FALSE))</f>
        <v/>
      </c>
      <c r="P213" s="50" t="str">
        <f>IF(B213="","",VLOOKUP(B213,'Product Master'!$B:$I,7,FALSE))</f>
        <v/>
      </c>
      <c r="Q213" s="158"/>
      <c r="R213" s="58" t="str">
        <f t="shared" si="3"/>
        <v/>
      </c>
      <c r="S213" s="25"/>
      <c r="T213" s="25"/>
      <c r="U213" s="25"/>
      <c r="V213" s="25"/>
      <c r="W213" s="25"/>
      <c r="X213" s="25"/>
    </row>
    <row r="214" spans="1:24" x14ac:dyDescent="0.25">
      <c r="A214" s="31" t="s">
        <v>774</v>
      </c>
      <c r="B214" s="32"/>
      <c r="C214" s="50" t="str">
        <f>IF(B214="","",VLOOKUP(B214,'Product Master'!$B:$G,2,FALSE))</f>
        <v/>
      </c>
      <c r="D214" s="50" t="str">
        <f>IF(B214="","",VLOOKUP(B214,'Product Master'!$B:$G,3,FALSE))</f>
        <v/>
      </c>
      <c r="E214" s="50"/>
      <c r="F214" s="50">
        <f>SUMIF('Stock Purchase'!$D:$D,B214,'Stock Purchase'!$F:$F)</f>
        <v>0</v>
      </c>
      <c r="G214" s="50">
        <f>SUMIFS('Stock Adjustment'!$E:$E,'Stock Adjustment'!$B:$B,$A214,'Stock Adjustment'!$D:$D,"Customer Returned")</f>
        <v>0</v>
      </c>
      <c r="H214" s="50">
        <f>SUMIF('Daily Sales Entry'!$D:$D,B214,'Daily Sales Entry'!$G:$G)</f>
        <v>0</v>
      </c>
      <c r="I214" s="50">
        <f>SUMIFS('Stock Adjustment'!$E:$E,'Stock Adjustment'!$B:$B,$A214,'Stock Adjustment'!$D:$D,"Staff Consumption")</f>
        <v>0</v>
      </c>
      <c r="J214" s="50">
        <f>SUMIFS('Stock Adjustment'!$E:$E,'Stock Adjustment'!$B:$B,$A214,'Stock Adjustment'!$D:$D,"Damaged")</f>
        <v>0</v>
      </c>
      <c r="K214" s="50">
        <f>SUMIFS('Stock Adjustment'!$E:$E,'Stock Adjustment'!$B:$B,$A214,'Stock Adjustment'!$D:$D,"Expired")</f>
        <v>0</v>
      </c>
      <c r="L214" s="50">
        <f>SUMIFS('Stock Adjustment'!$E:$E,'Stock Adjustment'!$B:$B,$A214,'Stock Adjustment'!$D:$D,"Supplier Returned")</f>
        <v>0</v>
      </c>
      <c r="M2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4" s="53" t="str">
        <f>IF(B214="","",VLOOKUP(B214,'Product Master'!$B:$G,4,FALSE))</f>
        <v/>
      </c>
      <c r="O214" s="53" t="str">
        <f>IF(B214="","",VLOOKUP(B214,'Product Master'!$B:$G,5,FALSE))</f>
        <v/>
      </c>
      <c r="P214" s="50" t="str">
        <f>IF(B214="","",VLOOKUP(B214,'Product Master'!$B:$I,7,FALSE))</f>
        <v/>
      </c>
      <c r="Q214" s="158"/>
      <c r="R214" s="58" t="str">
        <f t="shared" si="3"/>
        <v/>
      </c>
      <c r="S214" s="25"/>
      <c r="T214" s="25"/>
      <c r="U214" s="25"/>
      <c r="V214" s="25"/>
      <c r="W214" s="25"/>
      <c r="X214" s="25"/>
    </row>
    <row r="215" spans="1:24" x14ac:dyDescent="0.25">
      <c r="A215" s="31" t="s">
        <v>775</v>
      </c>
      <c r="B215" s="32"/>
      <c r="C215" s="50" t="str">
        <f>IF(B215="","",VLOOKUP(B215,'Product Master'!$B:$G,2,FALSE))</f>
        <v/>
      </c>
      <c r="D215" s="50" t="str">
        <f>IF(B215="","",VLOOKUP(B215,'Product Master'!$B:$G,3,FALSE))</f>
        <v/>
      </c>
      <c r="E215" s="50"/>
      <c r="F215" s="50">
        <f>SUMIF('Stock Purchase'!$D:$D,B215,'Stock Purchase'!$F:$F)</f>
        <v>0</v>
      </c>
      <c r="G215" s="50">
        <f>SUMIFS('Stock Adjustment'!$E:$E,'Stock Adjustment'!$B:$B,$A215,'Stock Adjustment'!$D:$D,"Customer Returned")</f>
        <v>0</v>
      </c>
      <c r="H215" s="50">
        <f>SUMIF('Daily Sales Entry'!$D:$D,B215,'Daily Sales Entry'!$G:$G)</f>
        <v>0</v>
      </c>
      <c r="I215" s="50">
        <f>SUMIFS('Stock Adjustment'!$E:$E,'Stock Adjustment'!$B:$B,$A215,'Stock Adjustment'!$D:$D,"Staff Consumption")</f>
        <v>0</v>
      </c>
      <c r="J215" s="50">
        <f>SUMIFS('Stock Adjustment'!$E:$E,'Stock Adjustment'!$B:$B,$A215,'Stock Adjustment'!$D:$D,"Damaged")</f>
        <v>0</v>
      </c>
      <c r="K215" s="50">
        <f>SUMIFS('Stock Adjustment'!$E:$E,'Stock Adjustment'!$B:$B,$A215,'Stock Adjustment'!$D:$D,"Expired")</f>
        <v>0</v>
      </c>
      <c r="L215" s="50">
        <f>SUMIFS('Stock Adjustment'!$E:$E,'Stock Adjustment'!$B:$B,$A215,'Stock Adjustment'!$D:$D,"Supplier Returned")</f>
        <v>0</v>
      </c>
      <c r="M2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5" s="53" t="str">
        <f>IF(B215="","",VLOOKUP(B215,'Product Master'!$B:$G,4,FALSE))</f>
        <v/>
      </c>
      <c r="O215" s="53" t="str">
        <f>IF(B215="","",VLOOKUP(B215,'Product Master'!$B:$G,5,FALSE))</f>
        <v/>
      </c>
      <c r="P215" s="50" t="str">
        <f>IF(B215="","",VLOOKUP(B215,'Product Master'!$B:$I,7,FALSE))</f>
        <v/>
      </c>
      <c r="Q215" s="158"/>
      <c r="R215" s="58" t="str">
        <f t="shared" si="3"/>
        <v/>
      </c>
      <c r="S215" s="25"/>
      <c r="T215" s="25"/>
      <c r="U215" s="25"/>
      <c r="V215" s="25"/>
      <c r="W215" s="25"/>
      <c r="X215" s="25"/>
    </row>
    <row r="216" spans="1:24" x14ac:dyDescent="0.25">
      <c r="A216" s="31" t="s">
        <v>776</v>
      </c>
      <c r="B216" s="32"/>
      <c r="C216" s="50" t="str">
        <f>IF(B216="","",VLOOKUP(B216,'Product Master'!$B:$G,2,FALSE))</f>
        <v/>
      </c>
      <c r="D216" s="50" t="str">
        <f>IF(B216="","",VLOOKUP(B216,'Product Master'!$B:$G,3,FALSE))</f>
        <v/>
      </c>
      <c r="E216" s="50"/>
      <c r="F216" s="50">
        <f>SUMIF('Stock Purchase'!$D:$D,B216,'Stock Purchase'!$F:$F)</f>
        <v>0</v>
      </c>
      <c r="G216" s="50">
        <f>SUMIFS('Stock Adjustment'!$E:$E,'Stock Adjustment'!$B:$B,$A216,'Stock Adjustment'!$D:$D,"Customer Returned")</f>
        <v>0</v>
      </c>
      <c r="H216" s="50">
        <f>SUMIF('Daily Sales Entry'!$D:$D,B216,'Daily Sales Entry'!$G:$G)</f>
        <v>0</v>
      </c>
      <c r="I216" s="50">
        <f>SUMIFS('Stock Adjustment'!$E:$E,'Stock Adjustment'!$B:$B,$A216,'Stock Adjustment'!$D:$D,"Staff Consumption")</f>
        <v>0</v>
      </c>
      <c r="J216" s="50">
        <f>SUMIFS('Stock Adjustment'!$E:$E,'Stock Adjustment'!$B:$B,$A216,'Stock Adjustment'!$D:$D,"Damaged")</f>
        <v>0</v>
      </c>
      <c r="K216" s="50">
        <f>SUMIFS('Stock Adjustment'!$E:$E,'Stock Adjustment'!$B:$B,$A216,'Stock Adjustment'!$D:$D,"Expired")</f>
        <v>0</v>
      </c>
      <c r="L216" s="50">
        <f>SUMIFS('Stock Adjustment'!$E:$E,'Stock Adjustment'!$B:$B,$A216,'Stock Adjustment'!$D:$D,"Supplier Returned")</f>
        <v>0</v>
      </c>
      <c r="M2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6" s="53" t="str">
        <f>IF(B216="","",VLOOKUP(B216,'Product Master'!$B:$G,4,FALSE))</f>
        <v/>
      </c>
      <c r="O216" s="53" t="str">
        <f>IF(B216="","",VLOOKUP(B216,'Product Master'!$B:$G,5,FALSE))</f>
        <v/>
      </c>
      <c r="P216" s="50" t="str">
        <f>IF(B216="","",VLOOKUP(B216,'Product Master'!$B:$I,7,FALSE))</f>
        <v/>
      </c>
      <c r="Q216" s="158"/>
      <c r="R216" s="58" t="str">
        <f t="shared" si="3"/>
        <v/>
      </c>
      <c r="S216" s="25"/>
      <c r="T216" s="25"/>
      <c r="U216" s="25"/>
      <c r="V216" s="25"/>
      <c r="W216" s="25"/>
      <c r="X216" s="25"/>
    </row>
    <row r="217" spans="1:24" x14ac:dyDescent="0.25">
      <c r="A217" s="31" t="s">
        <v>777</v>
      </c>
      <c r="B217" s="32"/>
      <c r="C217" s="50" t="str">
        <f>IF(B217="","",VLOOKUP(B217,'Product Master'!$B:$G,2,FALSE))</f>
        <v/>
      </c>
      <c r="D217" s="50" t="str">
        <f>IF(B217="","",VLOOKUP(B217,'Product Master'!$B:$G,3,FALSE))</f>
        <v/>
      </c>
      <c r="E217" s="50"/>
      <c r="F217" s="50">
        <f>SUMIF('Stock Purchase'!$D:$D,B217,'Stock Purchase'!$F:$F)</f>
        <v>0</v>
      </c>
      <c r="G217" s="50">
        <f>SUMIFS('Stock Adjustment'!$E:$E,'Stock Adjustment'!$B:$B,$A217,'Stock Adjustment'!$D:$D,"Customer Returned")</f>
        <v>0</v>
      </c>
      <c r="H217" s="50">
        <f>SUMIF('Daily Sales Entry'!$D:$D,B217,'Daily Sales Entry'!$G:$G)</f>
        <v>0</v>
      </c>
      <c r="I217" s="50">
        <f>SUMIFS('Stock Adjustment'!$E:$E,'Stock Adjustment'!$B:$B,$A217,'Stock Adjustment'!$D:$D,"Staff Consumption")</f>
        <v>0</v>
      </c>
      <c r="J217" s="50">
        <f>SUMIFS('Stock Adjustment'!$E:$E,'Stock Adjustment'!$B:$B,$A217,'Stock Adjustment'!$D:$D,"Damaged")</f>
        <v>0</v>
      </c>
      <c r="K217" s="50">
        <f>SUMIFS('Stock Adjustment'!$E:$E,'Stock Adjustment'!$B:$B,$A217,'Stock Adjustment'!$D:$D,"Expired")</f>
        <v>0</v>
      </c>
      <c r="L217" s="50">
        <f>SUMIFS('Stock Adjustment'!$E:$E,'Stock Adjustment'!$B:$B,$A217,'Stock Adjustment'!$D:$D,"Supplier Returned")</f>
        <v>0</v>
      </c>
      <c r="M2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7" s="53" t="str">
        <f>IF(B217="","",VLOOKUP(B217,'Product Master'!$B:$G,4,FALSE))</f>
        <v/>
      </c>
      <c r="O217" s="53" t="str">
        <f>IF(B217="","",VLOOKUP(B217,'Product Master'!$B:$G,5,FALSE))</f>
        <v/>
      </c>
      <c r="P217" s="50" t="str">
        <f>IF(B217="","",VLOOKUP(B217,'Product Master'!$B:$I,7,FALSE))</f>
        <v/>
      </c>
      <c r="Q217" s="158"/>
      <c r="R217" s="58" t="str">
        <f t="shared" si="3"/>
        <v/>
      </c>
      <c r="S217" s="25"/>
      <c r="T217" s="25"/>
      <c r="U217" s="25"/>
      <c r="V217" s="25"/>
      <c r="W217" s="25"/>
      <c r="X217" s="25"/>
    </row>
    <row r="218" spans="1:24" x14ac:dyDescent="0.25">
      <c r="A218" s="31" t="s">
        <v>778</v>
      </c>
      <c r="B218" s="32"/>
      <c r="C218" s="50" t="str">
        <f>IF(B218="","",VLOOKUP(B218,'Product Master'!$B:$G,2,FALSE))</f>
        <v/>
      </c>
      <c r="D218" s="50" t="str">
        <f>IF(B218="","",VLOOKUP(B218,'Product Master'!$B:$G,3,FALSE))</f>
        <v/>
      </c>
      <c r="E218" s="50"/>
      <c r="F218" s="50">
        <f>SUMIF('Stock Purchase'!$D:$D,B218,'Stock Purchase'!$F:$F)</f>
        <v>0</v>
      </c>
      <c r="G218" s="50">
        <f>SUMIFS('Stock Adjustment'!$E:$E,'Stock Adjustment'!$B:$B,$A218,'Stock Adjustment'!$D:$D,"Customer Returned")</f>
        <v>0</v>
      </c>
      <c r="H218" s="50">
        <f>SUMIF('Daily Sales Entry'!$D:$D,B218,'Daily Sales Entry'!$G:$G)</f>
        <v>0</v>
      </c>
      <c r="I218" s="50">
        <f>SUMIFS('Stock Adjustment'!$E:$E,'Stock Adjustment'!$B:$B,$A218,'Stock Adjustment'!$D:$D,"Staff Consumption")</f>
        <v>0</v>
      </c>
      <c r="J218" s="50">
        <f>SUMIFS('Stock Adjustment'!$E:$E,'Stock Adjustment'!$B:$B,$A218,'Stock Adjustment'!$D:$D,"Damaged")</f>
        <v>0</v>
      </c>
      <c r="K218" s="50">
        <f>SUMIFS('Stock Adjustment'!$E:$E,'Stock Adjustment'!$B:$B,$A218,'Stock Adjustment'!$D:$D,"Expired")</f>
        <v>0</v>
      </c>
      <c r="L218" s="50">
        <f>SUMIFS('Stock Adjustment'!$E:$E,'Stock Adjustment'!$B:$B,$A218,'Stock Adjustment'!$D:$D,"Supplier Returned")</f>
        <v>0</v>
      </c>
      <c r="M2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8" s="53" t="str">
        <f>IF(B218="","",VLOOKUP(B218,'Product Master'!$B:$G,4,FALSE))</f>
        <v/>
      </c>
      <c r="O218" s="53" t="str">
        <f>IF(B218="","",VLOOKUP(B218,'Product Master'!$B:$G,5,FALSE))</f>
        <v/>
      </c>
      <c r="P218" s="50" t="str">
        <f>IF(B218="","",VLOOKUP(B218,'Product Master'!$B:$I,7,FALSE))</f>
        <v/>
      </c>
      <c r="Q218" s="158"/>
      <c r="R218" s="58" t="str">
        <f t="shared" si="3"/>
        <v/>
      </c>
      <c r="S218" s="25"/>
      <c r="T218" s="25"/>
      <c r="U218" s="25"/>
      <c r="V218" s="25"/>
      <c r="W218" s="25"/>
      <c r="X218" s="25"/>
    </row>
    <row r="219" spans="1:24" x14ac:dyDescent="0.25">
      <c r="A219" s="31" t="s">
        <v>779</v>
      </c>
      <c r="B219" s="32"/>
      <c r="C219" s="50" t="str">
        <f>IF(B219="","",VLOOKUP(B219,'Product Master'!$B:$G,2,FALSE))</f>
        <v/>
      </c>
      <c r="D219" s="50" t="str">
        <f>IF(B219="","",VLOOKUP(B219,'Product Master'!$B:$G,3,FALSE))</f>
        <v/>
      </c>
      <c r="E219" s="50"/>
      <c r="F219" s="50">
        <f>SUMIF('Stock Purchase'!$D:$D,B219,'Stock Purchase'!$F:$F)</f>
        <v>0</v>
      </c>
      <c r="G219" s="50">
        <f>SUMIFS('Stock Adjustment'!$E:$E,'Stock Adjustment'!$B:$B,$A219,'Stock Adjustment'!$D:$D,"Customer Returned")</f>
        <v>0</v>
      </c>
      <c r="H219" s="50">
        <f>SUMIF('Daily Sales Entry'!$D:$D,B219,'Daily Sales Entry'!$G:$G)</f>
        <v>0</v>
      </c>
      <c r="I219" s="50">
        <f>SUMIFS('Stock Adjustment'!$E:$E,'Stock Adjustment'!$B:$B,$A219,'Stock Adjustment'!$D:$D,"Staff Consumption")</f>
        <v>0</v>
      </c>
      <c r="J219" s="50">
        <f>SUMIFS('Stock Adjustment'!$E:$E,'Stock Adjustment'!$B:$B,$A219,'Stock Adjustment'!$D:$D,"Damaged")</f>
        <v>0</v>
      </c>
      <c r="K219" s="50">
        <f>SUMIFS('Stock Adjustment'!$E:$E,'Stock Adjustment'!$B:$B,$A219,'Stock Adjustment'!$D:$D,"Expired")</f>
        <v>0</v>
      </c>
      <c r="L219" s="50">
        <f>SUMIFS('Stock Adjustment'!$E:$E,'Stock Adjustment'!$B:$B,$A219,'Stock Adjustment'!$D:$D,"Supplier Returned")</f>
        <v>0</v>
      </c>
      <c r="M2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19" s="53" t="str">
        <f>IF(B219="","",VLOOKUP(B219,'Product Master'!$B:$G,4,FALSE))</f>
        <v/>
      </c>
      <c r="O219" s="53" t="str">
        <f>IF(B219="","",VLOOKUP(B219,'Product Master'!$B:$G,5,FALSE))</f>
        <v/>
      </c>
      <c r="P219" s="50" t="str">
        <f>IF(B219="","",VLOOKUP(B219,'Product Master'!$B:$I,7,FALSE))</f>
        <v/>
      </c>
      <c r="Q219" s="158"/>
      <c r="R219" s="58" t="str">
        <f t="shared" si="3"/>
        <v/>
      </c>
      <c r="S219" s="25"/>
      <c r="T219" s="25"/>
      <c r="U219" s="25"/>
      <c r="V219" s="25"/>
      <c r="W219" s="25"/>
      <c r="X219" s="25"/>
    </row>
    <row r="220" spans="1:24" x14ac:dyDescent="0.25">
      <c r="A220" s="31" t="s">
        <v>780</v>
      </c>
      <c r="B220" s="32"/>
      <c r="C220" s="50" t="str">
        <f>IF(B220="","",VLOOKUP(B220,'Product Master'!$B:$G,2,FALSE))</f>
        <v/>
      </c>
      <c r="D220" s="50" t="str">
        <f>IF(B220="","",VLOOKUP(B220,'Product Master'!$B:$G,3,FALSE))</f>
        <v/>
      </c>
      <c r="E220" s="50"/>
      <c r="F220" s="50">
        <f>SUMIF('Stock Purchase'!$D:$D,B220,'Stock Purchase'!$F:$F)</f>
        <v>0</v>
      </c>
      <c r="G220" s="50">
        <f>SUMIFS('Stock Adjustment'!$E:$E,'Stock Adjustment'!$B:$B,$A220,'Stock Adjustment'!$D:$D,"Customer Returned")</f>
        <v>0</v>
      </c>
      <c r="H220" s="50">
        <f>SUMIF('Daily Sales Entry'!$D:$D,B220,'Daily Sales Entry'!$G:$G)</f>
        <v>0</v>
      </c>
      <c r="I220" s="50">
        <f>SUMIFS('Stock Adjustment'!$E:$E,'Stock Adjustment'!$B:$B,$A220,'Stock Adjustment'!$D:$D,"Staff Consumption")</f>
        <v>0</v>
      </c>
      <c r="J220" s="50">
        <f>SUMIFS('Stock Adjustment'!$E:$E,'Stock Adjustment'!$B:$B,$A220,'Stock Adjustment'!$D:$D,"Damaged")</f>
        <v>0</v>
      </c>
      <c r="K220" s="50">
        <f>SUMIFS('Stock Adjustment'!$E:$E,'Stock Adjustment'!$B:$B,$A220,'Stock Adjustment'!$D:$D,"Expired")</f>
        <v>0</v>
      </c>
      <c r="L220" s="50">
        <f>SUMIFS('Stock Adjustment'!$E:$E,'Stock Adjustment'!$B:$B,$A220,'Stock Adjustment'!$D:$D,"Supplier Returned")</f>
        <v>0</v>
      </c>
      <c r="M2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0" s="53" t="str">
        <f>IF(B220="","",VLOOKUP(B220,'Product Master'!$B:$G,4,FALSE))</f>
        <v/>
      </c>
      <c r="O220" s="53" t="str">
        <f>IF(B220="","",VLOOKUP(B220,'Product Master'!$B:$G,5,FALSE))</f>
        <v/>
      </c>
      <c r="P220" s="50" t="str">
        <f>IF(B220="","",VLOOKUP(B220,'Product Master'!$B:$I,7,FALSE))</f>
        <v/>
      </c>
      <c r="Q220" s="158"/>
      <c r="R220" s="58" t="str">
        <f t="shared" si="3"/>
        <v/>
      </c>
      <c r="S220" s="25"/>
      <c r="T220" s="25"/>
      <c r="U220" s="25"/>
      <c r="V220" s="25"/>
      <c r="W220" s="25"/>
      <c r="X220" s="25"/>
    </row>
    <row r="221" spans="1:24" x14ac:dyDescent="0.25">
      <c r="A221" s="31" t="s">
        <v>781</v>
      </c>
      <c r="B221" s="32"/>
      <c r="C221" s="50" t="str">
        <f>IF(B221="","",VLOOKUP(B221,'Product Master'!$B:$G,2,FALSE))</f>
        <v/>
      </c>
      <c r="D221" s="50" t="str">
        <f>IF(B221="","",VLOOKUP(B221,'Product Master'!$B:$G,3,FALSE))</f>
        <v/>
      </c>
      <c r="E221" s="50"/>
      <c r="F221" s="50">
        <f>SUMIF('Stock Purchase'!$D:$D,B221,'Stock Purchase'!$F:$F)</f>
        <v>0</v>
      </c>
      <c r="G221" s="50">
        <f>SUMIFS('Stock Adjustment'!$E:$E,'Stock Adjustment'!$B:$B,$A221,'Stock Adjustment'!$D:$D,"Customer Returned")</f>
        <v>0</v>
      </c>
      <c r="H221" s="50">
        <f>SUMIF('Daily Sales Entry'!$D:$D,B221,'Daily Sales Entry'!$G:$G)</f>
        <v>0</v>
      </c>
      <c r="I221" s="50">
        <f>SUMIFS('Stock Adjustment'!$E:$E,'Stock Adjustment'!$B:$B,$A221,'Stock Adjustment'!$D:$D,"Staff Consumption")</f>
        <v>0</v>
      </c>
      <c r="J221" s="50">
        <f>SUMIFS('Stock Adjustment'!$E:$E,'Stock Adjustment'!$B:$B,$A221,'Stock Adjustment'!$D:$D,"Damaged")</f>
        <v>0</v>
      </c>
      <c r="K221" s="50">
        <f>SUMIFS('Stock Adjustment'!$E:$E,'Stock Adjustment'!$B:$B,$A221,'Stock Adjustment'!$D:$D,"Expired")</f>
        <v>0</v>
      </c>
      <c r="L221" s="50">
        <f>SUMIFS('Stock Adjustment'!$E:$E,'Stock Adjustment'!$B:$B,$A221,'Stock Adjustment'!$D:$D,"Supplier Returned")</f>
        <v>0</v>
      </c>
      <c r="M2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1" s="53" t="str">
        <f>IF(B221="","",VLOOKUP(B221,'Product Master'!$B:$G,4,FALSE))</f>
        <v/>
      </c>
      <c r="O221" s="53" t="str">
        <f>IF(B221="","",VLOOKUP(B221,'Product Master'!$B:$G,5,FALSE))</f>
        <v/>
      </c>
      <c r="P221" s="50" t="str">
        <f>IF(B221="","",VLOOKUP(B221,'Product Master'!$B:$I,7,FALSE))</f>
        <v/>
      </c>
      <c r="Q221" s="158"/>
      <c r="R221" s="58" t="str">
        <f t="shared" si="3"/>
        <v/>
      </c>
      <c r="S221" s="25"/>
      <c r="T221" s="25"/>
      <c r="U221" s="25"/>
      <c r="V221" s="25"/>
      <c r="W221" s="25"/>
      <c r="X221" s="25"/>
    </row>
    <row r="222" spans="1:24" x14ac:dyDescent="0.25">
      <c r="A222" s="31" t="s">
        <v>782</v>
      </c>
      <c r="B222" s="32"/>
      <c r="C222" s="50" t="str">
        <f>IF(B222="","",VLOOKUP(B222,'Product Master'!$B:$G,2,FALSE))</f>
        <v/>
      </c>
      <c r="D222" s="50" t="str">
        <f>IF(B222="","",VLOOKUP(B222,'Product Master'!$B:$G,3,FALSE))</f>
        <v/>
      </c>
      <c r="E222" s="50"/>
      <c r="F222" s="50">
        <f>SUMIF('Stock Purchase'!$D:$D,B222,'Stock Purchase'!$F:$F)</f>
        <v>0</v>
      </c>
      <c r="G222" s="50">
        <f>SUMIFS('Stock Adjustment'!$E:$E,'Stock Adjustment'!$B:$B,$A222,'Stock Adjustment'!$D:$D,"Customer Returned")</f>
        <v>0</v>
      </c>
      <c r="H222" s="50">
        <f>SUMIF('Daily Sales Entry'!$D:$D,B222,'Daily Sales Entry'!$G:$G)</f>
        <v>0</v>
      </c>
      <c r="I222" s="50">
        <f>SUMIFS('Stock Adjustment'!$E:$E,'Stock Adjustment'!$B:$B,$A222,'Stock Adjustment'!$D:$D,"Staff Consumption")</f>
        <v>0</v>
      </c>
      <c r="J222" s="50">
        <f>SUMIFS('Stock Adjustment'!$E:$E,'Stock Adjustment'!$B:$B,$A222,'Stock Adjustment'!$D:$D,"Damaged")</f>
        <v>0</v>
      </c>
      <c r="K222" s="50">
        <f>SUMIFS('Stock Adjustment'!$E:$E,'Stock Adjustment'!$B:$B,$A222,'Stock Adjustment'!$D:$D,"Expired")</f>
        <v>0</v>
      </c>
      <c r="L222" s="50">
        <f>SUMIFS('Stock Adjustment'!$E:$E,'Stock Adjustment'!$B:$B,$A222,'Stock Adjustment'!$D:$D,"Supplier Returned")</f>
        <v>0</v>
      </c>
      <c r="M2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2" s="53" t="str">
        <f>IF(B222="","",VLOOKUP(B222,'Product Master'!$B:$G,4,FALSE))</f>
        <v/>
      </c>
      <c r="O222" s="53" t="str">
        <f>IF(B222="","",VLOOKUP(B222,'Product Master'!$B:$G,5,FALSE))</f>
        <v/>
      </c>
      <c r="P222" s="50" t="str">
        <f>IF(B222="","",VLOOKUP(B222,'Product Master'!$B:$I,7,FALSE))</f>
        <v/>
      </c>
      <c r="Q222" s="158"/>
      <c r="R222" s="58" t="str">
        <f t="shared" si="3"/>
        <v/>
      </c>
      <c r="S222" s="25"/>
      <c r="T222" s="25"/>
      <c r="U222" s="25"/>
      <c r="V222" s="25"/>
      <c r="W222" s="25"/>
      <c r="X222" s="25"/>
    </row>
    <row r="223" spans="1:24" x14ac:dyDescent="0.25">
      <c r="A223" s="31" t="s">
        <v>783</v>
      </c>
      <c r="B223" s="32"/>
      <c r="C223" s="50" t="str">
        <f>IF(B223="","",VLOOKUP(B223,'Product Master'!$B:$G,2,FALSE))</f>
        <v/>
      </c>
      <c r="D223" s="50" t="str">
        <f>IF(B223="","",VLOOKUP(B223,'Product Master'!$B:$G,3,FALSE))</f>
        <v/>
      </c>
      <c r="E223" s="50"/>
      <c r="F223" s="50">
        <f>SUMIF('Stock Purchase'!$D:$D,B223,'Stock Purchase'!$F:$F)</f>
        <v>0</v>
      </c>
      <c r="G223" s="50">
        <f>SUMIFS('Stock Adjustment'!$E:$E,'Stock Adjustment'!$B:$B,$A223,'Stock Adjustment'!$D:$D,"Customer Returned")</f>
        <v>0</v>
      </c>
      <c r="H223" s="50">
        <f>SUMIF('Daily Sales Entry'!$D:$D,B223,'Daily Sales Entry'!$G:$G)</f>
        <v>0</v>
      </c>
      <c r="I223" s="50">
        <f>SUMIFS('Stock Adjustment'!$E:$E,'Stock Adjustment'!$B:$B,$A223,'Stock Adjustment'!$D:$D,"Staff Consumption")</f>
        <v>0</v>
      </c>
      <c r="J223" s="50">
        <f>SUMIFS('Stock Adjustment'!$E:$E,'Stock Adjustment'!$B:$B,$A223,'Stock Adjustment'!$D:$D,"Damaged")</f>
        <v>0</v>
      </c>
      <c r="K223" s="50">
        <f>SUMIFS('Stock Adjustment'!$E:$E,'Stock Adjustment'!$B:$B,$A223,'Stock Adjustment'!$D:$D,"Expired")</f>
        <v>0</v>
      </c>
      <c r="L223" s="50">
        <f>SUMIFS('Stock Adjustment'!$E:$E,'Stock Adjustment'!$B:$B,$A223,'Stock Adjustment'!$D:$D,"Supplier Returned")</f>
        <v>0</v>
      </c>
      <c r="M2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3" s="53" t="str">
        <f>IF(B223="","",VLOOKUP(B223,'Product Master'!$B:$G,4,FALSE))</f>
        <v/>
      </c>
      <c r="O223" s="53" t="str">
        <f>IF(B223="","",VLOOKUP(B223,'Product Master'!$B:$G,5,FALSE))</f>
        <v/>
      </c>
      <c r="P223" s="50" t="str">
        <f>IF(B223="","",VLOOKUP(B223,'Product Master'!$B:$I,7,FALSE))</f>
        <v/>
      </c>
      <c r="Q223" s="158"/>
      <c r="R223" s="58" t="str">
        <f t="shared" si="3"/>
        <v/>
      </c>
      <c r="S223" s="25"/>
      <c r="T223" s="25"/>
      <c r="U223" s="25"/>
      <c r="V223" s="25"/>
      <c r="W223" s="25"/>
      <c r="X223" s="25"/>
    </row>
    <row r="224" spans="1:24" x14ac:dyDescent="0.25">
      <c r="A224" s="31" t="s">
        <v>784</v>
      </c>
      <c r="B224" s="32"/>
      <c r="C224" s="50" t="str">
        <f>IF(B224="","",VLOOKUP(B224,'Product Master'!$B:$G,2,FALSE))</f>
        <v/>
      </c>
      <c r="D224" s="50" t="str">
        <f>IF(B224="","",VLOOKUP(B224,'Product Master'!$B:$G,3,FALSE))</f>
        <v/>
      </c>
      <c r="E224" s="50"/>
      <c r="F224" s="50">
        <f>SUMIF('Stock Purchase'!$D:$D,B224,'Stock Purchase'!$F:$F)</f>
        <v>0</v>
      </c>
      <c r="G224" s="50">
        <f>SUMIFS('Stock Adjustment'!$E:$E,'Stock Adjustment'!$B:$B,$A224,'Stock Adjustment'!$D:$D,"Customer Returned")</f>
        <v>0</v>
      </c>
      <c r="H224" s="50">
        <f>SUMIF('Daily Sales Entry'!$D:$D,B224,'Daily Sales Entry'!$G:$G)</f>
        <v>0</v>
      </c>
      <c r="I224" s="50">
        <f>SUMIFS('Stock Adjustment'!$E:$E,'Stock Adjustment'!$B:$B,$A224,'Stock Adjustment'!$D:$D,"Staff Consumption")</f>
        <v>0</v>
      </c>
      <c r="J224" s="50">
        <f>SUMIFS('Stock Adjustment'!$E:$E,'Stock Adjustment'!$B:$B,$A224,'Stock Adjustment'!$D:$D,"Damaged")</f>
        <v>0</v>
      </c>
      <c r="K224" s="50">
        <f>SUMIFS('Stock Adjustment'!$E:$E,'Stock Adjustment'!$B:$B,$A224,'Stock Adjustment'!$D:$D,"Expired")</f>
        <v>0</v>
      </c>
      <c r="L224" s="50">
        <f>SUMIFS('Stock Adjustment'!$E:$E,'Stock Adjustment'!$B:$B,$A224,'Stock Adjustment'!$D:$D,"Supplier Returned")</f>
        <v>0</v>
      </c>
      <c r="M2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4" s="53" t="str">
        <f>IF(B224="","",VLOOKUP(B224,'Product Master'!$B:$G,4,FALSE))</f>
        <v/>
      </c>
      <c r="O224" s="53" t="str">
        <f>IF(B224="","",VLOOKUP(B224,'Product Master'!$B:$G,5,FALSE))</f>
        <v/>
      </c>
      <c r="P224" s="50" t="str">
        <f>IF(B224="","",VLOOKUP(B224,'Product Master'!$B:$I,7,FALSE))</f>
        <v/>
      </c>
      <c r="Q224" s="158"/>
      <c r="R224" s="58" t="str">
        <f t="shared" si="3"/>
        <v/>
      </c>
      <c r="S224" s="25"/>
      <c r="T224" s="25"/>
      <c r="U224" s="25"/>
      <c r="V224" s="25"/>
      <c r="W224" s="25"/>
      <c r="X224" s="25"/>
    </row>
    <row r="225" spans="1:24" x14ac:dyDescent="0.25">
      <c r="A225" s="31" t="s">
        <v>785</v>
      </c>
      <c r="B225" s="32"/>
      <c r="C225" s="50" t="str">
        <f>IF(B225="","",VLOOKUP(B225,'Product Master'!$B:$G,2,FALSE))</f>
        <v/>
      </c>
      <c r="D225" s="50" t="str">
        <f>IF(B225="","",VLOOKUP(B225,'Product Master'!$B:$G,3,FALSE))</f>
        <v/>
      </c>
      <c r="E225" s="50"/>
      <c r="F225" s="50">
        <f>SUMIF('Stock Purchase'!$D:$D,B225,'Stock Purchase'!$F:$F)</f>
        <v>0</v>
      </c>
      <c r="G225" s="50">
        <f>SUMIFS('Stock Adjustment'!$E:$E,'Stock Adjustment'!$B:$B,$A225,'Stock Adjustment'!$D:$D,"Customer Returned")</f>
        <v>0</v>
      </c>
      <c r="H225" s="50">
        <f>SUMIF('Daily Sales Entry'!$D:$D,B225,'Daily Sales Entry'!$G:$G)</f>
        <v>0</v>
      </c>
      <c r="I225" s="50">
        <f>SUMIFS('Stock Adjustment'!$E:$E,'Stock Adjustment'!$B:$B,$A225,'Stock Adjustment'!$D:$D,"Staff Consumption")</f>
        <v>0</v>
      </c>
      <c r="J225" s="50">
        <f>SUMIFS('Stock Adjustment'!$E:$E,'Stock Adjustment'!$B:$B,$A225,'Stock Adjustment'!$D:$D,"Damaged")</f>
        <v>0</v>
      </c>
      <c r="K225" s="50">
        <f>SUMIFS('Stock Adjustment'!$E:$E,'Stock Adjustment'!$B:$B,$A225,'Stock Adjustment'!$D:$D,"Expired")</f>
        <v>0</v>
      </c>
      <c r="L225" s="50">
        <f>SUMIFS('Stock Adjustment'!$E:$E,'Stock Adjustment'!$B:$B,$A225,'Stock Adjustment'!$D:$D,"Supplier Returned")</f>
        <v>0</v>
      </c>
      <c r="M2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5" s="53" t="str">
        <f>IF(B225="","",VLOOKUP(B225,'Product Master'!$B:$G,4,FALSE))</f>
        <v/>
      </c>
      <c r="O225" s="53" t="str">
        <f>IF(B225="","",VLOOKUP(B225,'Product Master'!$B:$G,5,FALSE))</f>
        <v/>
      </c>
      <c r="P225" s="50" t="str">
        <f>IF(B225="","",VLOOKUP(B225,'Product Master'!$B:$I,7,FALSE))</f>
        <v/>
      </c>
      <c r="Q225" s="158"/>
      <c r="R225" s="58" t="str">
        <f t="shared" si="3"/>
        <v/>
      </c>
      <c r="S225" s="25"/>
      <c r="T225" s="25"/>
      <c r="U225" s="25"/>
      <c r="V225" s="25"/>
      <c r="W225" s="25"/>
      <c r="X225" s="25"/>
    </row>
    <row r="226" spans="1:24" x14ac:dyDescent="0.25">
      <c r="A226" s="31" t="s">
        <v>786</v>
      </c>
      <c r="B226" s="32"/>
      <c r="C226" s="50" t="str">
        <f>IF(B226="","",VLOOKUP(B226,'Product Master'!$B:$G,2,FALSE))</f>
        <v/>
      </c>
      <c r="D226" s="50" t="str">
        <f>IF(B226="","",VLOOKUP(B226,'Product Master'!$B:$G,3,FALSE))</f>
        <v/>
      </c>
      <c r="E226" s="50"/>
      <c r="F226" s="50">
        <f>SUMIF('Stock Purchase'!$D:$D,B226,'Stock Purchase'!$F:$F)</f>
        <v>0</v>
      </c>
      <c r="G226" s="50">
        <f>SUMIFS('Stock Adjustment'!$E:$E,'Stock Adjustment'!$B:$B,$A226,'Stock Adjustment'!$D:$D,"Customer Returned")</f>
        <v>0</v>
      </c>
      <c r="H226" s="50">
        <f>SUMIF('Daily Sales Entry'!$D:$D,B226,'Daily Sales Entry'!$G:$G)</f>
        <v>0</v>
      </c>
      <c r="I226" s="50">
        <f>SUMIFS('Stock Adjustment'!$E:$E,'Stock Adjustment'!$B:$B,$A226,'Stock Adjustment'!$D:$D,"Staff Consumption")</f>
        <v>0</v>
      </c>
      <c r="J226" s="50">
        <f>SUMIFS('Stock Adjustment'!$E:$E,'Stock Adjustment'!$B:$B,$A226,'Stock Adjustment'!$D:$D,"Damaged")</f>
        <v>0</v>
      </c>
      <c r="K226" s="50">
        <f>SUMIFS('Stock Adjustment'!$E:$E,'Stock Adjustment'!$B:$B,$A226,'Stock Adjustment'!$D:$D,"Expired")</f>
        <v>0</v>
      </c>
      <c r="L226" s="50">
        <f>SUMIFS('Stock Adjustment'!$E:$E,'Stock Adjustment'!$B:$B,$A226,'Stock Adjustment'!$D:$D,"Supplier Returned")</f>
        <v>0</v>
      </c>
      <c r="M2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6" s="53" t="str">
        <f>IF(B226="","",VLOOKUP(B226,'Product Master'!$B:$G,4,FALSE))</f>
        <v/>
      </c>
      <c r="O226" s="53" t="str">
        <f>IF(B226="","",VLOOKUP(B226,'Product Master'!$B:$G,5,FALSE))</f>
        <v/>
      </c>
      <c r="P226" s="50" t="str">
        <f>IF(B226="","",VLOOKUP(B226,'Product Master'!$B:$I,7,FALSE))</f>
        <v/>
      </c>
      <c r="Q226" s="158"/>
      <c r="R226" s="58" t="str">
        <f t="shared" si="3"/>
        <v/>
      </c>
      <c r="S226" s="25"/>
      <c r="T226" s="25"/>
      <c r="U226" s="25"/>
      <c r="V226" s="25"/>
      <c r="W226" s="25"/>
      <c r="X226" s="25"/>
    </row>
    <row r="227" spans="1:24" x14ac:dyDescent="0.25">
      <c r="A227" s="31" t="s">
        <v>787</v>
      </c>
      <c r="B227" s="32"/>
      <c r="C227" s="50" t="str">
        <f>IF(B227="","",VLOOKUP(B227,'Product Master'!$B:$G,2,FALSE))</f>
        <v/>
      </c>
      <c r="D227" s="50" t="str">
        <f>IF(B227="","",VLOOKUP(B227,'Product Master'!$B:$G,3,FALSE))</f>
        <v/>
      </c>
      <c r="E227" s="50"/>
      <c r="F227" s="50">
        <f>SUMIF('Stock Purchase'!$D:$D,B227,'Stock Purchase'!$F:$F)</f>
        <v>0</v>
      </c>
      <c r="G227" s="50">
        <f>SUMIFS('Stock Adjustment'!$E:$E,'Stock Adjustment'!$B:$B,$A227,'Stock Adjustment'!$D:$D,"Customer Returned")</f>
        <v>0</v>
      </c>
      <c r="H227" s="50">
        <f>SUMIF('Daily Sales Entry'!$D:$D,B227,'Daily Sales Entry'!$G:$G)</f>
        <v>0</v>
      </c>
      <c r="I227" s="50">
        <f>SUMIFS('Stock Adjustment'!$E:$E,'Stock Adjustment'!$B:$B,$A227,'Stock Adjustment'!$D:$D,"Staff Consumption")</f>
        <v>0</v>
      </c>
      <c r="J227" s="50">
        <f>SUMIFS('Stock Adjustment'!$E:$E,'Stock Adjustment'!$B:$B,$A227,'Stock Adjustment'!$D:$D,"Damaged")</f>
        <v>0</v>
      </c>
      <c r="K227" s="50">
        <f>SUMIFS('Stock Adjustment'!$E:$E,'Stock Adjustment'!$B:$B,$A227,'Stock Adjustment'!$D:$D,"Expired")</f>
        <v>0</v>
      </c>
      <c r="L227" s="50">
        <f>SUMIFS('Stock Adjustment'!$E:$E,'Stock Adjustment'!$B:$B,$A227,'Stock Adjustment'!$D:$D,"Supplier Returned")</f>
        <v>0</v>
      </c>
      <c r="M2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7" s="53" t="str">
        <f>IF(B227="","",VLOOKUP(B227,'Product Master'!$B:$G,4,FALSE))</f>
        <v/>
      </c>
      <c r="O227" s="53" t="str">
        <f>IF(B227="","",VLOOKUP(B227,'Product Master'!$B:$G,5,FALSE))</f>
        <v/>
      </c>
      <c r="P227" s="50" t="str">
        <f>IF(B227="","",VLOOKUP(B227,'Product Master'!$B:$I,7,FALSE))</f>
        <v/>
      </c>
      <c r="Q227" s="158"/>
      <c r="R227" s="58" t="str">
        <f t="shared" si="3"/>
        <v/>
      </c>
      <c r="S227" s="25"/>
      <c r="T227" s="25"/>
      <c r="U227" s="25"/>
      <c r="V227" s="25"/>
      <c r="W227" s="25"/>
      <c r="X227" s="25"/>
    </row>
    <row r="228" spans="1:24" x14ac:dyDescent="0.25">
      <c r="A228" s="31" t="s">
        <v>788</v>
      </c>
      <c r="B228" s="32"/>
      <c r="C228" s="50" t="str">
        <f>IF(B228="","",VLOOKUP(B228,'Product Master'!$B:$G,2,FALSE))</f>
        <v/>
      </c>
      <c r="D228" s="50" t="str">
        <f>IF(B228="","",VLOOKUP(B228,'Product Master'!$B:$G,3,FALSE))</f>
        <v/>
      </c>
      <c r="E228" s="50"/>
      <c r="F228" s="50">
        <f>SUMIF('Stock Purchase'!$D:$D,B228,'Stock Purchase'!$F:$F)</f>
        <v>0</v>
      </c>
      <c r="G228" s="50">
        <f>SUMIFS('Stock Adjustment'!$E:$E,'Stock Adjustment'!$B:$B,$A228,'Stock Adjustment'!$D:$D,"Customer Returned")</f>
        <v>0</v>
      </c>
      <c r="H228" s="50">
        <f>SUMIF('Daily Sales Entry'!$D:$D,B228,'Daily Sales Entry'!$G:$G)</f>
        <v>0</v>
      </c>
      <c r="I228" s="50">
        <f>SUMIFS('Stock Adjustment'!$E:$E,'Stock Adjustment'!$B:$B,$A228,'Stock Adjustment'!$D:$D,"Staff Consumption")</f>
        <v>0</v>
      </c>
      <c r="J228" s="50">
        <f>SUMIFS('Stock Adjustment'!$E:$E,'Stock Adjustment'!$B:$B,$A228,'Stock Adjustment'!$D:$D,"Damaged")</f>
        <v>0</v>
      </c>
      <c r="K228" s="50">
        <f>SUMIFS('Stock Adjustment'!$E:$E,'Stock Adjustment'!$B:$B,$A228,'Stock Adjustment'!$D:$D,"Expired")</f>
        <v>0</v>
      </c>
      <c r="L228" s="50">
        <f>SUMIFS('Stock Adjustment'!$E:$E,'Stock Adjustment'!$B:$B,$A228,'Stock Adjustment'!$D:$D,"Supplier Returned")</f>
        <v>0</v>
      </c>
      <c r="M2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8" s="53" t="str">
        <f>IF(B228="","",VLOOKUP(B228,'Product Master'!$B:$G,4,FALSE))</f>
        <v/>
      </c>
      <c r="O228" s="53" t="str">
        <f>IF(B228="","",VLOOKUP(B228,'Product Master'!$B:$G,5,FALSE))</f>
        <v/>
      </c>
      <c r="P228" s="50" t="str">
        <f>IF(B228="","",VLOOKUP(B228,'Product Master'!$B:$I,7,FALSE))</f>
        <v/>
      </c>
      <c r="Q228" s="158"/>
      <c r="R228" s="58" t="str">
        <f t="shared" si="3"/>
        <v/>
      </c>
      <c r="S228" s="25"/>
      <c r="T228" s="25"/>
      <c r="U228" s="25"/>
      <c r="V228" s="25"/>
      <c r="W228" s="25"/>
      <c r="X228" s="25"/>
    </row>
    <row r="229" spans="1:24" x14ac:dyDescent="0.25">
      <c r="A229" s="31" t="s">
        <v>789</v>
      </c>
      <c r="B229" s="32"/>
      <c r="C229" s="50" t="str">
        <f>IF(B229="","",VLOOKUP(B229,'Product Master'!$B:$G,2,FALSE))</f>
        <v/>
      </c>
      <c r="D229" s="50" t="str">
        <f>IF(B229="","",VLOOKUP(B229,'Product Master'!$B:$G,3,FALSE))</f>
        <v/>
      </c>
      <c r="E229" s="50"/>
      <c r="F229" s="50">
        <f>SUMIF('Stock Purchase'!$D:$D,B229,'Stock Purchase'!$F:$F)</f>
        <v>0</v>
      </c>
      <c r="G229" s="50">
        <f>SUMIFS('Stock Adjustment'!$E:$E,'Stock Adjustment'!$B:$B,$A229,'Stock Adjustment'!$D:$D,"Customer Returned")</f>
        <v>0</v>
      </c>
      <c r="H229" s="50">
        <f>SUMIF('Daily Sales Entry'!$D:$D,B229,'Daily Sales Entry'!$G:$G)</f>
        <v>0</v>
      </c>
      <c r="I229" s="50">
        <f>SUMIFS('Stock Adjustment'!$E:$E,'Stock Adjustment'!$B:$B,$A229,'Stock Adjustment'!$D:$D,"Staff Consumption")</f>
        <v>0</v>
      </c>
      <c r="J229" s="50">
        <f>SUMIFS('Stock Adjustment'!$E:$E,'Stock Adjustment'!$B:$B,$A229,'Stock Adjustment'!$D:$D,"Damaged")</f>
        <v>0</v>
      </c>
      <c r="K229" s="50">
        <f>SUMIFS('Stock Adjustment'!$E:$E,'Stock Adjustment'!$B:$B,$A229,'Stock Adjustment'!$D:$D,"Expired")</f>
        <v>0</v>
      </c>
      <c r="L229" s="50">
        <f>SUMIFS('Stock Adjustment'!$E:$E,'Stock Adjustment'!$B:$B,$A229,'Stock Adjustment'!$D:$D,"Supplier Returned")</f>
        <v>0</v>
      </c>
      <c r="M2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29" s="53" t="str">
        <f>IF(B229="","",VLOOKUP(B229,'Product Master'!$B:$G,4,FALSE))</f>
        <v/>
      </c>
      <c r="O229" s="53" t="str">
        <f>IF(B229="","",VLOOKUP(B229,'Product Master'!$B:$G,5,FALSE))</f>
        <v/>
      </c>
      <c r="P229" s="50" t="str">
        <f>IF(B229="","",VLOOKUP(B229,'Product Master'!$B:$I,7,FALSE))</f>
        <v/>
      </c>
      <c r="Q229" s="158"/>
      <c r="R229" s="58" t="str">
        <f t="shared" si="3"/>
        <v/>
      </c>
      <c r="S229" s="25"/>
      <c r="T229" s="25"/>
      <c r="U229" s="25"/>
      <c r="V229" s="25"/>
      <c r="W229" s="25"/>
      <c r="X229" s="25"/>
    </row>
    <row r="230" spans="1:24" x14ac:dyDescent="0.25">
      <c r="A230" s="31" t="s">
        <v>790</v>
      </c>
      <c r="B230" s="32"/>
      <c r="C230" s="50" t="str">
        <f>IF(B230="","",VLOOKUP(B230,'Product Master'!$B:$G,2,FALSE))</f>
        <v/>
      </c>
      <c r="D230" s="50" t="str">
        <f>IF(B230="","",VLOOKUP(B230,'Product Master'!$B:$G,3,FALSE))</f>
        <v/>
      </c>
      <c r="E230" s="50"/>
      <c r="F230" s="50">
        <f>SUMIF('Stock Purchase'!$D:$D,B230,'Stock Purchase'!$F:$F)</f>
        <v>0</v>
      </c>
      <c r="G230" s="50">
        <f>SUMIFS('Stock Adjustment'!$E:$E,'Stock Adjustment'!$B:$B,$A230,'Stock Adjustment'!$D:$D,"Customer Returned")</f>
        <v>0</v>
      </c>
      <c r="H230" s="50">
        <f>SUMIF('Daily Sales Entry'!$D:$D,B230,'Daily Sales Entry'!$G:$G)</f>
        <v>0</v>
      </c>
      <c r="I230" s="50">
        <f>SUMIFS('Stock Adjustment'!$E:$E,'Stock Adjustment'!$B:$B,$A230,'Stock Adjustment'!$D:$D,"Staff Consumption")</f>
        <v>0</v>
      </c>
      <c r="J230" s="50">
        <f>SUMIFS('Stock Adjustment'!$E:$E,'Stock Adjustment'!$B:$B,$A230,'Stock Adjustment'!$D:$D,"Damaged")</f>
        <v>0</v>
      </c>
      <c r="K230" s="50">
        <f>SUMIFS('Stock Adjustment'!$E:$E,'Stock Adjustment'!$B:$B,$A230,'Stock Adjustment'!$D:$D,"Expired")</f>
        <v>0</v>
      </c>
      <c r="L230" s="50">
        <f>SUMIFS('Stock Adjustment'!$E:$E,'Stock Adjustment'!$B:$B,$A230,'Stock Adjustment'!$D:$D,"Supplier Returned")</f>
        <v>0</v>
      </c>
      <c r="M2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0" s="53" t="str">
        <f>IF(B230="","",VLOOKUP(B230,'Product Master'!$B:$G,4,FALSE))</f>
        <v/>
      </c>
      <c r="O230" s="53" t="str">
        <f>IF(B230="","",VLOOKUP(B230,'Product Master'!$B:$G,5,FALSE))</f>
        <v/>
      </c>
      <c r="P230" s="50" t="str">
        <f>IF(B230="","",VLOOKUP(B230,'Product Master'!$B:$I,7,FALSE))</f>
        <v/>
      </c>
      <c r="Q230" s="158"/>
      <c r="R230" s="58" t="str">
        <f t="shared" si="3"/>
        <v/>
      </c>
      <c r="S230" s="25"/>
      <c r="T230" s="25"/>
      <c r="U230" s="25"/>
      <c r="V230" s="25"/>
      <c r="W230" s="25"/>
      <c r="X230" s="25"/>
    </row>
    <row r="231" spans="1:24" x14ac:dyDescent="0.25">
      <c r="A231" s="31" t="s">
        <v>791</v>
      </c>
      <c r="B231" s="32"/>
      <c r="C231" s="50" t="str">
        <f>IF(B231="","",VLOOKUP(B231,'Product Master'!$B:$G,2,FALSE))</f>
        <v/>
      </c>
      <c r="D231" s="50" t="str">
        <f>IF(B231="","",VLOOKUP(B231,'Product Master'!$B:$G,3,FALSE))</f>
        <v/>
      </c>
      <c r="E231" s="50"/>
      <c r="F231" s="50">
        <f>SUMIF('Stock Purchase'!$D:$D,B231,'Stock Purchase'!$F:$F)</f>
        <v>0</v>
      </c>
      <c r="G231" s="50">
        <f>SUMIFS('Stock Adjustment'!$E:$E,'Stock Adjustment'!$B:$B,$A231,'Stock Adjustment'!$D:$D,"Customer Returned")</f>
        <v>0</v>
      </c>
      <c r="H231" s="50">
        <f>SUMIF('Daily Sales Entry'!$D:$D,B231,'Daily Sales Entry'!$G:$G)</f>
        <v>0</v>
      </c>
      <c r="I231" s="50">
        <f>SUMIFS('Stock Adjustment'!$E:$E,'Stock Adjustment'!$B:$B,$A231,'Stock Adjustment'!$D:$D,"Staff Consumption")</f>
        <v>0</v>
      </c>
      <c r="J231" s="50">
        <f>SUMIFS('Stock Adjustment'!$E:$E,'Stock Adjustment'!$B:$B,$A231,'Stock Adjustment'!$D:$D,"Damaged")</f>
        <v>0</v>
      </c>
      <c r="K231" s="50">
        <f>SUMIFS('Stock Adjustment'!$E:$E,'Stock Adjustment'!$B:$B,$A231,'Stock Adjustment'!$D:$D,"Expired")</f>
        <v>0</v>
      </c>
      <c r="L231" s="50">
        <f>SUMIFS('Stock Adjustment'!$E:$E,'Stock Adjustment'!$B:$B,$A231,'Stock Adjustment'!$D:$D,"Supplier Returned")</f>
        <v>0</v>
      </c>
      <c r="M2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1" s="53" t="str">
        <f>IF(B231="","",VLOOKUP(B231,'Product Master'!$B:$G,4,FALSE))</f>
        <v/>
      </c>
      <c r="O231" s="53" t="str">
        <f>IF(B231="","",VLOOKUP(B231,'Product Master'!$B:$G,5,FALSE))</f>
        <v/>
      </c>
      <c r="P231" s="50" t="str">
        <f>IF(B231="","",VLOOKUP(B231,'Product Master'!$B:$I,7,FALSE))</f>
        <v/>
      </c>
      <c r="Q231" s="158"/>
      <c r="R231" s="58" t="str">
        <f t="shared" si="3"/>
        <v/>
      </c>
      <c r="S231" s="25"/>
      <c r="T231" s="25"/>
      <c r="U231" s="25"/>
      <c r="V231" s="25"/>
      <c r="W231" s="25"/>
      <c r="X231" s="25"/>
    </row>
    <row r="232" spans="1:24" x14ac:dyDescent="0.25">
      <c r="A232" s="31" t="s">
        <v>792</v>
      </c>
      <c r="B232" s="32"/>
      <c r="C232" s="50" t="str">
        <f>IF(B232="","",VLOOKUP(B232,'Product Master'!$B:$G,2,FALSE))</f>
        <v/>
      </c>
      <c r="D232" s="50" t="str">
        <f>IF(B232="","",VLOOKUP(B232,'Product Master'!$B:$G,3,FALSE))</f>
        <v/>
      </c>
      <c r="E232" s="50"/>
      <c r="F232" s="50">
        <f>SUMIF('Stock Purchase'!$D:$D,B232,'Stock Purchase'!$F:$F)</f>
        <v>0</v>
      </c>
      <c r="G232" s="50">
        <f>SUMIFS('Stock Adjustment'!$E:$E,'Stock Adjustment'!$B:$B,$A232,'Stock Adjustment'!$D:$D,"Customer Returned")</f>
        <v>0</v>
      </c>
      <c r="H232" s="50">
        <f>SUMIF('Daily Sales Entry'!$D:$D,B232,'Daily Sales Entry'!$G:$G)</f>
        <v>0</v>
      </c>
      <c r="I232" s="50">
        <f>SUMIFS('Stock Adjustment'!$E:$E,'Stock Adjustment'!$B:$B,$A232,'Stock Adjustment'!$D:$D,"Staff Consumption")</f>
        <v>0</v>
      </c>
      <c r="J232" s="50">
        <f>SUMIFS('Stock Adjustment'!$E:$E,'Stock Adjustment'!$B:$B,$A232,'Stock Adjustment'!$D:$D,"Damaged")</f>
        <v>0</v>
      </c>
      <c r="K232" s="50">
        <f>SUMIFS('Stock Adjustment'!$E:$E,'Stock Adjustment'!$B:$B,$A232,'Stock Adjustment'!$D:$D,"Expired")</f>
        <v>0</v>
      </c>
      <c r="L232" s="50">
        <f>SUMIFS('Stock Adjustment'!$E:$E,'Stock Adjustment'!$B:$B,$A232,'Stock Adjustment'!$D:$D,"Supplier Returned")</f>
        <v>0</v>
      </c>
      <c r="M2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2" s="53" t="str">
        <f>IF(B232="","",VLOOKUP(B232,'Product Master'!$B:$G,4,FALSE))</f>
        <v/>
      </c>
      <c r="O232" s="53" t="str">
        <f>IF(B232="","",VLOOKUP(B232,'Product Master'!$B:$G,5,FALSE))</f>
        <v/>
      </c>
      <c r="P232" s="50" t="str">
        <f>IF(B232="","",VLOOKUP(B232,'Product Master'!$B:$I,7,FALSE))</f>
        <v/>
      </c>
      <c r="Q232" s="158"/>
      <c r="R232" s="58" t="str">
        <f t="shared" si="3"/>
        <v/>
      </c>
      <c r="S232" s="25"/>
      <c r="T232" s="25"/>
      <c r="U232" s="25"/>
      <c r="V232" s="25"/>
      <c r="W232" s="25"/>
      <c r="X232" s="25"/>
    </row>
    <row r="233" spans="1:24" x14ac:dyDescent="0.25">
      <c r="A233" s="31" t="s">
        <v>793</v>
      </c>
      <c r="B233" s="32"/>
      <c r="C233" s="50" t="str">
        <f>IF(B233="","",VLOOKUP(B233,'Product Master'!$B:$G,2,FALSE))</f>
        <v/>
      </c>
      <c r="D233" s="50" t="str">
        <f>IF(B233="","",VLOOKUP(B233,'Product Master'!$B:$G,3,FALSE))</f>
        <v/>
      </c>
      <c r="E233" s="50"/>
      <c r="F233" s="50">
        <f>SUMIF('Stock Purchase'!$D:$D,B233,'Stock Purchase'!$F:$F)</f>
        <v>0</v>
      </c>
      <c r="G233" s="50">
        <f>SUMIFS('Stock Adjustment'!$E:$E,'Stock Adjustment'!$B:$B,$A233,'Stock Adjustment'!$D:$D,"Customer Returned")</f>
        <v>0</v>
      </c>
      <c r="H233" s="50">
        <f>SUMIF('Daily Sales Entry'!$D:$D,B233,'Daily Sales Entry'!$G:$G)</f>
        <v>0</v>
      </c>
      <c r="I233" s="50">
        <f>SUMIFS('Stock Adjustment'!$E:$E,'Stock Adjustment'!$B:$B,$A233,'Stock Adjustment'!$D:$D,"Staff Consumption")</f>
        <v>0</v>
      </c>
      <c r="J233" s="50">
        <f>SUMIFS('Stock Adjustment'!$E:$E,'Stock Adjustment'!$B:$B,$A233,'Stock Adjustment'!$D:$D,"Damaged")</f>
        <v>0</v>
      </c>
      <c r="K233" s="50">
        <f>SUMIFS('Stock Adjustment'!$E:$E,'Stock Adjustment'!$B:$B,$A233,'Stock Adjustment'!$D:$D,"Expired")</f>
        <v>0</v>
      </c>
      <c r="L233" s="50">
        <f>SUMIFS('Stock Adjustment'!$E:$E,'Stock Adjustment'!$B:$B,$A233,'Stock Adjustment'!$D:$D,"Supplier Returned")</f>
        <v>0</v>
      </c>
      <c r="M2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3" s="53" t="str">
        <f>IF(B233="","",VLOOKUP(B233,'Product Master'!$B:$G,4,FALSE))</f>
        <v/>
      </c>
      <c r="O233" s="53" t="str">
        <f>IF(B233="","",VLOOKUP(B233,'Product Master'!$B:$G,5,FALSE))</f>
        <v/>
      </c>
      <c r="P233" s="50" t="str">
        <f>IF(B233="","",VLOOKUP(B233,'Product Master'!$B:$I,7,FALSE))</f>
        <v/>
      </c>
      <c r="Q233" s="158"/>
      <c r="R233" s="58" t="str">
        <f t="shared" si="3"/>
        <v/>
      </c>
      <c r="S233" s="25"/>
      <c r="T233" s="25"/>
      <c r="U233" s="25"/>
      <c r="V233" s="25"/>
      <c r="W233" s="25"/>
      <c r="X233" s="25"/>
    </row>
    <row r="234" spans="1:24" x14ac:dyDescent="0.25">
      <c r="A234" s="31" t="s">
        <v>794</v>
      </c>
      <c r="B234" s="32"/>
      <c r="C234" s="50" t="str">
        <f>IF(B234="","",VLOOKUP(B234,'Product Master'!$B:$G,2,FALSE))</f>
        <v/>
      </c>
      <c r="D234" s="50" t="str">
        <f>IF(B234="","",VLOOKUP(B234,'Product Master'!$B:$G,3,FALSE))</f>
        <v/>
      </c>
      <c r="E234" s="50"/>
      <c r="F234" s="50">
        <f>SUMIF('Stock Purchase'!$D:$D,B234,'Stock Purchase'!$F:$F)</f>
        <v>0</v>
      </c>
      <c r="G234" s="50">
        <f>SUMIFS('Stock Adjustment'!$E:$E,'Stock Adjustment'!$B:$B,$A234,'Stock Adjustment'!$D:$D,"Customer Returned")</f>
        <v>0</v>
      </c>
      <c r="H234" s="50">
        <f>SUMIF('Daily Sales Entry'!$D:$D,B234,'Daily Sales Entry'!$G:$G)</f>
        <v>0</v>
      </c>
      <c r="I234" s="50">
        <f>SUMIFS('Stock Adjustment'!$E:$E,'Stock Adjustment'!$B:$B,$A234,'Stock Adjustment'!$D:$D,"Staff Consumption")</f>
        <v>0</v>
      </c>
      <c r="J234" s="50">
        <f>SUMIFS('Stock Adjustment'!$E:$E,'Stock Adjustment'!$B:$B,$A234,'Stock Adjustment'!$D:$D,"Damaged")</f>
        <v>0</v>
      </c>
      <c r="K234" s="50">
        <f>SUMIFS('Stock Adjustment'!$E:$E,'Stock Adjustment'!$B:$B,$A234,'Stock Adjustment'!$D:$D,"Expired")</f>
        <v>0</v>
      </c>
      <c r="L234" s="50">
        <f>SUMIFS('Stock Adjustment'!$E:$E,'Stock Adjustment'!$B:$B,$A234,'Stock Adjustment'!$D:$D,"Supplier Returned")</f>
        <v>0</v>
      </c>
      <c r="M2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4" s="53" t="str">
        <f>IF(B234="","",VLOOKUP(B234,'Product Master'!$B:$G,4,FALSE))</f>
        <v/>
      </c>
      <c r="O234" s="53" t="str">
        <f>IF(B234="","",VLOOKUP(B234,'Product Master'!$B:$G,5,FALSE))</f>
        <v/>
      </c>
      <c r="P234" s="50" t="str">
        <f>IF(B234="","",VLOOKUP(B234,'Product Master'!$B:$I,7,FALSE))</f>
        <v/>
      </c>
      <c r="Q234" s="158"/>
      <c r="R234" s="58" t="str">
        <f t="shared" si="3"/>
        <v/>
      </c>
      <c r="S234" s="25"/>
      <c r="T234" s="25"/>
      <c r="U234" s="25"/>
      <c r="V234" s="25"/>
      <c r="W234" s="25"/>
      <c r="X234" s="25"/>
    </row>
    <row r="235" spans="1:24" x14ac:dyDescent="0.25">
      <c r="A235" s="31" t="s">
        <v>795</v>
      </c>
      <c r="B235" s="32"/>
      <c r="C235" s="50" t="str">
        <f>IF(B235="","",VLOOKUP(B235,'Product Master'!$B:$G,2,FALSE))</f>
        <v/>
      </c>
      <c r="D235" s="50" t="str">
        <f>IF(B235="","",VLOOKUP(B235,'Product Master'!$B:$G,3,FALSE))</f>
        <v/>
      </c>
      <c r="E235" s="50"/>
      <c r="F235" s="50">
        <f>SUMIF('Stock Purchase'!$D:$D,B235,'Stock Purchase'!$F:$F)</f>
        <v>0</v>
      </c>
      <c r="G235" s="50">
        <f>SUMIFS('Stock Adjustment'!$E:$E,'Stock Adjustment'!$B:$B,$A235,'Stock Adjustment'!$D:$D,"Customer Returned")</f>
        <v>0</v>
      </c>
      <c r="H235" s="50">
        <f>SUMIF('Daily Sales Entry'!$D:$D,B235,'Daily Sales Entry'!$G:$G)</f>
        <v>0</v>
      </c>
      <c r="I235" s="50">
        <f>SUMIFS('Stock Adjustment'!$E:$E,'Stock Adjustment'!$B:$B,$A235,'Stock Adjustment'!$D:$D,"Staff Consumption")</f>
        <v>0</v>
      </c>
      <c r="J235" s="50">
        <f>SUMIFS('Stock Adjustment'!$E:$E,'Stock Adjustment'!$B:$B,$A235,'Stock Adjustment'!$D:$D,"Damaged")</f>
        <v>0</v>
      </c>
      <c r="K235" s="50">
        <f>SUMIFS('Stock Adjustment'!$E:$E,'Stock Adjustment'!$B:$B,$A235,'Stock Adjustment'!$D:$D,"Expired")</f>
        <v>0</v>
      </c>
      <c r="L235" s="50">
        <f>SUMIFS('Stock Adjustment'!$E:$E,'Stock Adjustment'!$B:$B,$A235,'Stock Adjustment'!$D:$D,"Supplier Returned")</f>
        <v>0</v>
      </c>
      <c r="M2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5" s="53" t="str">
        <f>IF(B235="","",VLOOKUP(B235,'Product Master'!$B:$G,4,FALSE))</f>
        <v/>
      </c>
      <c r="O235" s="53" t="str">
        <f>IF(B235="","",VLOOKUP(B235,'Product Master'!$B:$G,5,FALSE))</f>
        <v/>
      </c>
      <c r="P235" s="50" t="str">
        <f>IF(B235="","",VLOOKUP(B235,'Product Master'!$B:$I,7,FALSE))</f>
        <v/>
      </c>
      <c r="Q235" s="158"/>
      <c r="R235" s="58" t="str">
        <f t="shared" si="3"/>
        <v/>
      </c>
      <c r="S235" s="25"/>
      <c r="T235" s="25"/>
      <c r="U235" s="25"/>
      <c r="V235" s="25"/>
      <c r="W235" s="25"/>
      <c r="X235" s="25"/>
    </row>
    <row r="236" spans="1:24" x14ac:dyDescent="0.25">
      <c r="A236" s="31" t="s">
        <v>796</v>
      </c>
      <c r="B236" s="32"/>
      <c r="C236" s="50" t="str">
        <f>IF(B236="","",VLOOKUP(B236,'Product Master'!$B:$G,2,FALSE))</f>
        <v/>
      </c>
      <c r="D236" s="50" t="str">
        <f>IF(B236="","",VLOOKUP(B236,'Product Master'!$B:$G,3,FALSE))</f>
        <v/>
      </c>
      <c r="E236" s="50"/>
      <c r="F236" s="50">
        <f>SUMIF('Stock Purchase'!$D:$D,B236,'Stock Purchase'!$F:$F)</f>
        <v>0</v>
      </c>
      <c r="G236" s="50">
        <f>SUMIFS('Stock Adjustment'!$E:$E,'Stock Adjustment'!$B:$B,$A236,'Stock Adjustment'!$D:$D,"Customer Returned")</f>
        <v>0</v>
      </c>
      <c r="H236" s="50">
        <f>SUMIF('Daily Sales Entry'!$D:$D,B236,'Daily Sales Entry'!$G:$G)</f>
        <v>0</v>
      </c>
      <c r="I236" s="50">
        <f>SUMIFS('Stock Adjustment'!$E:$E,'Stock Adjustment'!$B:$B,$A236,'Stock Adjustment'!$D:$D,"Staff Consumption")</f>
        <v>0</v>
      </c>
      <c r="J236" s="50">
        <f>SUMIFS('Stock Adjustment'!$E:$E,'Stock Adjustment'!$B:$B,$A236,'Stock Adjustment'!$D:$D,"Damaged")</f>
        <v>0</v>
      </c>
      <c r="K236" s="50">
        <f>SUMIFS('Stock Adjustment'!$E:$E,'Stock Adjustment'!$B:$B,$A236,'Stock Adjustment'!$D:$D,"Expired")</f>
        <v>0</v>
      </c>
      <c r="L236" s="50">
        <f>SUMIFS('Stock Adjustment'!$E:$E,'Stock Adjustment'!$B:$B,$A236,'Stock Adjustment'!$D:$D,"Supplier Returned")</f>
        <v>0</v>
      </c>
      <c r="M2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6" s="53" t="str">
        <f>IF(B236="","",VLOOKUP(B236,'Product Master'!$B:$G,4,FALSE))</f>
        <v/>
      </c>
      <c r="O236" s="53" t="str">
        <f>IF(B236="","",VLOOKUP(B236,'Product Master'!$B:$G,5,FALSE))</f>
        <v/>
      </c>
      <c r="P236" s="50" t="str">
        <f>IF(B236="","",VLOOKUP(B236,'Product Master'!$B:$I,7,FALSE))</f>
        <v/>
      </c>
      <c r="Q236" s="158"/>
      <c r="R236" s="58" t="str">
        <f t="shared" si="3"/>
        <v/>
      </c>
      <c r="S236" s="25"/>
      <c r="T236" s="25"/>
      <c r="U236" s="25"/>
      <c r="V236" s="25"/>
      <c r="W236" s="25"/>
      <c r="X236" s="25"/>
    </row>
    <row r="237" spans="1:24" x14ac:dyDescent="0.25">
      <c r="A237" s="31" t="s">
        <v>797</v>
      </c>
      <c r="B237" s="32"/>
      <c r="C237" s="50" t="str">
        <f>IF(B237="","",VLOOKUP(B237,'Product Master'!$B:$G,2,FALSE))</f>
        <v/>
      </c>
      <c r="D237" s="50" t="str">
        <f>IF(B237="","",VLOOKUP(B237,'Product Master'!$B:$G,3,FALSE))</f>
        <v/>
      </c>
      <c r="E237" s="50"/>
      <c r="F237" s="50">
        <f>SUMIF('Stock Purchase'!$D:$D,B237,'Stock Purchase'!$F:$F)</f>
        <v>0</v>
      </c>
      <c r="G237" s="50">
        <f>SUMIFS('Stock Adjustment'!$E:$E,'Stock Adjustment'!$B:$B,$A237,'Stock Adjustment'!$D:$D,"Customer Returned")</f>
        <v>0</v>
      </c>
      <c r="H237" s="50">
        <f>SUMIF('Daily Sales Entry'!$D:$D,B237,'Daily Sales Entry'!$G:$G)</f>
        <v>0</v>
      </c>
      <c r="I237" s="50">
        <f>SUMIFS('Stock Adjustment'!$E:$E,'Stock Adjustment'!$B:$B,$A237,'Stock Adjustment'!$D:$D,"Staff Consumption")</f>
        <v>0</v>
      </c>
      <c r="J237" s="50">
        <f>SUMIFS('Stock Adjustment'!$E:$E,'Stock Adjustment'!$B:$B,$A237,'Stock Adjustment'!$D:$D,"Damaged")</f>
        <v>0</v>
      </c>
      <c r="K237" s="50">
        <f>SUMIFS('Stock Adjustment'!$E:$E,'Stock Adjustment'!$B:$B,$A237,'Stock Adjustment'!$D:$D,"Expired")</f>
        <v>0</v>
      </c>
      <c r="L237" s="50">
        <f>SUMIFS('Stock Adjustment'!$E:$E,'Stock Adjustment'!$B:$B,$A237,'Stock Adjustment'!$D:$D,"Supplier Returned")</f>
        <v>0</v>
      </c>
      <c r="M2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7" s="53" t="str">
        <f>IF(B237="","",VLOOKUP(B237,'Product Master'!$B:$G,4,FALSE))</f>
        <v/>
      </c>
      <c r="O237" s="53" t="str">
        <f>IF(B237="","",VLOOKUP(B237,'Product Master'!$B:$G,5,FALSE))</f>
        <v/>
      </c>
      <c r="P237" s="50" t="str">
        <f>IF(B237="","",VLOOKUP(B237,'Product Master'!$B:$I,7,FALSE))</f>
        <v/>
      </c>
      <c r="Q237" s="158"/>
      <c r="R237" s="58" t="str">
        <f t="shared" si="3"/>
        <v/>
      </c>
      <c r="S237" s="25"/>
      <c r="T237" s="25"/>
      <c r="U237" s="25"/>
      <c r="V237" s="25"/>
      <c r="W237" s="25"/>
      <c r="X237" s="25"/>
    </row>
    <row r="238" spans="1:24" x14ac:dyDescent="0.25">
      <c r="A238" s="31" t="s">
        <v>798</v>
      </c>
      <c r="B238" s="32"/>
      <c r="C238" s="50" t="str">
        <f>IF(B238="","",VLOOKUP(B238,'Product Master'!$B:$G,2,FALSE))</f>
        <v/>
      </c>
      <c r="D238" s="50" t="str">
        <f>IF(B238="","",VLOOKUP(B238,'Product Master'!$B:$G,3,FALSE))</f>
        <v/>
      </c>
      <c r="E238" s="50"/>
      <c r="F238" s="50">
        <f>SUMIF('Stock Purchase'!$D:$D,B238,'Stock Purchase'!$F:$F)</f>
        <v>0</v>
      </c>
      <c r="G238" s="50">
        <f>SUMIFS('Stock Adjustment'!$E:$E,'Stock Adjustment'!$B:$B,$A238,'Stock Adjustment'!$D:$D,"Customer Returned")</f>
        <v>0</v>
      </c>
      <c r="H238" s="50">
        <f>SUMIF('Daily Sales Entry'!$D:$D,B238,'Daily Sales Entry'!$G:$G)</f>
        <v>0</v>
      </c>
      <c r="I238" s="50">
        <f>SUMIFS('Stock Adjustment'!$E:$E,'Stock Adjustment'!$B:$B,$A238,'Stock Adjustment'!$D:$D,"Staff Consumption")</f>
        <v>0</v>
      </c>
      <c r="J238" s="50">
        <f>SUMIFS('Stock Adjustment'!$E:$E,'Stock Adjustment'!$B:$B,$A238,'Stock Adjustment'!$D:$D,"Damaged")</f>
        <v>0</v>
      </c>
      <c r="K238" s="50">
        <f>SUMIFS('Stock Adjustment'!$E:$E,'Stock Adjustment'!$B:$B,$A238,'Stock Adjustment'!$D:$D,"Expired")</f>
        <v>0</v>
      </c>
      <c r="L238" s="50">
        <f>SUMIFS('Stock Adjustment'!$E:$E,'Stock Adjustment'!$B:$B,$A238,'Stock Adjustment'!$D:$D,"Supplier Returned")</f>
        <v>0</v>
      </c>
      <c r="M2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8" s="53" t="str">
        <f>IF(B238="","",VLOOKUP(B238,'Product Master'!$B:$G,4,FALSE))</f>
        <v/>
      </c>
      <c r="O238" s="53" t="str">
        <f>IF(B238="","",VLOOKUP(B238,'Product Master'!$B:$G,5,FALSE))</f>
        <v/>
      </c>
      <c r="P238" s="50" t="str">
        <f>IF(B238="","",VLOOKUP(B238,'Product Master'!$B:$I,7,FALSE))</f>
        <v/>
      </c>
      <c r="Q238" s="158"/>
      <c r="R238" s="58" t="str">
        <f t="shared" si="3"/>
        <v/>
      </c>
      <c r="S238" s="25"/>
      <c r="T238" s="25"/>
      <c r="U238" s="25"/>
      <c r="V238" s="25"/>
      <c r="W238" s="25"/>
      <c r="X238" s="25"/>
    </row>
    <row r="239" spans="1:24" x14ac:dyDescent="0.25">
      <c r="A239" s="31" t="s">
        <v>799</v>
      </c>
      <c r="B239" s="32"/>
      <c r="C239" s="50" t="str">
        <f>IF(B239="","",VLOOKUP(B239,'Product Master'!$B:$G,2,FALSE))</f>
        <v/>
      </c>
      <c r="D239" s="50" t="str">
        <f>IF(B239="","",VLOOKUP(B239,'Product Master'!$B:$G,3,FALSE))</f>
        <v/>
      </c>
      <c r="E239" s="50"/>
      <c r="F239" s="50">
        <f>SUMIF('Stock Purchase'!$D:$D,B239,'Stock Purchase'!$F:$F)</f>
        <v>0</v>
      </c>
      <c r="G239" s="50">
        <f>SUMIFS('Stock Adjustment'!$E:$E,'Stock Adjustment'!$B:$B,$A239,'Stock Adjustment'!$D:$D,"Customer Returned")</f>
        <v>0</v>
      </c>
      <c r="H239" s="50">
        <f>SUMIF('Daily Sales Entry'!$D:$D,B239,'Daily Sales Entry'!$G:$G)</f>
        <v>0</v>
      </c>
      <c r="I239" s="50">
        <f>SUMIFS('Stock Adjustment'!$E:$E,'Stock Adjustment'!$B:$B,$A239,'Stock Adjustment'!$D:$D,"Staff Consumption")</f>
        <v>0</v>
      </c>
      <c r="J239" s="50">
        <f>SUMIFS('Stock Adjustment'!$E:$E,'Stock Adjustment'!$B:$B,$A239,'Stock Adjustment'!$D:$D,"Damaged")</f>
        <v>0</v>
      </c>
      <c r="K239" s="50">
        <f>SUMIFS('Stock Adjustment'!$E:$E,'Stock Adjustment'!$B:$B,$A239,'Stock Adjustment'!$D:$D,"Expired")</f>
        <v>0</v>
      </c>
      <c r="L239" s="50">
        <f>SUMIFS('Stock Adjustment'!$E:$E,'Stock Adjustment'!$B:$B,$A239,'Stock Adjustment'!$D:$D,"Supplier Returned")</f>
        <v>0</v>
      </c>
      <c r="M2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39" s="53" t="str">
        <f>IF(B239="","",VLOOKUP(B239,'Product Master'!$B:$G,4,FALSE))</f>
        <v/>
      </c>
      <c r="O239" s="53" t="str">
        <f>IF(B239="","",VLOOKUP(B239,'Product Master'!$B:$G,5,FALSE))</f>
        <v/>
      </c>
      <c r="P239" s="50" t="str">
        <f>IF(B239="","",VLOOKUP(B239,'Product Master'!$B:$I,7,FALSE))</f>
        <v/>
      </c>
      <c r="Q239" s="158"/>
      <c r="R239" s="58" t="str">
        <f t="shared" si="3"/>
        <v/>
      </c>
      <c r="S239" s="25"/>
      <c r="T239" s="25"/>
      <c r="U239" s="25"/>
      <c r="V239" s="25"/>
      <c r="W239" s="25"/>
      <c r="X239" s="25"/>
    </row>
    <row r="240" spans="1:24" x14ac:dyDescent="0.25">
      <c r="A240" s="31" t="s">
        <v>800</v>
      </c>
      <c r="B240" s="32"/>
      <c r="C240" s="50" t="str">
        <f>IF(B240="","",VLOOKUP(B240,'Product Master'!$B:$G,2,FALSE))</f>
        <v/>
      </c>
      <c r="D240" s="50" t="str">
        <f>IF(B240="","",VLOOKUP(B240,'Product Master'!$B:$G,3,FALSE))</f>
        <v/>
      </c>
      <c r="E240" s="50"/>
      <c r="F240" s="50">
        <f>SUMIF('Stock Purchase'!$D:$D,B240,'Stock Purchase'!$F:$F)</f>
        <v>0</v>
      </c>
      <c r="G240" s="50">
        <f>SUMIFS('Stock Adjustment'!$E:$E,'Stock Adjustment'!$B:$B,$A240,'Stock Adjustment'!$D:$D,"Customer Returned")</f>
        <v>0</v>
      </c>
      <c r="H240" s="50">
        <f>SUMIF('Daily Sales Entry'!$D:$D,B240,'Daily Sales Entry'!$G:$G)</f>
        <v>0</v>
      </c>
      <c r="I240" s="50">
        <f>SUMIFS('Stock Adjustment'!$E:$E,'Stock Adjustment'!$B:$B,$A240,'Stock Adjustment'!$D:$D,"Staff Consumption")</f>
        <v>0</v>
      </c>
      <c r="J240" s="50">
        <f>SUMIFS('Stock Adjustment'!$E:$E,'Stock Adjustment'!$B:$B,$A240,'Stock Adjustment'!$D:$D,"Damaged")</f>
        <v>0</v>
      </c>
      <c r="K240" s="50">
        <f>SUMIFS('Stock Adjustment'!$E:$E,'Stock Adjustment'!$B:$B,$A240,'Stock Adjustment'!$D:$D,"Expired")</f>
        <v>0</v>
      </c>
      <c r="L240" s="50">
        <f>SUMIFS('Stock Adjustment'!$E:$E,'Stock Adjustment'!$B:$B,$A240,'Stock Adjustment'!$D:$D,"Supplier Returned")</f>
        <v>0</v>
      </c>
      <c r="M2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0" s="53" t="str">
        <f>IF(B240="","",VLOOKUP(B240,'Product Master'!$B:$G,4,FALSE))</f>
        <v/>
      </c>
      <c r="O240" s="53" t="str">
        <f>IF(B240="","",VLOOKUP(B240,'Product Master'!$B:$G,5,FALSE))</f>
        <v/>
      </c>
      <c r="P240" s="50" t="str">
        <f>IF(B240="","",VLOOKUP(B240,'Product Master'!$B:$I,7,FALSE))</f>
        <v/>
      </c>
      <c r="Q240" s="158"/>
      <c r="R240" s="58" t="str">
        <f t="shared" si="3"/>
        <v/>
      </c>
      <c r="S240" s="25"/>
      <c r="T240" s="25"/>
      <c r="U240" s="25"/>
      <c r="V240" s="25"/>
      <c r="W240" s="25"/>
      <c r="X240" s="25"/>
    </row>
    <row r="241" spans="1:24" x14ac:dyDescent="0.25">
      <c r="A241" s="31" t="s">
        <v>801</v>
      </c>
      <c r="B241" s="32"/>
      <c r="C241" s="50" t="str">
        <f>IF(B241="","",VLOOKUP(B241,'Product Master'!$B:$G,2,FALSE))</f>
        <v/>
      </c>
      <c r="D241" s="50" t="str">
        <f>IF(B241="","",VLOOKUP(B241,'Product Master'!$B:$G,3,FALSE))</f>
        <v/>
      </c>
      <c r="E241" s="50"/>
      <c r="F241" s="50">
        <f>SUMIF('Stock Purchase'!$D:$D,B241,'Stock Purchase'!$F:$F)</f>
        <v>0</v>
      </c>
      <c r="G241" s="50">
        <f>SUMIFS('Stock Adjustment'!$E:$E,'Stock Adjustment'!$B:$B,$A241,'Stock Adjustment'!$D:$D,"Customer Returned")</f>
        <v>0</v>
      </c>
      <c r="H241" s="50">
        <f>SUMIF('Daily Sales Entry'!$D:$D,B241,'Daily Sales Entry'!$G:$G)</f>
        <v>0</v>
      </c>
      <c r="I241" s="50">
        <f>SUMIFS('Stock Adjustment'!$E:$E,'Stock Adjustment'!$B:$B,$A241,'Stock Adjustment'!$D:$D,"Staff Consumption")</f>
        <v>0</v>
      </c>
      <c r="J241" s="50">
        <f>SUMIFS('Stock Adjustment'!$E:$E,'Stock Adjustment'!$B:$B,$A241,'Stock Adjustment'!$D:$D,"Damaged")</f>
        <v>0</v>
      </c>
      <c r="K241" s="50">
        <f>SUMIFS('Stock Adjustment'!$E:$E,'Stock Adjustment'!$B:$B,$A241,'Stock Adjustment'!$D:$D,"Expired")</f>
        <v>0</v>
      </c>
      <c r="L241" s="50">
        <f>SUMIFS('Stock Adjustment'!$E:$E,'Stock Adjustment'!$B:$B,$A241,'Stock Adjustment'!$D:$D,"Supplier Returned")</f>
        <v>0</v>
      </c>
      <c r="M2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1" s="53" t="str">
        <f>IF(B241="","",VLOOKUP(B241,'Product Master'!$B:$G,4,FALSE))</f>
        <v/>
      </c>
      <c r="O241" s="53" t="str">
        <f>IF(B241="","",VLOOKUP(B241,'Product Master'!$B:$G,5,FALSE))</f>
        <v/>
      </c>
      <c r="P241" s="50" t="str">
        <f>IF(B241="","",VLOOKUP(B241,'Product Master'!$B:$I,7,FALSE))</f>
        <v/>
      </c>
      <c r="Q241" s="158"/>
      <c r="R241" s="58" t="str">
        <f t="shared" si="3"/>
        <v/>
      </c>
      <c r="S241" s="25"/>
      <c r="T241" s="25"/>
      <c r="U241" s="25"/>
      <c r="V241" s="25"/>
      <c r="W241" s="25"/>
      <c r="X241" s="25"/>
    </row>
    <row r="242" spans="1:24" x14ac:dyDescent="0.25">
      <c r="A242" s="31" t="s">
        <v>802</v>
      </c>
      <c r="B242" s="32"/>
      <c r="C242" s="50" t="str">
        <f>IF(B242="","",VLOOKUP(B242,'Product Master'!$B:$G,2,FALSE))</f>
        <v/>
      </c>
      <c r="D242" s="50" t="str">
        <f>IF(B242="","",VLOOKUP(B242,'Product Master'!$B:$G,3,FALSE))</f>
        <v/>
      </c>
      <c r="E242" s="50"/>
      <c r="F242" s="50">
        <f>SUMIF('Stock Purchase'!$D:$D,B242,'Stock Purchase'!$F:$F)</f>
        <v>0</v>
      </c>
      <c r="G242" s="50">
        <f>SUMIFS('Stock Adjustment'!$E:$E,'Stock Adjustment'!$B:$B,$A242,'Stock Adjustment'!$D:$D,"Customer Returned")</f>
        <v>0</v>
      </c>
      <c r="H242" s="50">
        <f>SUMIF('Daily Sales Entry'!$D:$D,B242,'Daily Sales Entry'!$G:$G)</f>
        <v>0</v>
      </c>
      <c r="I242" s="50">
        <f>SUMIFS('Stock Adjustment'!$E:$E,'Stock Adjustment'!$B:$B,$A242,'Stock Adjustment'!$D:$D,"Staff Consumption")</f>
        <v>0</v>
      </c>
      <c r="J242" s="50">
        <f>SUMIFS('Stock Adjustment'!$E:$E,'Stock Adjustment'!$B:$B,$A242,'Stock Adjustment'!$D:$D,"Damaged")</f>
        <v>0</v>
      </c>
      <c r="K242" s="50">
        <f>SUMIFS('Stock Adjustment'!$E:$E,'Stock Adjustment'!$B:$B,$A242,'Stock Adjustment'!$D:$D,"Expired")</f>
        <v>0</v>
      </c>
      <c r="L242" s="50">
        <f>SUMIFS('Stock Adjustment'!$E:$E,'Stock Adjustment'!$B:$B,$A242,'Stock Adjustment'!$D:$D,"Supplier Returned")</f>
        <v>0</v>
      </c>
      <c r="M2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2" s="53" t="str">
        <f>IF(B242="","",VLOOKUP(B242,'Product Master'!$B:$G,4,FALSE))</f>
        <v/>
      </c>
      <c r="O242" s="53" t="str">
        <f>IF(B242="","",VLOOKUP(B242,'Product Master'!$B:$G,5,FALSE))</f>
        <v/>
      </c>
      <c r="P242" s="50" t="str">
        <f>IF(B242="","",VLOOKUP(B242,'Product Master'!$B:$I,7,FALSE))</f>
        <v/>
      </c>
      <c r="Q242" s="158"/>
      <c r="R242" s="58" t="str">
        <f t="shared" si="3"/>
        <v/>
      </c>
      <c r="S242" s="25"/>
      <c r="T242" s="25"/>
      <c r="U242" s="25"/>
      <c r="V242" s="25"/>
      <c r="W242" s="25"/>
      <c r="X242" s="25"/>
    </row>
    <row r="243" spans="1:24" x14ac:dyDescent="0.25">
      <c r="A243" s="31" t="s">
        <v>803</v>
      </c>
      <c r="B243" s="32"/>
      <c r="C243" s="50" t="str">
        <f>IF(B243="","",VLOOKUP(B243,'Product Master'!$B:$G,2,FALSE))</f>
        <v/>
      </c>
      <c r="D243" s="50" t="str">
        <f>IF(B243="","",VLOOKUP(B243,'Product Master'!$B:$G,3,FALSE))</f>
        <v/>
      </c>
      <c r="E243" s="50"/>
      <c r="F243" s="50">
        <f>SUMIF('Stock Purchase'!$D:$D,B243,'Stock Purchase'!$F:$F)</f>
        <v>0</v>
      </c>
      <c r="G243" s="50">
        <f>SUMIFS('Stock Adjustment'!$E:$E,'Stock Adjustment'!$B:$B,$A243,'Stock Adjustment'!$D:$D,"Customer Returned")</f>
        <v>0</v>
      </c>
      <c r="H243" s="50">
        <f>SUMIF('Daily Sales Entry'!$D:$D,B243,'Daily Sales Entry'!$G:$G)</f>
        <v>0</v>
      </c>
      <c r="I243" s="50">
        <f>SUMIFS('Stock Adjustment'!$E:$E,'Stock Adjustment'!$B:$B,$A243,'Stock Adjustment'!$D:$D,"Staff Consumption")</f>
        <v>0</v>
      </c>
      <c r="J243" s="50">
        <f>SUMIFS('Stock Adjustment'!$E:$E,'Stock Adjustment'!$B:$B,$A243,'Stock Adjustment'!$D:$D,"Damaged")</f>
        <v>0</v>
      </c>
      <c r="K243" s="50">
        <f>SUMIFS('Stock Adjustment'!$E:$E,'Stock Adjustment'!$B:$B,$A243,'Stock Adjustment'!$D:$D,"Expired")</f>
        <v>0</v>
      </c>
      <c r="L243" s="50">
        <f>SUMIFS('Stock Adjustment'!$E:$E,'Stock Adjustment'!$B:$B,$A243,'Stock Adjustment'!$D:$D,"Supplier Returned")</f>
        <v>0</v>
      </c>
      <c r="M2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3" s="53" t="str">
        <f>IF(B243="","",VLOOKUP(B243,'Product Master'!$B:$G,4,FALSE))</f>
        <v/>
      </c>
      <c r="O243" s="53" t="str">
        <f>IF(B243="","",VLOOKUP(B243,'Product Master'!$B:$G,5,FALSE))</f>
        <v/>
      </c>
      <c r="P243" s="50" t="str">
        <f>IF(B243="","",VLOOKUP(B243,'Product Master'!$B:$I,7,FALSE))</f>
        <v/>
      </c>
      <c r="Q243" s="158"/>
      <c r="R243" s="58" t="str">
        <f t="shared" si="3"/>
        <v/>
      </c>
      <c r="S243" s="25"/>
      <c r="T243" s="25"/>
      <c r="U243" s="25"/>
      <c r="V243" s="25"/>
      <c r="W243" s="25"/>
      <c r="X243" s="25"/>
    </row>
    <row r="244" spans="1:24" x14ac:dyDescent="0.25">
      <c r="A244" s="31" t="s">
        <v>804</v>
      </c>
      <c r="B244" s="32"/>
      <c r="C244" s="50" t="str">
        <f>IF(B244="","",VLOOKUP(B244,'Product Master'!$B:$G,2,FALSE))</f>
        <v/>
      </c>
      <c r="D244" s="50" t="str">
        <f>IF(B244="","",VLOOKUP(B244,'Product Master'!$B:$G,3,FALSE))</f>
        <v/>
      </c>
      <c r="E244" s="50"/>
      <c r="F244" s="50">
        <f>SUMIF('Stock Purchase'!$D:$D,B244,'Stock Purchase'!$F:$F)</f>
        <v>0</v>
      </c>
      <c r="G244" s="50">
        <f>SUMIFS('Stock Adjustment'!$E:$E,'Stock Adjustment'!$B:$B,$A244,'Stock Adjustment'!$D:$D,"Customer Returned")</f>
        <v>0</v>
      </c>
      <c r="H244" s="50">
        <f>SUMIF('Daily Sales Entry'!$D:$D,B244,'Daily Sales Entry'!$G:$G)</f>
        <v>0</v>
      </c>
      <c r="I244" s="50">
        <f>SUMIFS('Stock Adjustment'!$E:$E,'Stock Adjustment'!$B:$B,$A244,'Stock Adjustment'!$D:$D,"Staff Consumption")</f>
        <v>0</v>
      </c>
      <c r="J244" s="50">
        <f>SUMIFS('Stock Adjustment'!$E:$E,'Stock Adjustment'!$B:$B,$A244,'Stock Adjustment'!$D:$D,"Damaged")</f>
        <v>0</v>
      </c>
      <c r="K244" s="50">
        <f>SUMIFS('Stock Adjustment'!$E:$E,'Stock Adjustment'!$B:$B,$A244,'Stock Adjustment'!$D:$D,"Expired")</f>
        <v>0</v>
      </c>
      <c r="L244" s="50">
        <f>SUMIFS('Stock Adjustment'!$E:$E,'Stock Adjustment'!$B:$B,$A244,'Stock Adjustment'!$D:$D,"Supplier Returned")</f>
        <v>0</v>
      </c>
      <c r="M2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4" s="53" t="str">
        <f>IF(B244="","",VLOOKUP(B244,'Product Master'!$B:$G,4,FALSE))</f>
        <v/>
      </c>
      <c r="O244" s="53" t="str">
        <f>IF(B244="","",VLOOKUP(B244,'Product Master'!$B:$G,5,FALSE))</f>
        <v/>
      </c>
      <c r="P244" s="50" t="str">
        <f>IF(B244="","",VLOOKUP(B244,'Product Master'!$B:$I,7,FALSE))</f>
        <v/>
      </c>
      <c r="Q244" s="158"/>
      <c r="R244" s="58" t="str">
        <f t="shared" si="3"/>
        <v/>
      </c>
      <c r="S244" s="25"/>
      <c r="T244" s="25"/>
      <c r="U244" s="25"/>
      <c r="V244" s="25"/>
      <c r="W244" s="25"/>
      <c r="X244" s="25"/>
    </row>
    <row r="245" spans="1:24" x14ac:dyDescent="0.25">
      <c r="A245" s="31" t="s">
        <v>805</v>
      </c>
      <c r="B245" s="32"/>
      <c r="C245" s="50" t="str">
        <f>IF(B245="","",VLOOKUP(B245,'Product Master'!$B:$G,2,FALSE))</f>
        <v/>
      </c>
      <c r="D245" s="50" t="str">
        <f>IF(B245="","",VLOOKUP(B245,'Product Master'!$B:$G,3,FALSE))</f>
        <v/>
      </c>
      <c r="E245" s="50"/>
      <c r="F245" s="50">
        <f>SUMIF('Stock Purchase'!$D:$D,B245,'Stock Purchase'!$F:$F)</f>
        <v>0</v>
      </c>
      <c r="G245" s="50">
        <f>SUMIFS('Stock Adjustment'!$E:$E,'Stock Adjustment'!$B:$B,$A245,'Stock Adjustment'!$D:$D,"Customer Returned")</f>
        <v>0</v>
      </c>
      <c r="H245" s="50">
        <f>SUMIF('Daily Sales Entry'!$D:$D,B245,'Daily Sales Entry'!$G:$G)</f>
        <v>0</v>
      </c>
      <c r="I245" s="50">
        <f>SUMIFS('Stock Adjustment'!$E:$E,'Stock Adjustment'!$B:$B,$A245,'Stock Adjustment'!$D:$D,"Staff Consumption")</f>
        <v>0</v>
      </c>
      <c r="J245" s="50">
        <f>SUMIFS('Stock Adjustment'!$E:$E,'Stock Adjustment'!$B:$B,$A245,'Stock Adjustment'!$D:$D,"Damaged")</f>
        <v>0</v>
      </c>
      <c r="K245" s="50">
        <f>SUMIFS('Stock Adjustment'!$E:$E,'Stock Adjustment'!$B:$B,$A245,'Stock Adjustment'!$D:$D,"Expired")</f>
        <v>0</v>
      </c>
      <c r="L245" s="50">
        <f>SUMIFS('Stock Adjustment'!$E:$E,'Stock Adjustment'!$B:$B,$A245,'Stock Adjustment'!$D:$D,"Supplier Returned")</f>
        <v>0</v>
      </c>
      <c r="M2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5" s="53" t="str">
        <f>IF(B245="","",VLOOKUP(B245,'Product Master'!$B:$G,4,FALSE))</f>
        <v/>
      </c>
      <c r="O245" s="53" t="str">
        <f>IF(B245="","",VLOOKUP(B245,'Product Master'!$B:$G,5,FALSE))</f>
        <v/>
      </c>
      <c r="P245" s="50" t="str">
        <f>IF(B245="","",VLOOKUP(B245,'Product Master'!$B:$I,7,FALSE))</f>
        <v/>
      </c>
      <c r="Q245" s="158"/>
      <c r="R245" s="58" t="str">
        <f t="shared" si="3"/>
        <v/>
      </c>
      <c r="S245" s="25"/>
      <c r="T245" s="25"/>
      <c r="U245" s="25"/>
      <c r="V245" s="25"/>
      <c r="W245" s="25"/>
      <c r="X245" s="25"/>
    </row>
    <row r="246" spans="1:24" x14ac:dyDescent="0.25">
      <c r="A246" s="31" t="s">
        <v>806</v>
      </c>
      <c r="B246" s="32"/>
      <c r="C246" s="50" t="str">
        <f>IF(B246="","",VLOOKUP(B246,'Product Master'!$B:$G,2,FALSE))</f>
        <v/>
      </c>
      <c r="D246" s="50" t="str">
        <f>IF(B246="","",VLOOKUP(B246,'Product Master'!$B:$G,3,FALSE))</f>
        <v/>
      </c>
      <c r="E246" s="50"/>
      <c r="F246" s="50">
        <f>SUMIF('Stock Purchase'!$D:$D,B246,'Stock Purchase'!$F:$F)</f>
        <v>0</v>
      </c>
      <c r="G246" s="50">
        <f>SUMIFS('Stock Adjustment'!$E:$E,'Stock Adjustment'!$B:$B,$A246,'Stock Adjustment'!$D:$D,"Customer Returned")</f>
        <v>0</v>
      </c>
      <c r="H246" s="50">
        <f>SUMIF('Daily Sales Entry'!$D:$D,B246,'Daily Sales Entry'!$G:$G)</f>
        <v>0</v>
      </c>
      <c r="I246" s="50">
        <f>SUMIFS('Stock Adjustment'!$E:$E,'Stock Adjustment'!$B:$B,$A246,'Stock Adjustment'!$D:$D,"Staff Consumption")</f>
        <v>0</v>
      </c>
      <c r="J246" s="50">
        <f>SUMIFS('Stock Adjustment'!$E:$E,'Stock Adjustment'!$B:$B,$A246,'Stock Adjustment'!$D:$D,"Damaged")</f>
        <v>0</v>
      </c>
      <c r="K246" s="50">
        <f>SUMIFS('Stock Adjustment'!$E:$E,'Stock Adjustment'!$B:$B,$A246,'Stock Adjustment'!$D:$D,"Expired")</f>
        <v>0</v>
      </c>
      <c r="L246" s="50">
        <f>SUMIFS('Stock Adjustment'!$E:$E,'Stock Adjustment'!$B:$B,$A246,'Stock Adjustment'!$D:$D,"Supplier Returned")</f>
        <v>0</v>
      </c>
      <c r="M2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6" s="53" t="str">
        <f>IF(B246="","",VLOOKUP(B246,'Product Master'!$B:$G,4,FALSE))</f>
        <v/>
      </c>
      <c r="O246" s="53" t="str">
        <f>IF(B246="","",VLOOKUP(B246,'Product Master'!$B:$G,5,FALSE))</f>
        <v/>
      </c>
      <c r="P246" s="50" t="str">
        <f>IF(B246="","",VLOOKUP(B246,'Product Master'!$B:$I,7,FALSE))</f>
        <v/>
      </c>
      <c r="Q246" s="158"/>
      <c r="R246" s="58" t="str">
        <f t="shared" si="3"/>
        <v/>
      </c>
      <c r="S246" s="25"/>
      <c r="T246" s="25"/>
      <c r="U246" s="25"/>
      <c r="V246" s="25"/>
      <c r="W246" s="25"/>
      <c r="X246" s="25"/>
    </row>
    <row r="247" spans="1:24" x14ac:dyDescent="0.25">
      <c r="A247" s="31" t="s">
        <v>807</v>
      </c>
      <c r="B247" s="32"/>
      <c r="C247" s="50" t="str">
        <f>IF(B247="","",VLOOKUP(B247,'Product Master'!$B:$G,2,FALSE))</f>
        <v/>
      </c>
      <c r="D247" s="50" t="str">
        <f>IF(B247="","",VLOOKUP(B247,'Product Master'!$B:$G,3,FALSE))</f>
        <v/>
      </c>
      <c r="E247" s="50"/>
      <c r="F247" s="50">
        <f>SUMIF('Stock Purchase'!$D:$D,B247,'Stock Purchase'!$F:$F)</f>
        <v>0</v>
      </c>
      <c r="G247" s="50">
        <f>SUMIFS('Stock Adjustment'!$E:$E,'Stock Adjustment'!$B:$B,$A247,'Stock Adjustment'!$D:$D,"Customer Returned")</f>
        <v>0</v>
      </c>
      <c r="H247" s="50">
        <f>SUMIF('Daily Sales Entry'!$D:$D,B247,'Daily Sales Entry'!$G:$G)</f>
        <v>0</v>
      </c>
      <c r="I247" s="50">
        <f>SUMIFS('Stock Adjustment'!$E:$E,'Stock Adjustment'!$B:$B,$A247,'Stock Adjustment'!$D:$D,"Staff Consumption")</f>
        <v>0</v>
      </c>
      <c r="J247" s="50">
        <f>SUMIFS('Stock Adjustment'!$E:$E,'Stock Adjustment'!$B:$B,$A247,'Stock Adjustment'!$D:$D,"Damaged")</f>
        <v>0</v>
      </c>
      <c r="K247" s="50">
        <f>SUMIFS('Stock Adjustment'!$E:$E,'Stock Adjustment'!$B:$B,$A247,'Stock Adjustment'!$D:$D,"Expired")</f>
        <v>0</v>
      </c>
      <c r="L247" s="50">
        <f>SUMIFS('Stock Adjustment'!$E:$E,'Stock Adjustment'!$B:$B,$A247,'Stock Adjustment'!$D:$D,"Supplier Returned")</f>
        <v>0</v>
      </c>
      <c r="M2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7" s="53" t="str">
        <f>IF(B247="","",VLOOKUP(B247,'Product Master'!$B:$G,4,FALSE))</f>
        <v/>
      </c>
      <c r="O247" s="53" t="str">
        <f>IF(B247="","",VLOOKUP(B247,'Product Master'!$B:$G,5,FALSE))</f>
        <v/>
      </c>
      <c r="P247" s="50" t="str">
        <f>IF(B247="","",VLOOKUP(B247,'Product Master'!$B:$I,7,FALSE))</f>
        <v/>
      </c>
      <c r="Q247" s="158"/>
      <c r="R247" s="58" t="str">
        <f t="shared" si="3"/>
        <v/>
      </c>
      <c r="S247" s="25"/>
      <c r="T247" s="25"/>
      <c r="U247" s="25"/>
      <c r="V247" s="25"/>
      <c r="W247" s="25"/>
      <c r="X247" s="25"/>
    </row>
    <row r="248" spans="1:24" x14ac:dyDescent="0.25">
      <c r="A248" s="31" t="s">
        <v>808</v>
      </c>
      <c r="B248" s="32"/>
      <c r="C248" s="50" t="str">
        <f>IF(B248="","",VLOOKUP(B248,'Product Master'!$B:$G,2,FALSE))</f>
        <v/>
      </c>
      <c r="D248" s="50" t="str">
        <f>IF(B248="","",VLOOKUP(B248,'Product Master'!$B:$G,3,FALSE))</f>
        <v/>
      </c>
      <c r="E248" s="50"/>
      <c r="F248" s="50">
        <f>SUMIF('Stock Purchase'!$D:$D,B248,'Stock Purchase'!$F:$F)</f>
        <v>0</v>
      </c>
      <c r="G248" s="50">
        <f>SUMIFS('Stock Adjustment'!$E:$E,'Stock Adjustment'!$B:$B,$A248,'Stock Adjustment'!$D:$D,"Customer Returned")</f>
        <v>0</v>
      </c>
      <c r="H248" s="50">
        <f>SUMIF('Daily Sales Entry'!$D:$D,B248,'Daily Sales Entry'!$G:$G)</f>
        <v>0</v>
      </c>
      <c r="I248" s="50">
        <f>SUMIFS('Stock Adjustment'!$E:$E,'Stock Adjustment'!$B:$B,$A248,'Stock Adjustment'!$D:$D,"Staff Consumption")</f>
        <v>0</v>
      </c>
      <c r="J248" s="50">
        <f>SUMIFS('Stock Adjustment'!$E:$E,'Stock Adjustment'!$B:$B,$A248,'Stock Adjustment'!$D:$D,"Damaged")</f>
        <v>0</v>
      </c>
      <c r="K248" s="50">
        <f>SUMIFS('Stock Adjustment'!$E:$E,'Stock Adjustment'!$B:$B,$A248,'Stock Adjustment'!$D:$D,"Expired")</f>
        <v>0</v>
      </c>
      <c r="L248" s="50">
        <f>SUMIFS('Stock Adjustment'!$E:$E,'Stock Adjustment'!$B:$B,$A248,'Stock Adjustment'!$D:$D,"Supplier Returned")</f>
        <v>0</v>
      </c>
      <c r="M2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8" s="53" t="str">
        <f>IF(B248="","",VLOOKUP(B248,'Product Master'!$B:$G,4,FALSE))</f>
        <v/>
      </c>
      <c r="O248" s="53" t="str">
        <f>IF(B248="","",VLOOKUP(B248,'Product Master'!$B:$G,5,FALSE))</f>
        <v/>
      </c>
      <c r="P248" s="50" t="str">
        <f>IF(B248="","",VLOOKUP(B248,'Product Master'!$B:$I,7,FALSE))</f>
        <v/>
      </c>
      <c r="Q248" s="158"/>
      <c r="R248" s="58" t="str">
        <f t="shared" si="3"/>
        <v/>
      </c>
      <c r="S248" s="25"/>
      <c r="T248" s="25"/>
      <c r="U248" s="25"/>
      <c r="V248" s="25"/>
      <c r="W248" s="25"/>
      <c r="X248" s="25"/>
    </row>
    <row r="249" spans="1:24" x14ac:dyDescent="0.25">
      <c r="A249" s="31" t="s">
        <v>809</v>
      </c>
      <c r="B249" s="32"/>
      <c r="C249" s="50" t="str">
        <f>IF(B249="","",VLOOKUP(B249,'Product Master'!$B:$G,2,FALSE))</f>
        <v/>
      </c>
      <c r="D249" s="50" t="str">
        <f>IF(B249="","",VLOOKUP(B249,'Product Master'!$B:$G,3,FALSE))</f>
        <v/>
      </c>
      <c r="E249" s="50"/>
      <c r="F249" s="50">
        <f>SUMIF('Stock Purchase'!$D:$D,B249,'Stock Purchase'!$F:$F)</f>
        <v>0</v>
      </c>
      <c r="G249" s="50">
        <f>SUMIFS('Stock Adjustment'!$E:$E,'Stock Adjustment'!$B:$B,$A249,'Stock Adjustment'!$D:$D,"Customer Returned")</f>
        <v>0</v>
      </c>
      <c r="H249" s="50">
        <f>SUMIF('Daily Sales Entry'!$D:$D,B249,'Daily Sales Entry'!$G:$G)</f>
        <v>0</v>
      </c>
      <c r="I249" s="50">
        <f>SUMIFS('Stock Adjustment'!$E:$E,'Stock Adjustment'!$B:$B,$A249,'Stock Adjustment'!$D:$D,"Staff Consumption")</f>
        <v>0</v>
      </c>
      <c r="J249" s="50">
        <f>SUMIFS('Stock Adjustment'!$E:$E,'Stock Adjustment'!$B:$B,$A249,'Stock Adjustment'!$D:$D,"Damaged")</f>
        <v>0</v>
      </c>
      <c r="K249" s="50">
        <f>SUMIFS('Stock Adjustment'!$E:$E,'Stock Adjustment'!$B:$B,$A249,'Stock Adjustment'!$D:$D,"Expired")</f>
        <v>0</v>
      </c>
      <c r="L249" s="50">
        <f>SUMIFS('Stock Adjustment'!$E:$E,'Stock Adjustment'!$B:$B,$A249,'Stock Adjustment'!$D:$D,"Supplier Returned")</f>
        <v>0</v>
      </c>
      <c r="M2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49" s="53" t="str">
        <f>IF(B249="","",VLOOKUP(B249,'Product Master'!$B:$G,4,FALSE))</f>
        <v/>
      </c>
      <c r="O249" s="53" t="str">
        <f>IF(B249="","",VLOOKUP(B249,'Product Master'!$B:$G,5,FALSE))</f>
        <v/>
      </c>
      <c r="P249" s="50" t="str">
        <f>IF(B249="","",VLOOKUP(B249,'Product Master'!$B:$I,7,FALSE))</f>
        <v/>
      </c>
      <c r="Q249" s="158"/>
      <c r="R249" s="58" t="str">
        <f t="shared" si="3"/>
        <v/>
      </c>
      <c r="S249" s="25"/>
      <c r="T249" s="25"/>
      <c r="U249" s="25"/>
      <c r="V249" s="25"/>
      <c r="W249" s="25"/>
      <c r="X249" s="25"/>
    </row>
    <row r="250" spans="1:24" x14ac:dyDescent="0.25">
      <c r="A250" s="31" t="s">
        <v>810</v>
      </c>
      <c r="B250" s="32"/>
      <c r="C250" s="50" t="str">
        <f>IF(B250="","",VLOOKUP(B250,'Product Master'!$B:$G,2,FALSE))</f>
        <v/>
      </c>
      <c r="D250" s="50" t="str">
        <f>IF(B250="","",VLOOKUP(B250,'Product Master'!$B:$G,3,FALSE))</f>
        <v/>
      </c>
      <c r="E250" s="50"/>
      <c r="F250" s="50">
        <f>SUMIF('Stock Purchase'!$D:$D,B250,'Stock Purchase'!$F:$F)</f>
        <v>0</v>
      </c>
      <c r="G250" s="50">
        <f>SUMIFS('Stock Adjustment'!$E:$E,'Stock Adjustment'!$B:$B,$A250,'Stock Adjustment'!$D:$D,"Customer Returned")</f>
        <v>0</v>
      </c>
      <c r="H250" s="50">
        <f>SUMIF('Daily Sales Entry'!$D:$D,B250,'Daily Sales Entry'!$G:$G)</f>
        <v>0</v>
      </c>
      <c r="I250" s="50">
        <f>SUMIFS('Stock Adjustment'!$E:$E,'Stock Adjustment'!$B:$B,$A250,'Stock Adjustment'!$D:$D,"Staff Consumption")</f>
        <v>0</v>
      </c>
      <c r="J250" s="50">
        <f>SUMIFS('Stock Adjustment'!$E:$E,'Stock Adjustment'!$B:$B,$A250,'Stock Adjustment'!$D:$D,"Damaged")</f>
        <v>0</v>
      </c>
      <c r="K250" s="50">
        <f>SUMIFS('Stock Adjustment'!$E:$E,'Stock Adjustment'!$B:$B,$A250,'Stock Adjustment'!$D:$D,"Expired")</f>
        <v>0</v>
      </c>
      <c r="L250" s="50">
        <f>SUMIFS('Stock Adjustment'!$E:$E,'Stock Adjustment'!$B:$B,$A250,'Stock Adjustment'!$D:$D,"Supplier Returned")</f>
        <v>0</v>
      </c>
      <c r="M2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0" s="53" t="str">
        <f>IF(B250="","",VLOOKUP(B250,'Product Master'!$B:$G,4,FALSE))</f>
        <v/>
      </c>
      <c r="O250" s="53" t="str">
        <f>IF(B250="","",VLOOKUP(B250,'Product Master'!$B:$G,5,FALSE))</f>
        <v/>
      </c>
      <c r="P250" s="50" t="str">
        <f>IF(B250="","",VLOOKUP(B250,'Product Master'!$B:$I,7,FALSE))</f>
        <v/>
      </c>
      <c r="Q250" s="158"/>
      <c r="R250" s="58" t="str">
        <f t="shared" si="3"/>
        <v/>
      </c>
      <c r="S250" s="25"/>
      <c r="T250" s="25"/>
      <c r="U250" s="25"/>
      <c r="V250" s="25"/>
      <c r="W250" s="25"/>
      <c r="X250" s="25"/>
    </row>
    <row r="251" spans="1:24" x14ac:dyDescent="0.25">
      <c r="A251" s="31" t="s">
        <v>811</v>
      </c>
      <c r="B251" s="32"/>
      <c r="C251" s="50" t="str">
        <f>IF(B251="","",VLOOKUP(B251,'Product Master'!$B:$G,2,FALSE))</f>
        <v/>
      </c>
      <c r="D251" s="50" t="str">
        <f>IF(B251="","",VLOOKUP(B251,'Product Master'!$B:$G,3,FALSE))</f>
        <v/>
      </c>
      <c r="E251" s="50"/>
      <c r="F251" s="50">
        <f>SUMIF('Stock Purchase'!$D:$D,B251,'Stock Purchase'!$F:$F)</f>
        <v>0</v>
      </c>
      <c r="G251" s="50">
        <f>SUMIFS('Stock Adjustment'!$E:$E,'Stock Adjustment'!$B:$B,$A251,'Stock Adjustment'!$D:$D,"Customer Returned")</f>
        <v>0</v>
      </c>
      <c r="H251" s="50">
        <f>SUMIF('Daily Sales Entry'!$D:$D,B251,'Daily Sales Entry'!$G:$G)</f>
        <v>0</v>
      </c>
      <c r="I251" s="50">
        <f>SUMIFS('Stock Adjustment'!$E:$E,'Stock Adjustment'!$B:$B,$A251,'Stock Adjustment'!$D:$D,"Staff Consumption")</f>
        <v>0</v>
      </c>
      <c r="J251" s="50">
        <f>SUMIFS('Stock Adjustment'!$E:$E,'Stock Adjustment'!$B:$B,$A251,'Stock Adjustment'!$D:$D,"Damaged")</f>
        <v>0</v>
      </c>
      <c r="K251" s="50">
        <f>SUMIFS('Stock Adjustment'!$E:$E,'Stock Adjustment'!$B:$B,$A251,'Stock Adjustment'!$D:$D,"Expired")</f>
        <v>0</v>
      </c>
      <c r="L251" s="50">
        <f>SUMIFS('Stock Adjustment'!$E:$E,'Stock Adjustment'!$B:$B,$A251,'Stock Adjustment'!$D:$D,"Supplier Returned")</f>
        <v>0</v>
      </c>
      <c r="M2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1" s="53" t="str">
        <f>IF(B251="","",VLOOKUP(B251,'Product Master'!$B:$G,4,FALSE))</f>
        <v/>
      </c>
      <c r="O251" s="53" t="str">
        <f>IF(B251="","",VLOOKUP(B251,'Product Master'!$B:$G,5,FALSE))</f>
        <v/>
      </c>
      <c r="P251" s="50" t="str">
        <f>IF(B251="","",VLOOKUP(B251,'Product Master'!$B:$I,7,FALSE))</f>
        <v/>
      </c>
      <c r="Q251" s="158"/>
      <c r="R251" s="58" t="str">
        <f t="shared" si="3"/>
        <v/>
      </c>
      <c r="S251" s="25"/>
      <c r="T251" s="25"/>
      <c r="U251" s="25"/>
      <c r="V251" s="25"/>
      <c r="W251" s="25"/>
      <c r="X251" s="25"/>
    </row>
    <row r="252" spans="1:24" x14ac:dyDescent="0.25">
      <c r="A252" s="31" t="s">
        <v>812</v>
      </c>
      <c r="B252" s="32"/>
      <c r="C252" s="50" t="str">
        <f>IF(B252="","",VLOOKUP(B252,'Product Master'!$B:$G,2,FALSE))</f>
        <v/>
      </c>
      <c r="D252" s="50" t="str">
        <f>IF(B252="","",VLOOKUP(B252,'Product Master'!$B:$G,3,FALSE))</f>
        <v/>
      </c>
      <c r="E252" s="50"/>
      <c r="F252" s="50">
        <f>SUMIF('Stock Purchase'!$D:$D,B252,'Stock Purchase'!$F:$F)</f>
        <v>0</v>
      </c>
      <c r="G252" s="50">
        <f>SUMIFS('Stock Adjustment'!$E:$E,'Stock Adjustment'!$B:$B,$A252,'Stock Adjustment'!$D:$D,"Customer Returned")</f>
        <v>0</v>
      </c>
      <c r="H252" s="50">
        <f>SUMIF('Daily Sales Entry'!$D:$D,B252,'Daily Sales Entry'!$G:$G)</f>
        <v>0</v>
      </c>
      <c r="I252" s="50">
        <f>SUMIFS('Stock Adjustment'!$E:$E,'Stock Adjustment'!$B:$B,$A252,'Stock Adjustment'!$D:$D,"Staff Consumption")</f>
        <v>0</v>
      </c>
      <c r="J252" s="50">
        <f>SUMIFS('Stock Adjustment'!$E:$E,'Stock Adjustment'!$B:$B,$A252,'Stock Adjustment'!$D:$D,"Damaged")</f>
        <v>0</v>
      </c>
      <c r="K252" s="50">
        <f>SUMIFS('Stock Adjustment'!$E:$E,'Stock Adjustment'!$B:$B,$A252,'Stock Adjustment'!$D:$D,"Expired")</f>
        <v>0</v>
      </c>
      <c r="L252" s="50">
        <f>SUMIFS('Stock Adjustment'!$E:$E,'Stock Adjustment'!$B:$B,$A252,'Stock Adjustment'!$D:$D,"Supplier Returned")</f>
        <v>0</v>
      </c>
      <c r="M2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2" s="53" t="str">
        <f>IF(B252="","",VLOOKUP(B252,'Product Master'!$B:$G,4,FALSE))</f>
        <v/>
      </c>
      <c r="O252" s="53" t="str">
        <f>IF(B252="","",VLOOKUP(B252,'Product Master'!$B:$G,5,FALSE))</f>
        <v/>
      </c>
      <c r="P252" s="50" t="str">
        <f>IF(B252="","",VLOOKUP(B252,'Product Master'!$B:$I,7,FALSE))</f>
        <v/>
      </c>
      <c r="Q252" s="158"/>
      <c r="R252" s="58" t="str">
        <f t="shared" si="3"/>
        <v/>
      </c>
      <c r="S252" s="25"/>
      <c r="T252" s="25"/>
      <c r="U252" s="25"/>
      <c r="V252" s="25"/>
      <c r="W252" s="25"/>
      <c r="X252" s="25"/>
    </row>
    <row r="253" spans="1:24" x14ac:dyDescent="0.25">
      <c r="A253" s="31" t="s">
        <v>813</v>
      </c>
      <c r="B253" s="32"/>
      <c r="C253" s="50" t="str">
        <f>IF(B253="","",VLOOKUP(B253,'Product Master'!$B:$G,2,FALSE))</f>
        <v/>
      </c>
      <c r="D253" s="50" t="str">
        <f>IF(B253="","",VLOOKUP(B253,'Product Master'!$B:$G,3,FALSE))</f>
        <v/>
      </c>
      <c r="E253" s="50"/>
      <c r="F253" s="50">
        <f>SUMIF('Stock Purchase'!$D:$D,B253,'Stock Purchase'!$F:$F)</f>
        <v>0</v>
      </c>
      <c r="G253" s="50">
        <f>SUMIFS('Stock Adjustment'!$E:$E,'Stock Adjustment'!$B:$B,$A253,'Stock Adjustment'!$D:$D,"Customer Returned")</f>
        <v>0</v>
      </c>
      <c r="H253" s="50">
        <f>SUMIF('Daily Sales Entry'!$D:$D,B253,'Daily Sales Entry'!$G:$G)</f>
        <v>0</v>
      </c>
      <c r="I253" s="50">
        <f>SUMIFS('Stock Adjustment'!$E:$E,'Stock Adjustment'!$B:$B,$A253,'Stock Adjustment'!$D:$D,"Staff Consumption")</f>
        <v>0</v>
      </c>
      <c r="J253" s="50">
        <f>SUMIFS('Stock Adjustment'!$E:$E,'Stock Adjustment'!$B:$B,$A253,'Stock Adjustment'!$D:$D,"Damaged")</f>
        <v>0</v>
      </c>
      <c r="K253" s="50">
        <f>SUMIFS('Stock Adjustment'!$E:$E,'Stock Adjustment'!$B:$B,$A253,'Stock Adjustment'!$D:$D,"Expired")</f>
        <v>0</v>
      </c>
      <c r="L253" s="50">
        <f>SUMIFS('Stock Adjustment'!$E:$E,'Stock Adjustment'!$B:$B,$A253,'Stock Adjustment'!$D:$D,"Supplier Returned")</f>
        <v>0</v>
      </c>
      <c r="M2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3" s="53" t="str">
        <f>IF(B253="","",VLOOKUP(B253,'Product Master'!$B:$G,4,FALSE))</f>
        <v/>
      </c>
      <c r="O253" s="53" t="str">
        <f>IF(B253="","",VLOOKUP(B253,'Product Master'!$B:$G,5,FALSE))</f>
        <v/>
      </c>
      <c r="P253" s="50" t="str">
        <f>IF(B253="","",VLOOKUP(B253,'Product Master'!$B:$I,7,FALSE))</f>
        <v/>
      </c>
      <c r="Q253" s="158"/>
      <c r="R253" s="58" t="str">
        <f t="shared" si="3"/>
        <v/>
      </c>
      <c r="S253" s="25"/>
      <c r="T253" s="25"/>
      <c r="U253" s="25"/>
      <c r="V253" s="25"/>
      <c r="W253" s="25"/>
      <c r="X253" s="25"/>
    </row>
    <row r="254" spans="1:24" x14ac:dyDescent="0.25">
      <c r="A254" s="31" t="s">
        <v>814</v>
      </c>
      <c r="B254" s="32"/>
      <c r="C254" s="50" t="str">
        <f>IF(B254="","",VLOOKUP(B254,'Product Master'!$B:$G,2,FALSE))</f>
        <v/>
      </c>
      <c r="D254" s="50" t="str">
        <f>IF(B254="","",VLOOKUP(B254,'Product Master'!$B:$G,3,FALSE))</f>
        <v/>
      </c>
      <c r="E254" s="50"/>
      <c r="F254" s="50">
        <f>SUMIF('Stock Purchase'!$D:$D,B254,'Stock Purchase'!$F:$F)</f>
        <v>0</v>
      </c>
      <c r="G254" s="50">
        <f>SUMIFS('Stock Adjustment'!$E:$E,'Stock Adjustment'!$B:$B,$A254,'Stock Adjustment'!$D:$D,"Customer Returned")</f>
        <v>0</v>
      </c>
      <c r="H254" s="50">
        <f>SUMIF('Daily Sales Entry'!$D:$D,B254,'Daily Sales Entry'!$G:$G)</f>
        <v>0</v>
      </c>
      <c r="I254" s="50">
        <f>SUMIFS('Stock Adjustment'!$E:$E,'Stock Adjustment'!$B:$B,$A254,'Stock Adjustment'!$D:$D,"Staff Consumption")</f>
        <v>0</v>
      </c>
      <c r="J254" s="50">
        <f>SUMIFS('Stock Adjustment'!$E:$E,'Stock Adjustment'!$B:$B,$A254,'Stock Adjustment'!$D:$D,"Damaged")</f>
        <v>0</v>
      </c>
      <c r="K254" s="50">
        <f>SUMIFS('Stock Adjustment'!$E:$E,'Stock Adjustment'!$B:$B,$A254,'Stock Adjustment'!$D:$D,"Expired")</f>
        <v>0</v>
      </c>
      <c r="L254" s="50">
        <f>SUMIFS('Stock Adjustment'!$E:$E,'Stock Adjustment'!$B:$B,$A254,'Stock Adjustment'!$D:$D,"Supplier Returned")</f>
        <v>0</v>
      </c>
      <c r="M2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4" s="53" t="str">
        <f>IF(B254="","",VLOOKUP(B254,'Product Master'!$B:$G,4,FALSE))</f>
        <v/>
      </c>
      <c r="O254" s="53" t="str">
        <f>IF(B254="","",VLOOKUP(B254,'Product Master'!$B:$G,5,FALSE))</f>
        <v/>
      </c>
      <c r="P254" s="50" t="str">
        <f>IF(B254="","",VLOOKUP(B254,'Product Master'!$B:$I,7,FALSE))</f>
        <v/>
      </c>
      <c r="Q254" s="158"/>
      <c r="R254" s="58" t="str">
        <f t="shared" si="3"/>
        <v/>
      </c>
      <c r="S254" s="25"/>
      <c r="T254" s="25"/>
      <c r="U254" s="25"/>
      <c r="V254" s="25"/>
      <c r="W254" s="25"/>
      <c r="X254" s="25"/>
    </row>
    <row r="255" spans="1:24" x14ac:dyDescent="0.25">
      <c r="A255" s="31" t="s">
        <v>815</v>
      </c>
      <c r="B255" s="32"/>
      <c r="C255" s="50" t="str">
        <f>IF(B255="","",VLOOKUP(B255,'Product Master'!$B:$G,2,FALSE))</f>
        <v/>
      </c>
      <c r="D255" s="50" t="str">
        <f>IF(B255="","",VLOOKUP(B255,'Product Master'!$B:$G,3,FALSE))</f>
        <v/>
      </c>
      <c r="E255" s="50"/>
      <c r="F255" s="50">
        <f>SUMIF('Stock Purchase'!$D:$D,B255,'Stock Purchase'!$F:$F)</f>
        <v>0</v>
      </c>
      <c r="G255" s="50">
        <f>SUMIFS('Stock Adjustment'!$E:$E,'Stock Adjustment'!$B:$B,$A255,'Stock Adjustment'!$D:$D,"Customer Returned")</f>
        <v>0</v>
      </c>
      <c r="H255" s="50">
        <f>SUMIF('Daily Sales Entry'!$D:$D,B255,'Daily Sales Entry'!$G:$G)</f>
        <v>0</v>
      </c>
      <c r="I255" s="50">
        <f>SUMIFS('Stock Adjustment'!$E:$E,'Stock Adjustment'!$B:$B,$A255,'Stock Adjustment'!$D:$D,"Staff Consumption")</f>
        <v>0</v>
      </c>
      <c r="J255" s="50">
        <f>SUMIFS('Stock Adjustment'!$E:$E,'Stock Adjustment'!$B:$B,$A255,'Stock Adjustment'!$D:$D,"Damaged")</f>
        <v>0</v>
      </c>
      <c r="K255" s="50">
        <f>SUMIFS('Stock Adjustment'!$E:$E,'Stock Adjustment'!$B:$B,$A255,'Stock Adjustment'!$D:$D,"Expired")</f>
        <v>0</v>
      </c>
      <c r="L255" s="50">
        <f>SUMIFS('Stock Adjustment'!$E:$E,'Stock Adjustment'!$B:$B,$A255,'Stock Adjustment'!$D:$D,"Supplier Returned")</f>
        <v>0</v>
      </c>
      <c r="M2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5" s="53" t="str">
        <f>IF(B255="","",VLOOKUP(B255,'Product Master'!$B:$G,4,FALSE))</f>
        <v/>
      </c>
      <c r="O255" s="53" t="str">
        <f>IF(B255="","",VLOOKUP(B255,'Product Master'!$B:$G,5,FALSE))</f>
        <v/>
      </c>
      <c r="P255" s="50" t="str">
        <f>IF(B255="","",VLOOKUP(B255,'Product Master'!$B:$I,7,FALSE))</f>
        <v/>
      </c>
      <c r="Q255" s="158"/>
      <c r="R255" s="58" t="str">
        <f t="shared" si="3"/>
        <v/>
      </c>
      <c r="S255" s="25"/>
      <c r="T255" s="25"/>
      <c r="U255" s="25"/>
      <c r="V255" s="25"/>
      <c r="W255" s="25"/>
      <c r="X255" s="25"/>
    </row>
    <row r="256" spans="1:24" x14ac:dyDescent="0.25">
      <c r="A256" s="31" t="s">
        <v>816</v>
      </c>
      <c r="B256" s="32"/>
      <c r="C256" s="50" t="str">
        <f>IF(B256="","",VLOOKUP(B256,'Product Master'!$B:$G,2,FALSE))</f>
        <v/>
      </c>
      <c r="D256" s="50" t="str">
        <f>IF(B256="","",VLOOKUP(B256,'Product Master'!$B:$G,3,FALSE))</f>
        <v/>
      </c>
      <c r="E256" s="50"/>
      <c r="F256" s="50">
        <f>SUMIF('Stock Purchase'!$D:$D,B256,'Stock Purchase'!$F:$F)</f>
        <v>0</v>
      </c>
      <c r="G256" s="50">
        <f>SUMIFS('Stock Adjustment'!$E:$E,'Stock Adjustment'!$B:$B,$A256,'Stock Adjustment'!$D:$D,"Customer Returned")</f>
        <v>0</v>
      </c>
      <c r="H256" s="50">
        <f>SUMIF('Daily Sales Entry'!$D:$D,B256,'Daily Sales Entry'!$G:$G)</f>
        <v>0</v>
      </c>
      <c r="I256" s="50">
        <f>SUMIFS('Stock Adjustment'!$E:$E,'Stock Adjustment'!$B:$B,$A256,'Stock Adjustment'!$D:$D,"Staff Consumption")</f>
        <v>0</v>
      </c>
      <c r="J256" s="50">
        <f>SUMIFS('Stock Adjustment'!$E:$E,'Stock Adjustment'!$B:$B,$A256,'Stock Adjustment'!$D:$D,"Damaged")</f>
        <v>0</v>
      </c>
      <c r="K256" s="50">
        <f>SUMIFS('Stock Adjustment'!$E:$E,'Stock Adjustment'!$B:$B,$A256,'Stock Adjustment'!$D:$D,"Expired")</f>
        <v>0</v>
      </c>
      <c r="L256" s="50">
        <f>SUMIFS('Stock Adjustment'!$E:$E,'Stock Adjustment'!$B:$B,$A256,'Stock Adjustment'!$D:$D,"Supplier Returned")</f>
        <v>0</v>
      </c>
      <c r="M2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6" s="53" t="str">
        <f>IF(B256="","",VLOOKUP(B256,'Product Master'!$B:$G,4,FALSE))</f>
        <v/>
      </c>
      <c r="O256" s="53" t="str">
        <f>IF(B256="","",VLOOKUP(B256,'Product Master'!$B:$G,5,FALSE))</f>
        <v/>
      </c>
      <c r="P256" s="50" t="str">
        <f>IF(B256="","",VLOOKUP(B256,'Product Master'!$B:$I,7,FALSE))</f>
        <v/>
      </c>
      <c r="Q256" s="158"/>
      <c r="R256" s="58" t="str">
        <f t="shared" si="3"/>
        <v/>
      </c>
      <c r="S256" s="25"/>
      <c r="T256" s="25"/>
      <c r="U256" s="25"/>
      <c r="V256" s="25"/>
      <c r="W256" s="25"/>
      <c r="X256" s="25"/>
    </row>
    <row r="257" spans="1:24" x14ac:dyDescent="0.25">
      <c r="A257" s="31" t="s">
        <v>817</v>
      </c>
      <c r="B257" s="32"/>
      <c r="C257" s="50" t="str">
        <f>IF(B257="","",VLOOKUP(B257,'Product Master'!$B:$G,2,FALSE))</f>
        <v/>
      </c>
      <c r="D257" s="50" t="str">
        <f>IF(B257="","",VLOOKUP(B257,'Product Master'!$B:$G,3,FALSE))</f>
        <v/>
      </c>
      <c r="E257" s="50"/>
      <c r="F257" s="50">
        <f>SUMIF('Stock Purchase'!$D:$D,B257,'Stock Purchase'!$F:$F)</f>
        <v>0</v>
      </c>
      <c r="G257" s="50">
        <f>SUMIFS('Stock Adjustment'!$E:$E,'Stock Adjustment'!$B:$B,$A257,'Stock Adjustment'!$D:$D,"Customer Returned")</f>
        <v>0</v>
      </c>
      <c r="H257" s="50">
        <f>SUMIF('Daily Sales Entry'!$D:$D,B257,'Daily Sales Entry'!$G:$G)</f>
        <v>0</v>
      </c>
      <c r="I257" s="50">
        <f>SUMIFS('Stock Adjustment'!$E:$E,'Stock Adjustment'!$B:$B,$A257,'Stock Adjustment'!$D:$D,"Staff Consumption")</f>
        <v>0</v>
      </c>
      <c r="J257" s="50">
        <f>SUMIFS('Stock Adjustment'!$E:$E,'Stock Adjustment'!$B:$B,$A257,'Stock Adjustment'!$D:$D,"Damaged")</f>
        <v>0</v>
      </c>
      <c r="K257" s="50">
        <f>SUMIFS('Stock Adjustment'!$E:$E,'Stock Adjustment'!$B:$B,$A257,'Stock Adjustment'!$D:$D,"Expired")</f>
        <v>0</v>
      </c>
      <c r="L257" s="50">
        <f>SUMIFS('Stock Adjustment'!$E:$E,'Stock Adjustment'!$B:$B,$A257,'Stock Adjustment'!$D:$D,"Supplier Returned")</f>
        <v>0</v>
      </c>
      <c r="M2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7" s="53" t="str">
        <f>IF(B257="","",VLOOKUP(B257,'Product Master'!$B:$G,4,FALSE))</f>
        <v/>
      </c>
      <c r="O257" s="53" t="str">
        <f>IF(B257="","",VLOOKUP(B257,'Product Master'!$B:$G,5,FALSE))</f>
        <v/>
      </c>
      <c r="P257" s="50" t="str">
        <f>IF(B257="","",VLOOKUP(B257,'Product Master'!$B:$I,7,FALSE))</f>
        <v/>
      </c>
      <c r="Q257" s="158"/>
      <c r="R257" s="58" t="str">
        <f t="shared" si="3"/>
        <v/>
      </c>
      <c r="S257" s="25"/>
      <c r="T257" s="25"/>
      <c r="U257" s="25"/>
      <c r="V257" s="25"/>
      <c r="W257" s="25"/>
      <c r="X257" s="25"/>
    </row>
    <row r="258" spans="1:24" x14ac:dyDescent="0.25">
      <c r="A258" s="31" t="s">
        <v>818</v>
      </c>
      <c r="B258" s="32"/>
      <c r="C258" s="50" t="str">
        <f>IF(B258="","",VLOOKUP(B258,'Product Master'!$B:$G,2,FALSE))</f>
        <v/>
      </c>
      <c r="D258" s="50" t="str">
        <f>IF(B258="","",VLOOKUP(B258,'Product Master'!$B:$G,3,FALSE))</f>
        <v/>
      </c>
      <c r="E258" s="50"/>
      <c r="F258" s="50">
        <f>SUMIF('Stock Purchase'!$D:$D,B258,'Stock Purchase'!$F:$F)</f>
        <v>0</v>
      </c>
      <c r="G258" s="50">
        <f>SUMIFS('Stock Adjustment'!$E:$E,'Stock Adjustment'!$B:$B,$A258,'Stock Adjustment'!$D:$D,"Customer Returned")</f>
        <v>0</v>
      </c>
      <c r="H258" s="50">
        <f>SUMIF('Daily Sales Entry'!$D:$D,B258,'Daily Sales Entry'!$G:$G)</f>
        <v>0</v>
      </c>
      <c r="I258" s="50">
        <f>SUMIFS('Stock Adjustment'!$E:$E,'Stock Adjustment'!$B:$B,$A258,'Stock Adjustment'!$D:$D,"Staff Consumption")</f>
        <v>0</v>
      </c>
      <c r="J258" s="50">
        <f>SUMIFS('Stock Adjustment'!$E:$E,'Stock Adjustment'!$B:$B,$A258,'Stock Adjustment'!$D:$D,"Damaged")</f>
        <v>0</v>
      </c>
      <c r="K258" s="50">
        <f>SUMIFS('Stock Adjustment'!$E:$E,'Stock Adjustment'!$B:$B,$A258,'Stock Adjustment'!$D:$D,"Expired")</f>
        <v>0</v>
      </c>
      <c r="L258" s="50">
        <f>SUMIFS('Stock Adjustment'!$E:$E,'Stock Adjustment'!$B:$B,$A258,'Stock Adjustment'!$D:$D,"Supplier Returned")</f>
        <v>0</v>
      </c>
      <c r="M2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8" s="53" t="str">
        <f>IF(B258="","",VLOOKUP(B258,'Product Master'!$B:$G,4,FALSE))</f>
        <v/>
      </c>
      <c r="O258" s="53" t="str">
        <f>IF(B258="","",VLOOKUP(B258,'Product Master'!$B:$G,5,FALSE))</f>
        <v/>
      </c>
      <c r="P258" s="50" t="str">
        <f>IF(B258="","",VLOOKUP(B258,'Product Master'!$B:$I,7,FALSE))</f>
        <v/>
      </c>
      <c r="Q258" s="158"/>
      <c r="R258" s="58" t="str">
        <f t="shared" ref="R258:R321" si="4">IF(B258="","",IF(M258=0,"Out of Stock",IF(M258&lt;=10,"Low Stock","In Stock")))</f>
        <v/>
      </c>
      <c r="S258" s="25"/>
      <c r="T258" s="25"/>
      <c r="U258" s="25"/>
      <c r="V258" s="25"/>
      <c r="W258" s="25"/>
      <c r="X258" s="25"/>
    </row>
    <row r="259" spans="1:24" x14ac:dyDescent="0.25">
      <c r="A259" s="31" t="s">
        <v>819</v>
      </c>
      <c r="B259" s="32"/>
      <c r="C259" s="50" t="str">
        <f>IF(B259="","",VLOOKUP(B259,'Product Master'!$B:$G,2,FALSE))</f>
        <v/>
      </c>
      <c r="D259" s="50" t="str">
        <f>IF(B259="","",VLOOKUP(B259,'Product Master'!$B:$G,3,FALSE))</f>
        <v/>
      </c>
      <c r="E259" s="50"/>
      <c r="F259" s="50">
        <f>SUMIF('Stock Purchase'!$D:$D,B259,'Stock Purchase'!$F:$F)</f>
        <v>0</v>
      </c>
      <c r="G259" s="50">
        <f>SUMIFS('Stock Adjustment'!$E:$E,'Stock Adjustment'!$B:$B,$A259,'Stock Adjustment'!$D:$D,"Customer Returned")</f>
        <v>0</v>
      </c>
      <c r="H259" s="50">
        <f>SUMIF('Daily Sales Entry'!$D:$D,B259,'Daily Sales Entry'!$G:$G)</f>
        <v>0</v>
      </c>
      <c r="I259" s="50">
        <f>SUMIFS('Stock Adjustment'!$E:$E,'Stock Adjustment'!$B:$B,$A259,'Stock Adjustment'!$D:$D,"Staff Consumption")</f>
        <v>0</v>
      </c>
      <c r="J259" s="50">
        <f>SUMIFS('Stock Adjustment'!$E:$E,'Stock Adjustment'!$B:$B,$A259,'Stock Adjustment'!$D:$D,"Damaged")</f>
        <v>0</v>
      </c>
      <c r="K259" s="50">
        <f>SUMIFS('Stock Adjustment'!$E:$E,'Stock Adjustment'!$B:$B,$A259,'Stock Adjustment'!$D:$D,"Expired")</f>
        <v>0</v>
      </c>
      <c r="L259" s="50">
        <f>SUMIFS('Stock Adjustment'!$E:$E,'Stock Adjustment'!$B:$B,$A259,'Stock Adjustment'!$D:$D,"Supplier Returned")</f>
        <v>0</v>
      </c>
      <c r="M2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59" s="53" t="str">
        <f>IF(B259="","",VLOOKUP(B259,'Product Master'!$B:$G,4,FALSE))</f>
        <v/>
      </c>
      <c r="O259" s="53" t="str">
        <f>IF(B259="","",VLOOKUP(B259,'Product Master'!$B:$G,5,FALSE))</f>
        <v/>
      </c>
      <c r="P259" s="50" t="str">
        <f>IF(B259="","",VLOOKUP(B259,'Product Master'!$B:$I,7,FALSE))</f>
        <v/>
      </c>
      <c r="Q259" s="158"/>
      <c r="R259" s="58" t="str">
        <f t="shared" si="4"/>
        <v/>
      </c>
      <c r="S259" s="25"/>
      <c r="T259" s="25"/>
      <c r="U259" s="25"/>
      <c r="V259" s="25"/>
      <c r="W259" s="25"/>
      <c r="X259" s="25"/>
    </row>
    <row r="260" spans="1:24" x14ac:dyDescent="0.25">
      <c r="A260" s="31" t="s">
        <v>820</v>
      </c>
      <c r="B260" s="32"/>
      <c r="C260" s="50" t="str">
        <f>IF(B260="","",VLOOKUP(B260,'Product Master'!$B:$G,2,FALSE))</f>
        <v/>
      </c>
      <c r="D260" s="50" t="str">
        <f>IF(B260="","",VLOOKUP(B260,'Product Master'!$B:$G,3,FALSE))</f>
        <v/>
      </c>
      <c r="E260" s="50"/>
      <c r="F260" s="50">
        <f>SUMIF('Stock Purchase'!$D:$D,B260,'Stock Purchase'!$F:$F)</f>
        <v>0</v>
      </c>
      <c r="G260" s="50">
        <f>SUMIFS('Stock Adjustment'!$E:$E,'Stock Adjustment'!$B:$B,$A260,'Stock Adjustment'!$D:$D,"Customer Returned")</f>
        <v>0</v>
      </c>
      <c r="H260" s="50">
        <f>SUMIF('Daily Sales Entry'!$D:$D,B260,'Daily Sales Entry'!$G:$G)</f>
        <v>0</v>
      </c>
      <c r="I260" s="50">
        <f>SUMIFS('Stock Adjustment'!$E:$E,'Stock Adjustment'!$B:$B,$A260,'Stock Adjustment'!$D:$D,"Staff Consumption")</f>
        <v>0</v>
      </c>
      <c r="J260" s="50">
        <f>SUMIFS('Stock Adjustment'!$E:$E,'Stock Adjustment'!$B:$B,$A260,'Stock Adjustment'!$D:$D,"Damaged")</f>
        <v>0</v>
      </c>
      <c r="K260" s="50">
        <f>SUMIFS('Stock Adjustment'!$E:$E,'Stock Adjustment'!$B:$B,$A260,'Stock Adjustment'!$D:$D,"Expired")</f>
        <v>0</v>
      </c>
      <c r="L260" s="50">
        <f>SUMIFS('Stock Adjustment'!$E:$E,'Stock Adjustment'!$B:$B,$A260,'Stock Adjustment'!$D:$D,"Supplier Returned")</f>
        <v>0</v>
      </c>
      <c r="M2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0" s="53" t="str">
        <f>IF(B260="","",VLOOKUP(B260,'Product Master'!$B:$G,4,FALSE))</f>
        <v/>
      </c>
      <c r="O260" s="53" t="str">
        <f>IF(B260="","",VLOOKUP(B260,'Product Master'!$B:$G,5,FALSE))</f>
        <v/>
      </c>
      <c r="P260" s="50" t="str">
        <f>IF(B260="","",VLOOKUP(B260,'Product Master'!$B:$I,7,FALSE))</f>
        <v/>
      </c>
      <c r="Q260" s="158"/>
      <c r="R260" s="58" t="str">
        <f t="shared" si="4"/>
        <v/>
      </c>
      <c r="S260" s="25"/>
      <c r="T260" s="25"/>
      <c r="U260" s="25"/>
      <c r="V260" s="25"/>
      <c r="W260" s="25"/>
      <c r="X260" s="25"/>
    </row>
    <row r="261" spans="1:24" x14ac:dyDescent="0.25">
      <c r="A261" s="31" t="s">
        <v>821</v>
      </c>
      <c r="B261" s="32"/>
      <c r="C261" s="50" t="str">
        <f>IF(B261="","",VLOOKUP(B261,'Product Master'!$B:$G,2,FALSE))</f>
        <v/>
      </c>
      <c r="D261" s="50" t="str">
        <f>IF(B261="","",VLOOKUP(B261,'Product Master'!$B:$G,3,FALSE))</f>
        <v/>
      </c>
      <c r="E261" s="50"/>
      <c r="F261" s="50">
        <f>SUMIF('Stock Purchase'!$D:$D,B261,'Stock Purchase'!$F:$F)</f>
        <v>0</v>
      </c>
      <c r="G261" s="50">
        <f>SUMIFS('Stock Adjustment'!$E:$E,'Stock Adjustment'!$B:$B,$A261,'Stock Adjustment'!$D:$D,"Customer Returned")</f>
        <v>0</v>
      </c>
      <c r="H261" s="50">
        <f>SUMIF('Daily Sales Entry'!$D:$D,B261,'Daily Sales Entry'!$G:$G)</f>
        <v>0</v>
      </c>
      <c r="I261" s="50">
        <f>SUMIFS('Stock Adjustment'!$E:$E,'Stock Adjustment'!$B:$B,$A261,'Stock Adjustment'!$D:$D,"Staff Consumption")</f>
        <v>0</v>
      </c>
      <c r="J261" s="50">
        <f>SUMIFS('Stock Adjustment'!$E:$E,'Stock Adjustment'!$B:$B,$A261,'Stock Adjustment'!$D:$D,"Damaged")</f>
        <v>0</v>
      </c>
      <c r="K261" s="50">
        <f>SUMIFS('Stock Adjustment'!$E:$E,'Stock Adjustment'!$B:$B,$A261,'Stock Adjustment'!$D:$D,"Expired")</f>
        <v>0</v>
      </c>
      <c r="L261" s="50">
        <f>SUMIFS('Stock Adjustment'!$E:$E,'Stock Adjustment'!$B:$B,$A261,'Stock Adjustment'!$D:$D,"Supplier Returned")</f>
        <v>0</v>
      </c>
      <c r="M2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1" s="53" t="str">
        <f>IF(B261="","",VLOOKUP(B261,'Product Master'!$B:$G,4,FALSE))</f>
        <v/>
      </c>
      <c r="O261" s="53" t="str">
        <f>IF(B261="","",VLOOKUP(B261,'Product Master'!$B:$G,5,FALSE))</f>
        <v/>
      </c>
      <c r="P261" s="50" t="str">
        <f>IF(B261="","",VLOOKUP(B261,'Product Master'!$B:$I,7,FALSE))</f>
        <v/>
      </c>
      <c r="Q261" s="158"/>
      <c r="R261" s="58" t="str">
        <f t="shared" si="4"/>
        <v/>
      </c>
      <c r="S261" s="25"/>
      <c r="T261" s="25"/>
      <c r="U261" s="25"/>
      <c r="V261" s="25"/>
      <c r="W261" s="25"/>
      <c r="X261" s="25"/>
    </row>
    <row r="262" spans="1:24" x14ac:dyDescent="0.25">
      <c r="A262" s="31" t="s">
        <v>822</v>
      </c>
      <c r="B262" s="32"/>
      <c r="C262" s="50" t="str">
        <f>IF(B262="","",VLOOKUP(B262,'Product Master'!$B:$G,2,FALSE))</f>
        <v/>
      </c>
      <c r="D262" s="50" t="str">
        <f>IF(B262="","",VLOOKUP(B262,'Product Master'!$B:$G,3,FALSE))</f>
        <v/>
      </c>
      <c r="E262" s="50"/>
      <c r="F262" s="50">
        <f>SUMIF('Stock Purchase'!$D:$D,B262,'Stock Purchase'!$F:$F)</f>
        <v>0</v>
      </c>
      <c r="G262" s="50">
        <f>SUMIFS('Stock Adjustment'!$E:$E,'Stock Adjustment'!$B:$B,$A262,'Stock Adjustment'!$D:$D,"Customer Returned")</f>
        <v>0</v>
      </c>
      <c r="H262" s="50">
        <f>SUMIF('Daily Sales Entry'!$D:$D,B262,'Daily Sales Entry'!$G:$G)</f>
        <v>0</v>
      </c>
      <c r="I262" s="50">
        <f>SUMIFS('Stock Adjustment'!$E:$E,'Stock Adjustment'!$B:$B,$A262,'Stock Adjustment'!$D:$D,"Staff Consumption")</f>
        <v>0</v>
      </c>
      <c r="J262" s="50">
        <f>SUMIFS('Stock Adjustment'!$E:$E,'Stock Adjustment'!$B:$B,$A262,'Stock Adjustment'!$D:$D,"Damaged")</f>
        <v>0</v>
      </c>
      <c r="K262" s="50">
        <f>SUMIFS('Stock Adjustment'!$E:$E,'Stock Adjustment'!$B:$B,$A262,'Stock Adjustment'!$D:$D,"Expired")</f>
        <v>0</v>
      </c>
      <c r="L262" s="50">
        <f>SUMIFS('Stock Adjustment'!$E:$E,'Stock Adjustment'!$B:$B,$A262,'Stock Adjustment'!$D:$D,"Supplier Returned")</f>
        <v>0</v>
      </c>
      <c r="M2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2" s="53" t="str">
        <f>IF(B262="","",VLOOKUP(B262,'Product Master'!$B:$G,4,FALSE))</f>
        <v/>
      </c>
      <c r="O262" s="53" t="str">
        <f>IF(B262="","",VLOOKUP(B262,'Product Master'!$B:$G,5,FALSE))</f>
        <v/>
      </c>
      <c r="P262" s="50" t="str">
        <f>IF(B262="","",VLOOKUP(B262,'Product Master'!$B:$I,7,FALSE))</f>
        <v/>
      </c>
      <c r="Q262" s="158"/>
      <c r="R262" s="58" t="str">
        <f t="shared" si="4"/>
        <v/>
      </c>
      <c r="S262" s="25"/>
      <c r="T262" s="25"/>
      <c r="U262" s="25"/>
      <c r="V262" s="25"/>
      <c r="W262" s="25"/>
      <c r="X262" s="25"/>
    </row>
    <row r="263" spans="1:24" x14ac:dyDescent="0.25">
      <c r="A263" s="31" t="s">
        <v>823</v>
      </c>
      <c r="B263" s="32"/>
      <c r="C263" s="50" t="str">
        <f>IF(B263="","",VLOOKUP(B263,'Product Master'!$B:$G,2,FALSE))</f>
        <v/>
      </c>
      <c r="D263" s="50" t="str">
        <f>IF(B263="","",VLOOKUP(B263,'Product Master'!$B:$G,3,FALSE))</f>
        <v/>
      </c>
      <c r="E263" s="50"/>
      <c r="F263" s="50">
        <f>SUMIF('Stock Purchase'!$D:$D,B263,'Stock Purchase'!$F:$F)</f>
        <v>0</v>
      </c>
      <c r="G263" s="50">
        <f>SUMIFS('Stock Adjustment'!$E:$E,'Stock Adjustment'!$B:$B,$A263,'Stock Adjustment'!$D:$D,"Customer Returned")</f>
        <v>0</v>
      </c>
      <c r="H263" s="50">
        <f>SUMIF('Daily Sales Entry'!$D:$D,B263,'Daily Sales Entry'!$G:$G)</f>
        <v>0</v>
      </c>
      <c r="I263" s="50">
        <f>SUMIFS('Stock Adjustment'!$E:$E,'Stock Adjustment'!$B:$B,$A263,'Stock Adjustment'!$D:$D,"Staff Consumption")</f>
        <v>0</v>
      </c>
      <c r="J263" s="50">
        <f>SUMIFS('Stock Adjustment'!$E:$E,'Stock Adjustment'!$B:$B,$A263,'Stock Adjustment'!$D:$D,"Damaged")</f>
        <v>0</v>
      </c>
      <c r="K263" s="50">
        <f>SUMIFS('Stock Adjustment'!$E:$E,'Stock Adjustment'!$B:$B,$A263,'Stock Adjustment'!$D:$D,"Expired")</f>
        <v>0</v>
      </c>
      <c r="L263" s="50">
        <f>SUMIFS('Stock Adjustment'!$E:$E,'Stock Adjustment'!$B:$B,$A263,'Stock Adjustment'!$D:$D,"Supplier Returned")</f>
        <v>0</v>
      </c>
      <c r="M2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3" s="53" t="str">
        <f>IF(B263="","",VLOOKUP(B263,'Product Master'!$B:$G,4,FALSE))</f>
        <v/>
      </c>
      <c r="O263" s="53" t="str">
        <f>IF(B263="","",VLOOKUP(B263,'Product Master'!$B:$G,5,FALSE))</f>
        <v/>
      </c>
      <c r="P263" s="50" t="str">
        <f>IF(B263="","",VLOOKUP(B263,'Product Master'!$B:$I,7,FALSE))</f>
        <v/>
      </c>
      <c r="Q263" s="158"/>
      <c r="R263" s="58" t="str">
        <f t="shared" si="4"/>
        <v/>
      </c>
      <c r="S263" s="25"/>
      <c r="T263" s="25"/>
      <c r="U263" s="25"/>
      <c r="V263" s="25"/>
      <c r="W263" s="25"/>
      <c r="X263" s="25"/>
    </row>
    <row r="264" spans="1:24" x14ac:dyDescent="0.25">
      <c r="A264" s="31" t="s">
        <v>824</v>
      </c>
      <c r="B264" s="32"/>
      <c r="C264" s="50" t="str">
        <f>IF(B264="","",VLOOKUP(B264,'Product Master'!$B:$G,2,FALSE))</f>
        <v/>
      </c>
      <c r="D264" s="50" t="str">
        <f>IF(B264="","",VLOOKUP(B264,'Product Master'!$B:$G,3,FALSE))</f>
        <v/>
      </c>
      <c r="E264" s="50"/>
      <c r="F264" s="50">
        <f>SUMIF('Stock Purchase'!$D:$D,B264,'Stock Purchase'!$F:$F)</f>
        <v>0</v>
      </c>
      <c r="G264" s="50">
        <f>SUMIFS('Stock Adjustment'!$E:$E,'Stock Adjustment'!$B:$B,$A264,'Stock Adjustment'!$D:$D,"Customer Returned")</f>
        <v>0</v>
      </c>
      <c r="H264" s="50">
        <f>SUMIF('Daily Sales Entry'!$D:$D,B264,'Daily Sales Entry'!$G:$G)</f>
        <v>0</v>
      </c>
      <c r="I264" s="50">
        <f>SUMIFS('Stock Adjustment'!$E:$E,'Stock Adjustment'!$B:$B,$A264,'Stock Adjustment'!$D:$D,"Staff Consumption")</f>
        <v>0</v>
      </c>
      <c r="J264" s="50">
        <f>SUMIFS('Stock Adjustment'!$E:$E,'Stock Adjustment'!$B:$B,$A264,'Stock Adjustment'!$D:$D,"Damaged")</f>
        <v>0</v>
      </c>
      <c r="K264" s="50">
        <f>SUMIFS('Stock Adjustment'!$E:$E,'Stock Adjustment'!$B:$B,$A264,'Stock Adjustment'!$D:$D,"Expired")</f>
        <v>0</v>
      </c>
      <c r="L264" s="50">
        <f>SUMIFS('Stock Adjustment'!$E:$E,'Stock Adjustment'!$B:$B,$A264,'Stock Adjustment'!$D:$D,"Supplier Returned")</f>
        <v>0</v>
      </c>
      <c r="M2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4" s="53" t="str">
        <f>IF(B264="","",VLOOKUP(B264,'Product Master'!$B:$G,4,FALSE))</f>
        <v/>
      </c>
      <c r="O264" s="53" t="str">
        <f>IF(B264="","",VLOOKUP(B264,'Product Master'!$B:$G,5,FALSE))</f>
        <v/>
      </c>
      <c r="P264" s="50" t="str">
        <f>IF(B264="","",VLOOKUP(B264,'Product Master'!$B:$I,7,FALSE))</f>
        <v/>
      </c>
      <c r="Q264" s="158"/>
      <c r="R264" s="58" t="str">
        <f t="shared" si="4"/>
        <v/>
      </c>
      <c r="S264" s="25"/>
      <c r="T264" s="25"/>
      <c r="U264" s="25"/>
      <c r="V264" s="25"/>
      <c r="W264" s="25"/>
      <c r="X264" s="25"/>
    </row>
    <row r="265" spans="1:24" x14ac:dyDescent="0.25">
      <c r="A265" s="31" t="s">
        <v>825</v>
      </c>
      <c r="B265" s="32"/>
      <c r="C265" s="50" t="str">
        <f>IF(B265="","",VLOOKUP(B265,'Product Master'!$B:$G,2,FALSE))</f>
        <v/>
      </c>
      <c r="D265" s="50" t="str">
        <f>IF(B265="","",VLOOKUP(B265,'Product Master'!$B:$G,3,FALSE))</f>
        <v/>
      </c>
      <c r="E265" s="50"/>
      <c r="F265" s="50">
        <f>SUMIF('Stock Purchase'!$D:$D,B265,'Stock Purchase'!$F:$F)</f>
        <v>0</v>
      </c>
      <c r="G265" s="50">
        <f>SUMIFS('Stock Adjustment'!$E:$E,'Stock Adjustment'!$B:$B,$A265,'Stock Adjustment'!$D:$D,"Customer Returned")</f>
        <v>0</v>
      </c>
      <c r="H265" s="50">
        <f>SUMIF('Daily Sales Entry'!$D:$D,B265,'Daily Sales Entry'!$G:$G)</f>
        <v>0</v>
      </c>
      <c r="I265" s="50">
        <f>SUMIFS('Stock Adjustment'!$E:$E,'Stock Adjustment'!$B:$B,$A265,'Stock Adjustment'!$D:$D,"Staff Consumption")</f>
        <v>0</v>
      </c>
      <c r="J265" s="50">
        <f>SUMIFS('Stock Adjustment'!$E:$E,'Stock Adjustment'!$B:$B,$A265,'Stock Adjustment'!$D:$D,"Damaged")</f>
        <v>0</v>
      </c>
      <c r="K265" s="50">
        <f>SUMIFS('Stock Adjustment'!$E:$E,'Stock Adjustment'!$B:$B,$A265,'Stock Adjustment'!$D:$D,"Expired")</f>
        <v>0</v>
      </c>
      <c r="L265" s="50">
        <f>SUMIFS('Stock Adjustment'!$E:$E,'Stock Adjustment'!$B:$B,$A265,'Stock Adjustment'!$D:$D,"Supplier Returned")</f>
        <v>0</v>
      </c>
      <c r="M2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5" s="53" t="str">
        <f>IF(B265="","",VLOOKUP(B265,'Product Master'!$B:$G,4,FALSE))</f>
        <v/>
      </c>
      <c r="O265" s="53" t="str">
        <f>IF(B265="","",VLOOKUP(B265,'Product Master'!$B:$G,5,FALSE))</f>
        <v/>
      </c>
      <c r="P265" s="50" t="str">
        <f>IF(B265="","",VLOOKUP(B265,'Product Master'!$B:$I,7,FALSE))</f>
        <v/>
      </c>
      <c r="Q265" s="158"/>
      <c r="R265" s="58" t="str">
        <f t="shared" si="4"/>
        <v/>
      </c>
      <c r="S265" s="25"/>
      <c r="T265" s="25"/>
      <c r="U265" s="25"/>
      <c r="V265" s="25"/>
      <c r="W265" s="25"/>
      <c r="X265" s="25"/>
    </row>
    <row r="266" spans="1:24" x14ac:dyDescent="0.25">
      <c r="A266" s="31" t="s">
        <v>826</v>
      </c>
      <c r="B266" s="32"/>
      <c r="C266" s="50" t="str">
        <f>IF(B266="","",VLOOKUP(B266,'Product Master'!$B:$G,2,FALSE))</f>
        <v/>
      </c>
      <c r="D266" s="50" t="str">
        <f>IF(B266="","",VLOOKUP(B266,'Product Master'!$B:$G,3,FALSE))</f>
        <v/>
      </c>
      <c r="E266" s="50"/>
      <c r="F266" s="50">
        <f>SUMIF('Stock Purchase'!$D:$D,B266,'Stock Purchase'!$F:$F)</f>
        <v>0</v>
      </c>
      <c r="G266" s="50">
        <f>SUMIFS('Stock Adjustment'!$E:$E,'Stock Adjustment'!$B:$B,$A266,'Stock Adjustment'!$D:$D,"Customer Returned")</f>
        <v>0</v>
      </c>
      <c r="H266" s="50">
        <f>SUMIF('Daily Sales Entry'!$D:$D,B266,'Daily Sales Entry'!$G:$G)</f>
        <v>0</v>
      </c>
      <c r="I266" s="50">
        <f>SUMIFS('Stock Adjustment'!$E:$E,'Stock Adjustment'!$B:$B,$A266,'Stock Adjustment'!$D:$D,"Staff Consumption")</f>
        <v>0</v>
      </c>
      <c r="J266" s="50">
        <f>SUMIFS('Stock Adjustment'!$E:$E,'Stock Adjustment'!$B:$B,$A266,'Stock Adjustment'!$D:$D,"Damaged")</f>
        <v>0</v>
      </c>
      <c r="K266" s="50">
        <f>SUMIFS('Stock Adjustment'!$E:$E,'Stock Adjustment'!$B:$B,$A266,'Stock Adjustment'!$D:$D,"Expired")</f>
        <v>0</v>
      </c>
      <c r="L266" s="50">
        <f>SUMIFS('Stock Adjustment'!$E:$E,'Stock Adjustment'!$B:$B,$A266,'Stock Adjustment'!$D:$D,"Supplier Returned")</f>
        <v>0</v>
      </c>
      <c r="M2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6" s="53" t="str">
        <f>IF(B266="","",VLOOKUP(B266,'Product Master'!$B:$G,4,FALSE))</f>
        <v/>
      </c>
      <c r="O266" s="53" t="str">
        <f>IF(B266="","",VLOOKUP(B266,'Product Master'!$B:$G,5,FALSE))</f>
        <v/>
      </c>
      <c r="P266" s="50" t="str">
        <f>IF(B266="","",VLOOKUP(B266,'Product Master'!$B:$I,7,FALSE))</f>
        <v/>
      </c>
      <c r="Q266" s="158"/>
      <c r="R266" s="58" t="str">
        <f t="shared" si="4"/>
        <v/>
      </c>
      <c r="S266" s="25"/>
      <c r="T266" s="25"/>
      <c r="U266" s="25"/>
      <c r="V266" s="25"/>
      <c r="W266" s="25"/>
      <c r="X266" s="25"/>
    </row>
    <row r="267" spans="1:24" x14ac:dyDescent="0.25">
      <c r="A267" s="31" t="s">
        <v>827</v>
      </c>
      <c r="B267" s="32"/>
      <c r="C267" s="50" t="str">
        <f>IF(B267="","",VLOOKUP(B267,'Product Master'!$B:$G,2,FALSE))</f>
        <v/>
      </c>
      <c r="D267" s="50" t="str">
        <f>IF(B267="","",VLOOKUP(B267,'Product Master'!$B:$G,3,FALSE))</f>
        <v/>
      </c>
      <c r="E267" s="50"/>
      <c r="F267" s="50">
        <f>SUMIF('Stock Purchase'!$D:$D,B267,'Stock Purchase'!$F:$F)</f>
        <v>0</v>
      </c>
      <c r="G267" s="50">
        <f>SUMIFS('Stock Adjustment'!$E:$E,'Stock Adjustment'!$B:$B,$A267,'Stock Adjustment'!$D:$D,"Customer Returned")</f>
        <v>0</v>
      </c>
      <c r="H267" s="50">
        <f>SUMIF('Daily Sales Entry'!$D:$D,B267,'Daily Sales Entry'!$G:$G)</f>
        <v>0</v>
      </c>
      <c r="I267" s="50">
        <f>SUMIFS('Stock Adjustment'!$E:$E,'Stock Adjustment'!$B:$B,$A267,'Stock Adjustment'!$D:$D,"Staff Consumption")</f>
        <v>0</v>
      </c>
      <c r="J267" s="50">
        <f>SUMIFS('Stock Adjustment'!$E:$E,'Stock Adjustment'!$B:$B,$A267,'Stock Adjustment'!$D:$D,"Damaged")</f>
        <v>0</v>
      </c>
      <c r="K267" s="50">
        <f>SUMIFS('Stock Adjustment'!$E:$E,'Stock Adjustment'!$B:$B,$A267,'Stock Adjustment'!$D:$D,"Expired")</f>
        <v>0</v>
      </c>
      <c r="L267" s="50">
        <f>SUMIFS('Stock Adjustment'!$E:$E,'Stock Adjustment'!$B:$B,$A267,'Stock Adjustment'!$D:$D,"Supplier Returned")</f>
        <v>0</v>
      </c>
      <c r="M2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7" s="53" t="str">
        <f>IF(B267="","",VLOOKUP(B267,'Product Master'!$B:$G,4,FALSE))</f>
        <v/>
      </c>
      <c r="O267" s="53" t="str">
        <f>IF(B267="","",VLOOKUP(B267,'Product Master'!$B:$G,5,FALSE))</f>
        <v/>
      </c>
      <c r="P267" s="50" t="str">
        <f>IF(B267="","",VLOOKUP(B267,'Product Master'!$B:$I,7,FALSE))</f>
        <v/>
      </c>
      <c r="Q267" s="158"/>
      <c r="R267" s="58" t="str">
        <f t="shared" si="4"/>
        <v/>
      </c>
      <c r="S267" s="25"/>
      <c r="T267" s="25"/>
      <c r="U267" s="25"/>
      <c r="V267" s="25"/>
      <c r="W267" s="25"/>
      <c r="X267" s="25"/>
    </row>
    <row r="268" spans="1:24" x14ac:dyDescent="0.25">
      <c r="A268" s="31" t="s">
        <v>828</v>
      </c>
      <c r="B268" s="32"/>
      <c r="C268" s="50" t="str">
        <f>IF(B268="","",VLOOKUP(B268,'Product Master'!$B:$G,2,FALSE))</f>
        <v/>
      </c>
      <c r="D268" s="50" t="str">
        <f>IF(B268="","",VLOOKUP(B268,'Product Master'!$B:$G,3,FALSE))</f>
        <v/>
      </c>
      <c r="E268" s="50"/>
      <c r="F268" s="50">
        <f>SUMIF('Stock Purchase'!$D:$D,B268,'Stock Purchase'!$F:$F)</f>
        <v>0</v>
      </c>
      <c r="G268" s="50">
        <f>SUMIFS('Stock Adjustment'!$E:$E,'Stock Adjustment'!$B:$B,$A268,'Stock Adjustment'!$D:$D,"Customer Returned")</f>
        <v>0</v>
      </c>
      <c r="H268" s="50">
        <f>SUMIF('Daily Sales Entry'!$D:$D,B268,'Daily Sales Entry'!$G:$G)</f>
        <v>0</v>
      </c>
      <c r="I268" s="50">
        <f>SUMIFS('Stock Adjustment'!$E:$E,'Stock Adjustment'!$B:$B,$A268,'Stock Adjustment'!$D:$D,"Staff Consumption")</f>
        <v>0</v>
      </c>
      <c r="J268" s="50">
        <f>SUMIFS('Stock Adjustment'!$E:$E,'Stock Adjustment'!$B:$B,$A268,'Stock Adjustment'!$D:$D,"Damaged")</f>
        <v>0</v>
      </c>
      <c r="K268" s="50">
        <f>SUMIFS('Stock Adjustment'!$E:$E,'Stock Adjustment'!$B:$B,$A268,'Stock Adjustment'!$D:$D,"Expired")</f>
        <v>0</v>
      </c>
      <c r="L268" s="50">
        <f>SUMIFS('Stock Adjustment'!$E:$E,'Stock Adjustment'!$B:$B,$A268,'Stock Adjustment'!$D:$D,"Supplier Returned")</f>
        <v>0</v>
      </c>
      <c r="M2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8" s="53" t="str">
        <f>IF(B268="","",VLOOKUP(B268,'Product Master'!$B:$G,4,FALSE))</f>
        <v/>
      </c>
      <c r="O268" s="53" t="str">
        <f>IF(B268="","",VLOOKUP(B268,'Product Master'!$B:$G,5,FALSE))</f>
        <v/>
      </c>
      <c r="P268" s="50" t="str">
        <f>IF(B268="","",VLOOKUP(B268,'Product Master'!$B:$I,7,FALSE))</f>
        <v/>
      </c>
      <c r="Q268" s="158"/>
      <c r="R268" s="58" t="str">
        <f t="shared" si="4"/>
        <v/>
      </c>
      <c r="S268" s="25"/>
      <c r="T268" s="25"/>
      <c r="U268" s="25"/>
      <c r="V268" s="25"/>
      <c r="W268" s="25"/>
      <c r="X268" s="25"/>
    </row>
    <row r="269" spans="1:24" x14ac:dyDescent="0.25">
      <c r="A269" s="31" t="s">
        <v>829</v>
      </c>
      <c r="B269" s="32"/>
      <c r="C269" s="50" t="str">
        <f>IF(B269="","",VLOOKUP(B269,'Product Master'!$B:$G,2,FALSE))</f>
        <v/>
      </c>
      <c r="D269" s="50" t="str">
        <f>IF(B269="","",VLOOKUP(B269,'Product Master'!$B:$G,3,FALSE))</f>
        <v/>
      </c>
      <c r="E269" s="50"/>
      <c r="F269" s="50">
        <f>SUMIF('Stock Purchase'!$D:$D,B269,'Stock Purchase'!$F:$F)</f>
        <v>0</v>
      </c>
      <c r="G269" s="50">
        <f>SUMIFS('Stock Adjustment'!$E:$E,'Stock Adjustment'!$B:$B,$A269,'Stock Adjustment'!$D:$D,"Customer Returned")</f>
        <v>0</v>
      </c>
      <c r="H269" s="50">
        <f>SUMIF('Daily Sales Entry'!$D:$D,B269,'Daily Sales Entry'!$G:$G)</f>
        <v>0</v>
      </c>
      <c r="I269" s="50">
        <f>SUMIFS('Stock Adjustment'!$E:$E,'Stock Adjustment'!$B:$B,$A269,'Stock Adjustment'!$D:$D,"Staff Consumption")</f>
        <v>0</v>
      </c>
      <c r="J269" s="50">
        <f>SUMIFS('Stock Adjustment'!$E:$E,'Stock Adjustment'!$B:$B,$A269,'Stock Adjustment'!$D:$D,"Damaged")</f>
        <v>0</v>
      </c>
      <c r="K269" s="50">
        <f>SUMIFS('Stock Adjustment'!$E:$E,'Stock Adjustment'!$B:$B,$A269,'Stock Adjustment'!$D:$D,"Expired")</f>
        <v>0</v>
      </c>
      <c r="L269" s="50">
        <f>SUMIFS('Stock Adjustment'!$E:$E,'Stock Adjustment'!$B:$B,$A269,'Stock Adjustment'!$D:$D,"Supplier Returned")</f>
        <v>0</v>
      </c>
      <c r="M2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69" s="53" t="str">
        <f>IF(B269="","",VLOOKUP(B269,'Product Master'!$B:$G,4,FALSE))</f>
        <v/>
      </c>
      <c r="O269" s="53" t="str">
        <f>IF(B269="","",VLOOKUP(B269,'Product Master'!$B:$G,5,FALSE))</f>
        <v/>
      </c>
      <c r="P269" s="50" t="str">
        <f>IF(B269="","",VLOOKUP(B269,'Product Master'!$B:$I,7,FALSE))</f>
        <v/>
      </c>
      <c r="Q269" s="158"/>
      <c r="R269" s="58" t="str">
        <f t="shared" si="4"/>
        <v/>
      </c>
      <c r="S269" s="25"/>
      <c r="T269" s="25"/>
      <c r="U269" s="25"/>
      <c r="V269" s="25"/>
      <c r="W269" s="25"/>
      <c r="X269" s="25"/>
    </row>
    <row r="270" spans="1:24" x14ac:dyDescent="0.25">
      <c r="A270" s="31" t="s">
        <v>830</v>
      </c>
      <c r="B270" s="32"/>
      <c r="C270" s="50" t="str">
        <f>IF(B270="","",VLOOKUP(B270,'Product Master'!$B:$G,2,FALSE))</f>
        <v/>
      </c>
      <c r="D270" s="50" t="str">
        <f>IF(B270="","",VLOOKUP(B270,'Product Master'!$B:$G,3,FALSE))</f>
        <v/>
      </c>
      <c r="E270" s="50"/>
      <c r="F270" s="50">
        <f>SUMIF('Stock Purchase'!$D:$D,B270,'Stock Purchase'!$F:$F)</f>
        <v>0</v>
      </c>
      <c r="G270" s="50">
        <f>SUMIFS('Stock Adjustment'!$E:$E,'Stock Adjustment'!$B:$B,$A270,'Stock Adjustment'!$D:$D,"Customer Returned")</f>
        <v>0</v>
      </c>
      <c r="H270" s="50">
        <f>SUMIF('Daily Sales Entry'!$D:$D,B270,'Daily Sales Entry'!$G:$G)</f>
        <v>0</v>
      </c>
      <c r="I270" s="50">
        <f>SUMIFS('Stock Adjustment'!$E:$E,'Stock Adjustment'!$B:$B,$A270,'Stock Adjustment'!$D:$D,"Staff Consumption")</f>
        <v>0</v>
      </c>
      <c r="J270" s="50">
        <f>SUMIFS('Stock Adjustment'!$E:$E,'Stock Adjustment'!$B:$B,$A270,'Stock Adjustment'!$D:$D,"Damaged")</f>
        <v>0</v>
      </c>
      <c r="K270" s="50">
        <f>SUMIFS('Stock Adjustment'!$E:$E,'Stock Adjustment'!$B:$B,$A270,'Stock Adjustment'!$D:$D,"Expired")</f>
        <v>0</v>
      </c>
      <c r="L270" s="50">
        <f>SUMIFS('Stock Adjustment'!$E:$E,'Stock Adjustment'!$B:$B,$A270,'Stock Adjustment'!$D:$D,"Supplier Returned")</f>
        <v>0</v>
      </c>
      <c r="M2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0" s="53" t="str">
        <f>IF(B270="","",VLOOKUP(B270,'Product Master'!$B:$G,4,FALSE))</f>
        <v/>
      </c>
      <c r="O270" s="53" t="str">
        <f>IF(B270="","",VLOOKUP(B270,'Product Master'!$B:$G,5,FALSE))</f>
        <v/>
      </c>
      <c r="P270" s="50" t="str">
        <f>IF(B270="","",VLOOKUP(B270,'Product Master'!$B:$I,7,FALSE))</f>
        <v/>
      </c>
      <c r="Q270" s="158"/>
      <c r="R270" s="58" t="str">
        <f t="shared" si="4"/>
        <v/>
      </c>
      <c r="S270" s="25"/>
      <c r="T270" s="25"/>
      <c r="U270" s="25"/>
      <c r="V270" s="25"/>
      <c r="W270" s="25"/>
      <c r="X270" s="25"/>
    </row>
    <row r="271" spans="1:24" x14ac:dyDescent="0.25">
      <c r="A271" s="31" t="s">
        <v>831</v>
      </c>
      <c r="B271" s="32"/>
      <c r="C271" s="50" t="str">
        <f>IF(B271="","",VLOOKUP(B271,'Product Master'!$B:$G,2,FALSE))</f>
        <v/>
      </c>
      <c r="D271" s="50" t="str">
        <f>IF(B271="","",VLOOKUP(B271,'Product Master'!$B:$G,3,FALSE))</f>
        <v/>
      </c>
      <c r="E271" s="50"/>
      <c r="F271" s="50">
        <f>SUMIF('Stock Purchase'!$D:$D,B271,'Stock Purchase'!$F:$F)</f>
        <v>0</v>
      </c>
      <c r="G271" s="50">
        <f>SUMIFS('Stock Adjustment'!$E:$E,'Stock Adjustment'!$B:$B,$A271,'Stock Adjustment'!$D:$D,"Customer Returned")</f>
        <v>0</v>
      </c>
      <c r="H271" s="50">
        <f>SUMIF('Daily Sales Entry'!$D:$D,B271,'Daily Sales Entry'!$G:$G)</f>
        <v>0</v>
      </c>
      <c r="I271" s="50">
        <f>SUMIFS('Stock Adjustment'!$E:$E,'Stock Adjustment'!$B:$B,$A271,'Stock Adjustment'!$D:$D,"Staff Consumption")</f>
        <v>0</v>
      </c>
      <c r="J271" s="50">
        <f>SUMIFS('Stock Adjustment'!$E:$E,'Stock Adjustment'!$B:$B,$A271,'Stock Adjustment'!$D:$D,"Damaged")</f>
        <v>0</v>
      </c>
      <c r="K271" s="50">
        <f>SUMIFS('Stock Adjustment'!$E:$E,'Stock Adjustment'!$B:$B,$A271,'Stock Adjustment'!$D:$D,"Expired")</f>
        <v>0</v>
      </c>
      <c r="L271" s="50">
        <f>SUMIFS('Stock Adjustment'!$E:$E,'Stock Adjustment'!$B:$B,$A271,'Stock Adjustment'!$D:$D,"Supplier Returned")</f>
        <v>0</v>
      </c>
      <c r="M2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1" s="53" t="str">
        <f>IF(B271="","",VLOOKUP(B271,'Product Master'!$B:$G,4,FALSE))</f>
        <v/>
      </c>
      <c r="O271" s="53" t="str">
        <f>IF(B271="","",VLOOKUP(B271,'Product Master'!$B:$G,5,FALSE))</f>
        <v/>
      </c>
      <c r="P271" s="50" t="str">
        <f>IF(B271="","",VLOOKUP(B271,'Product Master'!$B:$I,7,FALSE))</f>
        <v/>
      </c>
      <c r="Q271" s="158"/>
      <c r="R271" s="58" t="str">
        <f t="shared" si="4"/>
        <v/>
      </c>
      <c r="S271" s="25"/>
      <c r="T271" s="25"/>
      <c r="U271" s="25"/>
      <c r="V271" s="25"/>
      <c r="W271" s="25"/>
      <c r="X271" s="25"/>
    </row>
    <row r="272" spans="1:24" x14ac:dyDescent="0.25">
      <c r="A272" s="31" t="s">
        <v>832</v>
      </c>
      <c r="B272" s="32"/>
      <c r="C272" s="50" t="str">
        <f>IF(B272="","",VLOOKUP(B272,'Product Master'!$B:$G,2,FALSE))</f>
        <v/>
      </c>
      <c r="D272" s="50" t="str">
        <f>IF(B272="","",VLOOKUP(B272,'Product Master'!$B:$G,3,FALSE))</f>
        <v/>
      </c>
      <c r="E272" s="50"/>
      <c r="F272" s="50">
        <f>SUMIF('Stock Purchase'!$D:$D,B272,'Stock Purchase'!$F:$F)</f>
        <v>0</v>
      </c>
      <c r="G272" s="50">
        <f>SUMIFS('Stock Adjustment'!$E:$E,'Stock Adjustment'!$B:$B,$A272,'Stock Adjustment'!$D:$D,"Customer Returned")</f>
        <v>0</v>
      </c>
      <c r="H272" s="50">
        <f>SUMIF('Daily Sales Entry'!$D:$D,B272,'Daily Sales Entry'!$G:$G)</f>
        <v>0</v>
      </c>
      <c r="I272" s="50">
        <f>SUMIFS('Stock Adjustment'!$E:$E,'Stock Adjustment'!$B:$B,$A272,'Stock Adjustment'!$D:$D,"Staff Consumption")</f>
        <v>0</v>
      </c>
      <c r="J272" s="50">
        <f>SUMIFS('Stock Adjustment'!$E:$E,'Stock Adjustment'!$B:$B,$A272,'Stock Adjustment'!$D:$D,"Damaged")</f>
        <v>0</v>
      </c>
      <c r="K272" s="50">
        <f>SUMIFS('Stock Adjustment'!$E:$E,'Stock Adjustment'!$B:$B,$A272,'Stock Adjustment'!$D:$D,"Expired")</f>
        <v>0</v>
      </c>
      <c r="L272" s="50">
        <f>SUMIFS('Stock Adjustment'!$E:$E,'Stock Adjustment'!$B:$B,$A272,'Stock Adjustment'!$D:$D,"Supplier Returned")</f>
        <v>0</v>
      </c>
      <c r="M2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2" s="53" t="str">
        <f>IF(B272="","",VLOOKUP(B272,'Product Master'!$B:$G,4,FALSE))</f>
        <v/>
      </c>
      <c r="O272" s="53" t="str">
        <f>IF(B272="","",VLOOKUP(B272,'Product Master'!$B:$G,5,FALSE))</f>
        <v/>
      </c>
      <c r="P272" s="50" t="str">
        <f>IF(B272="","",VLOOKUP(B272,'Product Master'!$B:$I,7,FALSE))</f>
        <v/>
      </c>
      <c r="Q272" s="158"/>
      <c r="R272" s="58" t="str">
        <f t="shared" si="4"/>
        <v/>
      </c>
      <c r="S272" s="25"/>
      <c r="T272" s="25"/>
      <c r="U272" s="25"/>
      <c r="V272" s="25"/>
      <c r="W272" s="25"/>
      <c r="X272" s="25"/>
    </row>
    <row r="273" spans="1:24" x14ac:dyDescent="0.25">
      <c r="A273" s="31" t="s">
        <v>833</v>
      </c>
      <c r="B273" s="32"/>
      <c r="C273" s="50" t="str">
        <f>IF(B273="","",VLOOKUP(B273,'Product Master'!$B:$G,2,FALSE))</f>
        <v/>
      </c>
      <c r="D273" s="50" t="str">
        <f>IF(B273="","",VLOOKUP(B273,'Product Master'!$B:$G,3,FALSE))</f>
        <v/>
      </c>
      <c r="E273" s="50"/>
      <c r="F273" s="50">
        <f>SUMIF('Stock Purchase'!$D:$D,B273,'Stock Purchase'!$F:$F)</f>
        <v>0</v>
      </c>
      <c r="G273" s="50">
        <f>SUMIFS('Stock Adjustment'!$E:$E,'Stock Adjustment'!$B:$B,$A273,'Stock Adjustment'!$D:$D,"Customer Returned")</f>
        <v>0</v>
      </c>
      <c r="H273" s="50">
        <f>SUMIF('Daily Sales Entry'!$D:$D,B273,'Daily Sales Entry'!$G:$G)</f>
        <v>0</v>
      </c>
      <c r="I273" s="50">
        <f>SUMIFS('Stock Adjustment'!$E:$E,'Stock Adjustment'!$B:$B,$A273,'Stock Adjustment'!$D:$D,"Staff Consumption")</f>
        <v>0</v>
      </c>
      <c r="J273" s="50">
        <f>SUMIFS('Stock Adjustment'!$E:$E,'Stock Adjustment'!$B:$B,$A273,'Stock Adjustment'!$D:$D,"Damaged")</f>
        <v>0</v>
      </c>
      <c r="K273" s="50">
        <f>SUMIFS('Stock Adjustment'!$E:$E,'Stock Adjustment'!$B:$B,$A273,'Stock Adjustment'!$D:$D,"Expired")</f>
        <v>0</v>
      </c>
      <c r="L273" s="50">
        <f>SUMIFS('Stock Adjustment'!$E:$E,'Stock Adjustment'!$B:$B,$A273,'Stock Adjustment'!$D:$D,"Supplier Returned")</f>
        <v>0</v>
      </c>
      <c r="M2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3" s="53" t="str">
        <f>IF(B273="","",VLOOKUP(B273,'Product Master'!$B:$G,4,FALSE))</f>
        <v/>
      </c>
      <c r="O273" s="53" t="str">
        <f>IF(B273="","",VLOOKUP(B273,'Product Master'!$B:$G,5,FALSE))</f>
        <v/>
      </c>
      <c r="P273" s="50" t="str">
        <f>IF(B273="","",VLOOKUP(B273,'Product Master'!$B:$I,7,FALSE))</f>
        <v/>
      </c>
      <c r="Q273" s="158"/>
      <c r="R273" s="58" t="str">
        <f t="shared" si="4"/>
        <v/>
      </c>
      <c r="S273" s="25"/>
      <c r="T273" s="25"/>
      <c r="U273" s="25"/>
      <c r="V273" s="25"/>
      <c r="W273" s="25"/>
      <c r="X273" s="25"/>
    </row>
    <row r="274" spans="1:24" x14ac:dyDescent="0.25">
      <c r="A274" s="31" t="s">
        <v>834</v>
      </c>
      <c r="B274" s="32"/>
      <c r="C274" s="50" t="str">
        <f>IF(B274="","",VLOOKUP(B274,'Product Master'!$B:$G,2,FALSE))</f>
        <v/>
      </c>
      <c r="D274" s="50" t="str">
        <f>IF(B274="","",VLOOKUP(B274,'Product Master'!$B:$G,3,FALSE))</f>
        <v/>
      </c>
      <c r="E274" s="50"/>
      <c r="F274" s="50">
        <f>SUMIF('Stock Purchase'!$D:$D,B274,'Stock Purchase'!$F:$F)</f>
        <v>0</v>
      </c>
      <c r="G274" s="50">
        <f>SUMIFS('Stock Adjustment'!$E:$E,'Stock Adjustment'!$B:$B,$A274,'Stock Adjustment'!$D:$D,"Customer Returned")</f>
        <v>0</v>
      </c>
      <c r="H274" s="50">
        <f>SUMIF('Daily Sales Entry'!$D:$D,B274,'Daily Sales Entry'!$G:$G)</f>
        <v>0</v>
      </c>
      <c r="I274" s="50">
        <f>SUMIFS('Stock Adjustment'!$E:$E,'Stock Adjustment'!$B:$B,$A274,'Stock Adjustment'!$D:$D,"Staff Consumption")</f>
        <v>0</v>
      </c>
      <c r="J274" s="50">
        <f>SUMIFS('Stock Adjustment'!$E:$E,'Stock Adjustment'!$B:$B,$A274,'Stock Adjustment'!$D:$D,"Damaged")</f>
        <v>0</v>
      </c>
      <c r="K274" s="50">
        <f>SUMIFS('Stock Adjustment'!$E:$E,'Stock Adjustment'!$B:$B,$A274,'Stock Adjustment'!$D:$D,"Expired")</f>
        <v>0</v>
      </c>
      <c r="L274" s="50">
        <f>SUMIFS('Stock Adjustment'!$E:$E,'Stock Adjustment'!$B:$B,$A274,'Stock Adjustment'!$D:$D,"Supplier Returned")</f>
        <v>0</v>
      </c>
      <c r="M2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4" s="53" t="str">
        <f>IF(B274="","",VLOOKUP(B274,'Product Master'!$B:$G,4,FALSE))</f>
        <v/>
      </c>
      <c r="O274" s="53" t="str">
        <f>IF(B274="","",VLOOKUP(B274,'Product Master'!$B:$G,5,FALSE))</f>
        <v/>
      </c>
      <c r="P274" s="50" t="str">
        <f>IF(B274="","",VLOOKUP(B274,'Product Master'!$B:$I,7,FALSE))</f>
        <v/>
      </c>
      <c r="Q274" s="158"/>
      <c r="R274" s="58" t="str">
        <f t="shared" si="4"/>
        <v/>
      </c>
      <c r="S274" s="25"/>
      <c r="T274" s="25"/>
      <c r="U274" s="25"/>
      <c r="V274" s="25"/>
      <c r="W274" s="25"/>
      <c r="X274" s="25"/>
    </row>
    <row r="275" spans="1:24" x14ac:dyDescent="0.25">
      <c r="A275" s="31" t="s">
        <v>835</v>
      </c>
      <c r="B275" s="32"/>
      <c r="C275" s="50" t="str">
        <f>IF(B275="","",VLOOKUP(B275,'Product Master'!$B:$G,2,FALSE))</f>
        <v/>
      </c>
      <c r="D275" s="50" t="str">
        <f>IF(B275="","",VLOOKUP(B275,'Product Master'!$B:$G,3,FALSE))</f>
        <v/>
      </c>
      <c r="E275" s="50"/>
      <c r="F275" s="50">
        <f>SUMIF('Stock Purchase'!$D:$D,B275,'Stock Purchase'!$F:$F)</f>
        <v>0</v>
      </c>
      <c r="G275" s="50">
        <f>SUMIFS('Stock Adjustment'!$E:$E,'Stock Adjustment'!$B:$B,$A275,'Stock Adjustment'!$D:$D,"Customer Returned")</f>
        <v>0</v>
      </c>
      <c r="H275" s="50">
        <f>SUMIF('Daily Sales Entry'!$D:$D,B275,'Daily Sales Entry'!$G:$G)</f>
        <v>0</v>
      </c>
      <c r="I275" s="50">
        <f>SUMIFS('Stock Adjustment'!$E:$E,'Stock Adjustment'!$B:$B,$A275,'Stock Adjustment'!$D:$D,"Staff Consumption")</f>
        <v>0</v>
      </c>
      <c r="J275" s="50">
        <f>SUMIFS('Stock Adjustment'!$E:$E,'Stock Adjustment'!$B:$B,$A275,'Stock Adjustment'!$D:$D,"Damaged")</f>
        <v>0</v>
      </c>
      <c r="K275" s="50">
        <f>SUMIFS('Stock Adjustment'!$E:$E,'Stock Adjustment'!$B:$B,$A275,'Stock Adjustment'!$D:$D,"Expired")</f>
        <v>0</v>
      </c>
      <c r="L275" s="50">
        <f>SUMIFS('Stock Adjustment'!$E:$E,'Stock Adjustment'!$B:$B,$A275,'Stock Adjustment'!$D:$D,"Supplier Returned")</f>
        <v>0</v>
      </c>
      <c r="M2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5" s="53" t="str">
        <f>IF(B275="","",VLOOKUP(B275,'Product Master'!$B:$G,4,FALSE))</f>
        <v/>
      </c>
      <c r="O275" s="53" t="str">
        <f>IF(B275="","",VLOOKUP(B275,'Product Master'!$B:$G,5,FALSE))</f>
        <v/>
      </c>
      <c r="P275" s="50" t="str">
        <f>IF(B275="","",VLOOKUP(B275,'Product Master'!$B:$I,7,FALSE))</f>
        <v/>
      </c>
      <c r="Q275" s="158"/>
      <c r="R275" s="58" t="str">
        <f t="shared" si="4"/>
        <v/>
      </c>
      <c r="S275" s="25"/>
      <c r="T275" s="25"/>
      <c r="U275" s="25"/>
      <c r="V275" s="25"/>
      <c r="W275" s="25"/>
      <c r="X275" s="25"/>
    </row>
    <row r="276" spans="1:24" x14ac:dyDescent="0.25">
      <c r="A276" s="31" t="s">
        <v>836</v>
      </c>
      <c r="B276" s="32"/>
      <c r="C276" s="50" t="str">
        <f>IF(B276="","",VLOOKUP(B276,'Product Master'!$B:$G,2,FALSE))</f>
        <v/>
      </c>
      <c r="D276" s="50" t="str">
        <f>IF(B276="","",VLOOKUP(B276,'Product Master'!$B:$G,3,FALSE))</f>
        <v/>
      </c>
      <c r="E276" s="50"/>
      <c r="F276" s="50">
        <f>SUMIF('Stock Purchase'!$D:$D,B276,'Stock Purchase'!$F:$F)</f>
        <v>0</v>
      </c>
      <c r="G276" s="50">
        <f>SUMIFS('Stock Adjustment'!$E:$E,'Stock Adjustment'!$B:$B,$A276,'Stock Adjustment'!$D:$D,"Customer Returned")</f>
        <v>0</v>
      </c>
      <c r="H276" s="50">
        <f>SUMIF('Daily Sales Entry'!$D:$D,B276,'Daily Sales Entry'!$G:$G)</f>
        <v>0</v>
      </c>
      <c r="I276" s="50">
        <f>SUMIFS('Stock Adjustment'!$E:$E,'Stock Adjustment'!$B:$B,$A276,'Stock Adjustment'!$D:$D,"Staff Consumption")</f>
        <v>0</v>
      </c>
      <c r="J276" s="50">
        <f>SUMIFS('Stock Adjustment'!$E:$E,'Stock Adjustment'!$B:$B,$A276,'Stock Adjustment'!$D:$D,"Damaged")</f>
        <v>0</v>
      </c>
      <c r="K276" s="50">
        <f>SUMIFS('Stock Adjustment'!$E:$E,'Stock Adjustment'!$B:$B,$A276,'Stock Adjustment'!$D:$D,"Expired")</f>
        <v>0</v>
      </c>
      <c r="L276" s="50">
        <f>SUMIFS('Stock Adjustment'!$E:$E,'Stock Adjustment'!$B:$B,$A276,'Stock Adjustment'!$D:$D,"Supplier Returned")</f>
        <v>0</v>
      </c>
      <c r="M2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6" s="53" t="str">
        <f>IF(B276="","",VLOOKUP(B276,'Product Master'!$B:$G,4,FALSE))</f>
        <v/>
      </c>
      <c r="O276" s="53" t="str">
        <f>IF(B276="","",VLOOKUP(B276,'Product Master'!$B:$G,5,FALSE))</f>
        <v/>
      </c>
      <c r="P276" s="50" t="str">
        <f>IF(B276="","",VLOOKUP(B276,'Product Master'!$B:$I,7,FALSE))</f>
        <v/>
      </c>
      <c r="Q276" s="158"/>
      <c r="R276" s="58" t="str">
        <f t="shared" si="4"/>
        <v/>
      </c>
      <c r="S276" s="25"/>
      <c r="T276" s="25"/>
      <c r="U276" s="25"/>
      <c r="V276" s="25"/>
      <c r="W276" s="25"/>
      <c r="X276" s="25"/>
    </row>
    <row r="277" spans="1:24" x14ac:dyDescent="0.25">
      <c r="A277" s="31" t="s">
        <v>837</v>
      </c>
      <c r="B277" s="32"/>
      <c r="C277" s="50" t="str">
        <f>IF(B277="","",VLOOKUP(B277,'Product Master'!$B:$G,2,FALSE))</f>
        <v/>
      </c>
      <c r="D277" s="50" t="str">
        <f>IF(B277="","",VLOOKUP(B277,'Product Master'!$B:$G,3,FALSE))</f>
        <v/>
      </c>
      <c r="E277" s="50"/>
      <c r="F277" s="50">
        <f>SUMIF('Stock Purchase'!$D:$D,B277,'Stock Purchase'!$F:$F)</f>
        <v>0</v>
      </c>
      <c r="G277" s="50">
        <f>SUMIFS('Stock Adjustment'!$E:$E,'Stock Adjustment'!$B:$B,$A277,'Stock Adjustment'!$D:$D,"Customer Returned")</f>
        <v>0</v>
      </c>
      <c r="H277" s="50">
        <f>SUMIF('Daily Sales Entry'!$D:$D,B277,'Daily Sales Entry'!$G:$G)</f>
        <v>0</v>
      </c>
      <c r="I277" s="50">
        <f>SUMIFS('Stock Adjustment'!$E:$E,'Stock Adjustment'!$B:$B,$A277,'Stock Adjustment'!$D:$D,"Staff Consumption")</f>
        <v>0</v>
      </c>
      <c r="J277" s="50">
        <f>SUMIFS('Stock Adjustment'!$E:$E,'Stock Adjustment'!$B:$B,$A277,'Stock Adjustment'!$D:$D,"Damaged")</f>
        <v>0</v>
      </c>
      <c r="K277" s="50">
        <f>SUMIFS('Stock Adjustment'!$E:$E,'Stock Adjustment'!$B:$B,$A277,'Stock Adjustment'!$D:$D,"Expired")</f>
        <v>0</v>
      </c>
      <c r="L277" s="50">
        <f>SUMIFS('Stock Adjustment'!$E:$E,'Stock Adjustment'!$B:$B,$A277,'Stock Adjustment'!$D:$D,"Supplier Returned")</f>
        <v>0</v>
      </c>
      <c r="M2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7" s="53" t="str">
        <f>IF(B277="","",VLOOKUP(B277,'Product Master'!$B:$G,4,FALSE))</f>
        <v/>
      </c>
      <c r="O277" s="53" t="str">
        <f>IF(B277="","",VLOOKUP(B277,'Product Master'!$B:$G,5,FALSE))</f>
        <v/>
      </c>
      <c r="P277" s="50" t="str">
        <f>IF(B277="","",VLOOKUP(B277,'Product Master'!$B:$I,7,FALSE))</f>
        <v/>
      </c>
      <c r="Q277" s="158"/>
      <c r="R277" s="58" t="str">
        <f t="shared" si="4"/>
        <v/>
      </c>
      <c r="S277" s="25"/>
      <c r="T277" s="25"/>
      <c r="U277" s="25"/>
      <c r="V277" s="25"/>
      <c r="W277" s="25"/>
      <c r="X277" s="25"/>
    </row>
    <row r="278" spans="1:24" x14ac:dyDescent="0.25">
      <c r="A278" s="31" t="s">
        <v>838</v>
      </c>
      <c r="B278" s="32"/>
      <c r="C278" s="50" t="str">
        <f>IF(B278="","",VLOOKUP(B278,'Product Master'!$B:$G,2,FALSE))</f>
        <v/>
      </c>
      <c r="D278" s="50" t="str">
        <f>IF(B278="","",VLOOKUP(B278,'Product Master'!$B:$G,3,FALSE))</f>
        <v/>
      </c>
      <c r="E278" s="50"/>
      <c r="F278" s="50">
        <f>SUMIF('Stock Purchase'!$D:$D,B278,'Stock Purchase'!$F:$F)</f>
        <v>0</v>
      </c>
      <c r="G278" s="50">
        <f>SUMIFS('Stock Adjustment'!$E:$E,'Stock Adjustment'!$B:$B,$A278,'Stock Adjustment'!$D:$D,"Customer Returned")</f>
        <v>0</v>
      </c>
      <c r="H278" s="50">
        <f>SUMIF('Daily Sales Entry'!$D:$D,B278,'Daily Sales Entry'!$G:$G)</f>
        <v>0</v>
      </c>
      <c r="I278" s="50">
        <f>SUMIFS('Stock Adjustment'!$E:$E,'Stock Adjustment'!$B:$B,$A278,'Stock Adjustment'!$D:$D,"Staff Consumption")</f>
        <v>0</v>
      </c>
      <c r="J278" s="50">
        <f>SUMIFS('Stock Adjustment'!$E:$E,'Stock Adjustment'!$B:$B,$A278,'Stock Adjustment'!$D:$D,"Damaged")</f>
        <v>0</v>
      </c>
      <c r="K278" s="50">
        <f>SUMIFS('Stock Adjustment'!$E:$E,'Stock Adjustment'!$B:$B,$A278,'Stock Adjustment'!$D:$D,"Expired")</f>
        <v>0</v>
      </c>
      <c r="L278" s="50">
        <f>SUMIFS('Stock Adjustment'!$E:$E,'Stock Adjustment'!$B:$B,$A278,'Stock Adjustment'!$D:$D,"Supplier Returned")</f>
        <v>0</v>
      </c>
      <c r="M2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8" s="53" t="str">
        <f>IF(B278="","",VLOOKUP(B278,'Product Master'!$B:$G,4,FALSE))</f>
        <v/>
      </c>
      <c r="O278" s="53" t="str">
        <f>IF(B278="","",VLOOKUP(B278,'Product Master'!$B:$G,5,FALSE))</f>
        <v/>
      </c>
      <c r="P278" s="50" t="str">
        <f>IF(B278="","",VLOOKUP(B278,'Product Master'!$B:$I,7,FALSE))</f>
        <v/>
      </c>
      <c r="Q278" s="158"/>
      <c r="R278" s="58" t="str">
        <f t="shared" si="4"/>
        <v/>
      </c>
      <c r="S278" s="25"/>
      <c r="T278" s="25"/>
      <c r="U278" s="25"/>
      <c r="V278" s="25"/>
      <c r="W278" s="25"/>
      <c r="X278" s="25"/>
    </row>
    <row r="279" spans="1:24" x14ac:dyDescent="0.25">
      <c r="A279" s="31" t="s">
        <v>839</v>
      </c>
      <c r="B279" s="32"/>
      <c r="C279" s="50" t="str">
        <f>IF(B279="","",VLOOKUP(B279,'Product Master'!$B:$G,2,FALSE))</f>
        <v/>
      </c>
      <c r="D279" s="50" t="str">
        <f>IF(B279="","",VLOOKUP(B279,'Product Master'!$B:$G,3,FALSE))</f>
        <v/>
      </c>
      <c r="E279" s="50"/>
      <c r="F279" s="50">
        <f>SUMIF('Stock Purchase'!$D:$D,B279,'Stock Purchase'!$F:$F)</f>
        <v>0</v>
      </c>
      <c r="G279" s="50">
        <f>SUMIFS('Stock Adjustment'!$E:$E,'Stock Adjustment'!$B:$B,$A279,'Stock Adjustment'!$D:$D,"Customer Returned")</f>
        <v>0</v>
      </c>
      <c r="H279" s="50">
        <f>SUMIF('Daily Sales Entry'!$D:$D,B279,'Daily Sales Entry'!$G:$G)</f>
        <v>0</v>
      </c>
      <c r="I279" s="50">
        <f>SUMIFS('Stock Adjustment'!$E:$E,'Stock Adjustment'!$B:$B,$A279,'Stock Adjustment'!$D:$D,"Staff Consumption")</f>
        <v>0</v>
      </c>
      <c r="J279" s="50">
        <f>SUMIFS('Stock Adjustment'!$E:$E,'Stock Adjustment'!$B:$B,$A279,'Stock Adjustment'!$D:$D,"Damaged")</f>
        <v>0</v>
      </c>
      <c r="K279" s="50">
        <f>SUMIFS('Stock Adjustment'!$E:$E,'Stock Adjustment'!$B:$B,$A279,'Stock Adjustment'!$D:$D,"Expired")</f>
        <v>0</v>
      </c>
      <c r="L279" s="50">
        <f>SUMIFS('Stock Adjustment'!$E:$E,'Stock Adjustment'!$B:$B,$A279,'Stock Adjustment'!$D:$D,"Supplier Returned")</f>
        <v>0</v>
      </c>
      <c r="M2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79" s="53" t="str">
        <f>IF(B279="","",VLOOKUP(B279,'Product Master'!$B:$G,4,FALSE))</f>
        <v/>
      </c>
      <c r="O279" s="53" t="str">
        <f>IF(B279="","",VLOOKUP(B279,'Product Master'!$B:$G,5,FALSE))</f>
        <v/>
      </c>
      <c r="P279" s="50" t="str">
        <f>IF(B279="","",VLOOKUP(B279,'Product Master'!$B:$I,7,FALSE))</f>
        <v/>
      </c>
      <c r="Q279" s="158"/>
      <c r="R279" s="58" t="str">
        <f t="shared" si="4"/>
        <v/>
      </c>
      <c r="S279" s="25"/>
      <c r="T279" s="25"/>
      <c r="U279" s="25"/>
      <c r="V279" s="25"/>
      <c r="W279" s="25"/>
      <c r="X279" s="25"/>
    </row>
    <row r="280" spans="1:24" x14ac:dyDescent="0.25">
      <c r="A280" s="31" t="s">
        <v>840</v>
      </c>
      <c r="B280" s="32"/>
      <c r="C280" s="50" t="str">
        <f>IF(B280="","",VLOOKUP(B280,'Product Master'!$B:$G,2,FALSE))</f>
        <v/>
      </c>
      <c r="D280" s="50" t="str">
        <f>IF(B280="","",VLOOKUP(B280,'Product Master'!$B:$G,3,FALSE))</f>
        <v/>
      </c>
      <c r="E280" s="50"/>
      <c r="F280" s="50">
        <f>SUMIF('Stock Purchase'!$D:$D,B280,'Stock Purchase'!$F:$F)</f>
        <v>0</v>
      </c>
      <c r="G280" s="50">
        <f>SUMIFS('Stock Adjustment'!$E:$E,'Stock Adjustment'!$B:$B,$A280,'Stock Adjustment'!$D:$D,"Customer Returned")</f>
        <v>0</v>
      </c>
      <c r="H280" s="50">
        <f>SUMIF('Daily Sales Entry'!$D:$D,B280,'Daily Sales Entry'!$G:$G)</f>
        <v>0</v>
      </c>
      <c r="I280" s="50">
        <f>SUMIFS('Stock Adjustment'!$E:$E,'Stock Adjustment'!$B:$B,$A280,'Stock Adjustment'!$D:$D,"Staff Consumption")</f>
        <v>0</v>
      </c>
      <c r="J280" s="50">
        <f>SUMIFS('Stock Adjustment'!$E:$E,'Stock Adjustment'!$B:$B,$A280,'Stock Adjustment'!$D:$D,"Damaged")</f>
        <v>0</v>
      </c>
      <c r="K280" s="50">
        <f>SUMIFS('Stock Adjustment'!$E:$E,'Stock Adjustment'!$B:$B,$A280,'Stock Adjustment'!$D:$D,"Expired")</f>
        <v>0</v>
      </c>
      <c r="L280" s="50">
        <f>SUMIFS('Stock Adjustment'!$E:$E,'Stock Adjustment'!$B:$B,$A280,'Stock Adjustment'!$D:$D,"Supplier Returned")</f>
        <v>0</v>
      </c>
      <c r="M2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0" s="53" t="str">
        <f>IF(B280="","",VLOOKUP(B280,'Product Master'!$B:$G,4,FALSE))</f>
        <v/>
      </c>
      <c r="O280" s="53" t="str">
        <f>IF(B280="","",VLOOKUP(B280,'Product Master'!$B:$G,5,FALSE))</f>
        <v/>
      </c>
      <c r="P280" s="50" t="str">
        <f>IF(B280="","",VLOOKUP(B280,'Product Master'!$B:$I,7,FALSE))</f>
        <v/>
      </c>
      <c r="Q280" s="158"/>
      <c r="R280" s="58" t="str">
        <f t="shared" si="4"/>
        <v/>
      </c>
      <c r="S280" s="25"/>
      <c r="T280" s="25"/>
      <c r="U280" s="25"/>
      <c r="V280" s="25"/>
      <c r="W280" s="25"/>
      <c r="X280" s="25"/>
    </row>
    <row r="281" spans="1:24" x14ac:dyDescent="0.25">
      <c r="A281" s="31" t="s">
        <v>841</v>
      </c>
      <c r="B281" s="32"/>
      <c r="C281" s="50" t="str">
        <f>IF(B281="","",VLOOKUP(B281,'Product Master'!$B:$G,2,FALSE))</f>
        <v/>
      </c>
      <c r="D281" s="50" t="str">
        <f>IF(B281="","",VLOOKUP(B281,'Product Master'!$B:$G,3,FALSE))</f>
        <v/>
      </c>
      <c r="E281" s="50"/>
      <c r="F281" s="50">
        <f>SUMIF('Stock Purchase'!$D:$D,B281,'Stock Purchase'!$F:$F)</f>
        <v>0</v>
      </c>
      <c r="G281" s="50">
        <f>SUMIFS('Stock Adjustment'!$E:$E,'Stock Adjustment'!$B:$B,$A281,'Stock Adjustment'!$D:$D,"Customer Returned")</f>
        <v>0</v>
      </c>
      <c r="H281" s="50">
        <f>SUMIF('Daily Sales Entry'!$D:$D,B281,'Daily Sales Entry'!$G:$G)</f>
        <v>0</v>
      </c>
      <c r="I281" s="50">
        <f>SUMIFS('Stock Adjustment'!$E:$E,'Stock Adjustment'!$B:$B,$A281,'Stock Adjustment'!$D:$D,"Staff Consumption")</f>
        <v>0</v>
      </c>
      <c r="J281" s="50">
        <f>SUMIFS('Stock Adjustment'!$E:$E,'Stock Adjustment'!$B:$B,$A281,'Stock Adjustment'!$D:$D,"Damaged")</f>
        <v>0</v>
      </c>
      <c r="K281" s="50">
        <f>SUMIFS('Stock Adjustment'!$E:$E,'Stock Adjustment'!$B:$B,$A281,'Stock Adjustment'!$D:$D,"Expired")</f>
        <v>0</v>
      </c>
      <c r="L281" s="50">
        <f>SUMIFS('Stock Adjustment'!$E:$E,'Stock Adjustment'!$B:$B,$A281,'Stock Adjustment'!$D:$D,"Supplier Returned")</f>
        <v>0</v>
      </c>
      <c r="M2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1" s="53" t="str">
        <f>IF(B281="","",VLOOKUP(B281,'Product Master'!$B:$G,4,FALSE))</f>
        <v/>
      </c>
      <c r="O281" s="53" t="str">
        <f>IF(B281="","",VLOOKUP(B281,'Product Master'!$B:$G,5,FALSE))</f>
        <v/>
      </c>
      <c r="P281" s="50" t="str">
        <f>IF(B281="","",VLOOKUP(B281,'Product Master'!$B:$I,7,FALSE))</f>
        <v/>
      </c>
      <c r="Q281" s="158"/>
      <c r="R281" s="58" t="str">
        <f t="shared" si="4"/>
        <v/>
      </c>
      <c r="S281" s="25"/>
      <c r="T281" s="25"/>
      <c r="U281" s="25"/>
      <c r="V281" s="25"/>
      <c r="W281" s="25"/>
      <c r="X281" s="25"/>
    </row>
    <row r="282" spans="1:24" x14ac:dyDescent="0.25">
      <c r="A282" s="31" t="s">
        <v>842</v>
      </c>
      <c r="B282" s="32"/>
      <c r="C282" s="50" t="str">
        <f>IF(B282="","",VLOOKUP(B282,'Product Master'!$B:$G,2,FALSE))</f>
        <v/>
      </c>
      <c r="D282" s="50" t="str">
        <f>IF(B282="","",VLOOKUP(B282,'Product Master'!$B:$G,3,FALSE))</f>
        <v/>
      </c>
      <c r="E282" s="50"/>
      <c r="F282" s="50">
        <f>SUMIF('Stock Purchase'!$D:$D,B282,'Stock Purchase'!$F:$F)</f>
        <v>0</v>
      </c>
      <c r="G282" s="50">
        <f>SUMIFS('Stock Adjustment'!$E:$E,'Stock Adjustment'!$B:$B,$A282,'Stock Adjustment'!$D:$D,"Customer Returned")</f>
        <v>0</v>
      </c>
      <c r="H282" s="50">
        <f>SUMIF('Daily Sales Entry'!$D:$D,B282,'Daily Sales Entry'!$G:$G)</f>
        <v>0</v>
      </c>
      <c r="I282" s="50">
        <f>SUMIFS('Stock Adjustment'!$E:$E,'Stock Adjustment'!$B:$B,$A282,'Stock Adjustment'!$D:$D,"Staff Consumption")</f>
        <v>0</v>
      </c>
      <c r="J282" s="50">
        <f>SUMIFS('Stock Adjustment'!$E:$E,'Stock Adjustment'!$B:$B,$A282,'Stock Adjustment'!$D:$D,"Damaged")</f>
        <v>0</v>
      </c>
      <c r="K282" s="50">
        <f>SUMIFS('Stock Adjustment'!$E:$E,'Stock Adjustment'!$B:$B,$A282,'Stock Adjustment'!$D:$D,"Expired")</f>
        <v>0</v>
      </c>
      <c r="L282" s="50">
        <f>SUMIFS('Stock Adjustment'!$E:$E,'Stock Adjustment'!$B:$B,$A282,'Stock Adjustment'!$D:$D,"Supplier Returned")</f>
        <v>0</v>
      </c>
      <c r="M2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2" s="53" t="str">
        <f>IF(B282="","",VLOOKUP(B282,'Product Master'!$B:$G,4,FALSE))</f>
        <v/>
      </c>
      <c r="O282" s="53" t="str">
        <f>IF(B282="","",VLOOKUP(B282,'Product Master'!$B:$G,5,FALSE))</f>
        <v/>
      </c>
      <c r="P282" s="50" t="str">
        <f>IF(B282="","",VLOOKUP(B282,'Product Master'!$B:$I,7,FALSE))</f>
        <v/>
      </c>
      <c r="Q282" s="158"/>
      <c r="R282" s="58" t="str">
        <f t="shared" si="4"/>
        <v/>
      </c>
      <c r="S282" s="25"/>
      <c r="T282" s="25"/>
      <c r="U282" s="25"/>
      <c r="V282" s="25"/>
      <c r="W282" s="25"/>
      <c r="X282" s="25"/>
    </row>
    <row r="283" spans="1:24" x14ac:dyDescent="0.25">
      <c r="A283" s="31" t="s">
        <v>843</v>
      </c>
      <c r="B283" s="32"/>
      <c r="C283" s="50" t="str">
        <f>IF(B283="","",VLOOKUP(B283,'Product Master'!$B:$G,2,FALSE))</f>
        <v/>
      </c>
      <c r="D283" s="50" t="str">
        <f>IF(B283="","",VLOOKUP(B283,'Product Master'!$B:$G,3,FALSE))</f>
        <v/>
      </c>
      <c r="E283" s="50"/>
      <c r="F283" s="50">
        <f>SUMIF('Stock Purchase'!$D:$D,B283,'Stock Purchase'!$F:$F)</f>
        <v>0</v>
      </c>
      <c r="G283" s="50">
        <f>SUMIFS('Stock Adjustment'!$E:$E,'Stock Adjustment'!$B:$B,$A283,'Stock Adjustment'!$D:$D,"Customer Returned")</f>
        <v>0</v>
      </c>
      <c r="H283" s="50">
        <f>SUMIF('Daily Sales Entry'!$D:$D,B283,'Daily Sales Entry'!$G:$G)</f>
        <v>0</v>
      </c>
      <c r="I283" s="50">
        <f>SUMIFS('Stock Adjustment'!$E:$E,'Stock Adjustment'!$B:$B,$A283,'Stock Adjustment'!$D:$D,"Staff Consumption")</f>
        <v>0</v>
      </c>
      <c r="J283" s="50">
        <f>SUMIFS('Stock Adjustment'!$E:$E,'Stock Adjustment'!$B:$B,$A283,'Stock Adjustment'!$D:$D,"Damaged")</f>
        <v>0</v>
      </c>
      <c r="K283" s="50">
        <f>SUMIFS('Stock Adjustment'!$E:$E,'Stock Adjustment'!$B:$B,$A283,'Stock Adjustment'!$D:$D,"Expired")</f>
        <v>0</v>
      </c>
      <c r="L283" s="50">
        <f>SUMIFS('Stock Adjustment'!$E:$E,'Stock Adjustment'!$B:$B,$A283,'Stock Adjustment'!$D:$D,"Supplier Returned")</f>
        <v>0</v>
      </c>
      <c r="M2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3" s="53" t="str">
        <f>IF(B283="","",VLOOKUP(B283,'Product Master'!$B:$G,4,FALSE))</f>
        <v/>
      </c>
      <c r="O283" s="53" t="str">
        <f>IF(B283="","",VLOOKUP(B283,'Product Master'!$B:$G,5,FALSE))</f>
        <v/>
      </c>
      <c r="P283" s="50" t="str">
        <f>IF(B283="","",VLOOKUP(B283,'Product Master'!$B:$I,7,FALSE))</f>
        <v/>
      </c>
      <c r="Q283" s="158"/>
      <c r="R283" s="58" t="str">
        <f t="shared" si="4"/>
        <v/>
      </c>
      <c r="S283" s="25"/>
      <c r="T283" s="25"/>
      <c r="U283" s="25"/>
      <c r="V283" s="25"/>
      <c r="W283" s="25"/>
      <c r="X283" s="25"/>
    </row>
    <row r="284" spans="1:24" x14ac:dyDescent="0.25">
      <c r="A284" s="31" t="s">
        <v>844</v>
      </c>
      <c r="B284" s="32"/>
      <c r="C284" s="50" t="str">
        <f>IF(B284="","",VLOOKUP(B284,'Product Master'!$B:$G,2,FALSE))</f>
        <v/>
      </c>
      <c r="D284" s="50" t="str">
        <f>IF(B284="","",VLOOKUP(B284,'Product Master'!$B:$G,3,FALSE))</f>
        <v/>
      </c>
      <c r="E284" s="50"/>
      <c r="F284" s="50">
        <f>SUMIF('Stock Purchase'!$D:$D,B284,'Stock Purchase'!$F:$F)</f>
        <v>0</v>
      </c>
      <c r="G284" s="50">
        <f>SUMIFS('Stock Adjustment'!$E:$E,'Stock Adjustment'!$B:$B,$A284,'Stock Adjustment'!$D:$D,"Customer Returned")</f>
        <v>0</v>
      </c>
      <c r="H284" s="50">
        <f>SUMIF('Daily Sales Entry'!$D:$D,B284,'Daily Sales Entry'!$G:$G)</f>
        <v>0</v>
      </c>
      <c r="I284" s="50">
        <f>SUMIFS('Stock Adjustment'!$E:$E,'Stock Adjustment'!$B:$B,$A284,'Stock Adjustment'!$D:$D,"Staff Consumption")</f>
        <v>0</v>
      </c>
      <c r="J284" s="50">
        <f>SUMIFS('Stock Adjustment'!$E:$E,'Stock Adjustment'!$B:$B,$A284,'Stock Adjustment'!$D:$D,"Damaged")</f>
        <v>0</v>
      </c>
      <c r="K284" s="50">
        <f>SUMIFS('Stock Adjustment'!$E:$E,'Stock Adjustment'!$B:$B,$A284,'Stock Adjustment'!$D:$D,"Expired")</f>
        <v>0</v>
      </c>
      <c r="L284" s="50">
        <f>SUMIFS('Stock Adjustment'!$E:$E,'Stock Adjustment'!$B:$B,$A284,'Stock Adjustment'!$D:$D,"Supplier Returned")</f>
        <v>0</v>
      </c>
      <c r="M2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4" s="53" t="str">
        <f>IF(B284="","",VLOOKUP(B284,'Product Master'!$B:$G,4,FALSE))</f>
        <v/>
      </c>
      <c r="O284" s="53" t="str">
        <f>IF(B284="","",VLOOKUP(B284,'Product Master'!$B:$G,5,FALSE))</f>
        <v/>
      </c>
      <c r="P284" s="50" t="str">
        <f>IF(B284="","",VLOOKUP(B284,'Product Master'!$B:$I,7,FALSE))</f>
        <v/>
      </c>
      <c r="Q284" s="158"/>
      <c r="R284" s="58" t="str">
        <f t="shared" si="4"/>
        <v/>
      </c>
      <c r="S284" s="25"/>
      <c r="T284" s="25"/>
      <c r="U284" s="25"/>
      <c r="V284" s="25"/>
      <c r="W284" s="25"/>
      <c r="X284" s="25"/>
    </row>
    <row r="285" spans="1:24" x14ac:dyDescent="0.25">
      <c r="A285" s="31" t="s">
        <v>845</v>
      </c>
      <c r="B285" s="32"/>
      <c r="C285" s="50" t="str">
        <f>IF(B285="","",VLOOKUP(B285,'Product Master'!$B:$G,2,FALSE))</f>
        <v/>
      </c>
      <c r="D285" s="50" t="str">
        <f>IF(B285="","",VLOOKUP(B285,'Product Master'!$B:$G,3,FALSE))</f>
        <v/>
      </c>
      <c r="E285" s="50"/>
      <c r="F285" s="50">
        <f>SUMIF('Stock Purchase'!$D:$D,B285,'Stock Purchase'!$F:$F)</f>
        <v>0</v>
      </c>
      <c r="G285" s="50">
        <f>SUMIFS('Stock Adjustment'!$E:$E,'Stock Adjustment'!$B:$B,$A285,'Stock Adjustment'!$D:$D,"Customer Returned")</f>
        <v>0</v>
      </c>
      <c r="H285" s="50">
        <f>SUMIF('Daily Sales Entry'!$D:$D,B285,'Daily Sales Entry'!$G:$G)</f>
        <v>0</v>
      </c>
      <c r="I285" s="50">
        <f>SUMIFS('Stock Adjustment'!$E:$E,'Stock Adjustment'!$B:$B,$A285,'Stock Adjustment'!$D:$D,"Staff Consumption")</f>
        <v>0</v>
      </c>
      <c r="J285" s="50">
        <f>SUMIFS('Stock Adjustment'!$E:$E,'Stock Adjustment'!$B:$B,$A285,'Stock Adjustment'!$D:$D,"Damaged")</f>
        <v>0</v>
      </c>
      <c r="K285" s="50">
        <f>SUMIFS('Stock Adjustment'!$E:$E,'Stock Adjustment'!$B:$B,$A285,'Stock Adjustment'!$D:$D,"Expired")</f>
        <v>0</v>
      </c>
      <c r="L285" s="50">
        <f>SUMIFS('Stock Adjustment'!$E:$E,'Stock Adjustment'!$B:$B,$A285,'Stock Adjustment'!$D:$D,"Supplier Returned")</f>
        <v>0</v>
      </c>
      <c r="M2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5" s="53" t="str">
        <f>IF(B285="","",VLOOKUP(B285,'Product Master'!$B:$G,4,FALSE))</f>
        <v/>
      </c>
      <c r="O285" s="53" t="str">
        <f>IF(B285="","",VLOOKUP(B285,'Product Master'!$B:$G,5,FALSE))</f>
        <v/>
      </c>
      <c r="P285" s="50" t="str">
        <f>IF(B285="","",VLOOKUP(B285,'Product Master'!$B:$I,7,FALSE))</f>
        <v/>
      </c>
      <c r="Q285" s="158"/>
      <c r="R285" s="58" t="str">
        <f t="shared" si="4"/>
        <v/>
      </c>
      <c r="S285" s="25"/>
      <c r="T285" s="25"/>
      <c r="U285" s="25"/>
      <c r="V285" s="25"/>
      <c r="W285" s="25"/>
      <c r="X285" s="25"/>
    </row>
    <row r="286" spans="1:24" x14ac:dyDescent="0.25">
      <c r="A286" s="31" t="s">
        <v>846</v>
      </c>
      <c r="B286" s="32"/>
      <c r="C286" s="50" t="str">
        <f>IF(B286="","",VLOOKUP(B286,'Product Master'!$B:$G,2,FALSE))</f>
        <v/>
      </c>
      <c r="D286" s="50" t="str">
        <f>IF(B286="","",VLOOKUP(B286,'Product Master'!$B:$G,3,FALSE))</f>
        <v/>
      </c>
      <c r="E286" s="50"/>
      <c r="F286" s="50">
        <f>SUMIF('Stock Purchase'!$D:$D,B286,'Stock Purchase'!$F:$F)</f>
        <v>0</v>
      </c>
      <c r="G286" s="50">
        <f>SUMIFS('Stock Adjustment'!$E:$E,'Stock Adjustment'!$B:$B,$A286,'Stock Adjustment'!$D:$D,"Customer Returned")</f>
        <v>0</v>
      </c>
      <c r="H286" s="50">
        <f>SUMIF('Daily Sales Entry'!$D:$D,B286,'Daily Sales Entry'!$G:$G)</f>
        <v>0</v>
      </c>
      <c r="I286" s="50">
        <f>SUMIFS('Stock Adjustment'!$E:$E,'Stock Adjustment'!$B:$B,$A286,'Stock Adjustment'!$D:$D,"Staff Consumption")</f>
        <v>0</v>
      </c>
      <c r="J286" s="50">
        <f>SUMIFS('Stock Adjustment'!$E:$E,'Stock Adjustment'!$B:$B,$A286,'Stock Adjustment'!$D:$D,"Damaged")</f>
        <v>0</v>
      </c>
      <c r="K286" s="50">
        <f>SUMIFS('Stock Adjustment'!$E:$E,'Stock Adjustment'!$B:$B,$A286,'Stock Adjustment'!$D:$D,"Expired")</f>
        <v>0</v>
      </c>
      <c r="L286" s="50">
        <f>SUMIFS('Stock Adjustment'!$E:$E,'Stock Adjustment'!$B:$B,$A286,'Stock Adjustment'!$D:$D,"Supplier Returned")</f>
        <v>0</v>
      </c>
      <c r="M2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6" s="53" t="str">
        <f>IF(B286="","",VLOOKUP(B286,'Product Master'!$B:$G,4,FALSE))</f>
        <v/>
      </c>
      <c r="O286" s="53" t="str">
        <f>IF(B286="","",VLOOKUP(B286,'Product Master'!$B:$G,5,FALSE))</f>
        <v/>
      </c>
      <c r="P286" s="50" t="str">
        <f>IF(B286="","",VLOOKUP(B286,'Product Master'!$B:$I,7,FALSE))</f>
        <v/>
      </c>
      <c r="Q286" s="158"/>
      <c r="R286" s="58" t="str">
        <f t="shared" si="4"/>
        <v/>
      </c>
      <c r="S286" s="25"/>
      <c r="T286" s="25"/>
      <c r="U286" s="25"/>
      <c r="V286" s="25"/>
      <c r="W286" s="25"/>
      <c r="X286" s="25"/>
    </row>
    <row r="287" spans="1:24" x14ac:dyDescent="0.25">
      <c r="A287" s="31" t="s">
        <v>847</v>
      </c>
      <c r="B287" s="32"/>
      <c r="C287" s="50" t="str">
        <f>IF(B287="","",VLOOKUP(B287,'Product Master'!$B:$G,2,FALSE))</f>
        <v/>
      </c>
      <c r="D287" s="50" t="str">
        <f>IF(B287="","",VLOOKUP(B287,'Product Master'!$B:$G,3,FALSE))</f>
        <v/>
      </c>
      <c r="E287" s="50"/>
      <c r="F287" s="50">
        <f>SUMIF('Stock Purchase'!$D:$D,B287,'Stock Purchase'!$F:$F)</f>
        <v>0</v>
      </c>
      <c r="G287" s="50">
        <f>SUMIFS('Stock Adjustment'!$E:$E,'Stock Adjustment'!$B:$B,$A287,'Stock Adjustment'!$D:$D,"Customer Returned")</f>
        <v>0</v>
      </c>
      <c r="H287" s="50">
        <f>SUMIF('Daily Sales Entry'!$D:$D,B287,'Daily Sales Entry'!$G:$G)</f>
        <v>0</v>
      </c>
      <c r="I287" s="50">
        <f>SUMIFS('Stock Adjustment'!$E:$E,'Stock Adjustment'!$B:$B,$A287,'Stock Adjustment'!$D:$D,"Staff Consumption")</f>
        <v>0</v>
      </c>
      <c r="J287" s="50">
        <f>SUMIFS('Stock Adjustment'!$E:$E,'Stock Adjustment'!$B:$B,$A287,'Stock Adjustment'!$D:$D,"Damaged")</f>
        <v>0</v>
      </c>
      <c r="K287" s="50">
        <f>SUMIFS('Stock Adjustment'!$E:$E,'Stock Adjustment'!$B:$B,$A287,'Stock Adjustment'!$D:$D,"Expired")</f>
        <v>0</v>
      </c>
      <c r="L287" s="50">
        <f>SUMIFS('Stock Adjustment'!$E:$E,'Stock Adjustment'!$B:$B,$A287,'Stock Adjustment'!$D:$D,"Supplier Returned")</f>
        <v>0</v>
      </c>
      <c r="M2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7" s="53" t="str">
        <f>IF(B287="","",VLOOKUP(B287,'Product Master'!$B:$G,4,FALSE))</f>
        <v/>
      </c>
      <c r="O287" s="53" t="str">
        <f>IF(B287="","",VLOOKUP(B287,'Product Master'!$B:$G,5,FALSE))</f>
        <v/>
      </c>
      <c r="P287" s="50" t="str">
        <f>IF(B287="","",VLOOKUP(B287,'Product Master'!$B:$I,7,FALSE))</f>
        <v/>
      </c>
      <c r="Q287" s="158"/>
      <c r="R287" s="58" t="str">
        <f t="shared" si="4"/>
        <v/>
      </c>
      <c r="S287" s="25"/>
      <c r="T287" s="25"/>
      <c r="U287" s="25"/>
      <c r="V287" s="25"/>
      <c r="W287" s="25"/>
      <c r="X287" s="25"/>
    </row>
    <row r="288" spans="1:24" x14ac:dyDescent="0.25">
      <c r="A288" s="31" t="s">
        <v>848</v>
      </c>
      <c r="B288" s="32"/>
      <c r="C288" s="50" t="str">
        <f>IF(B288="","",VLOOKUP(B288,'Product Master'!$B:$G,2,FALSE))</f>
        <v/>
      </c>
      <c r="D288" s="50" t="str">
        <f>IF(B288="","",VLOOKUP(B288,'Product Master'!$B:$G,3,FALSE))</f>
        <v/>
      </c>
      <c r="E288" s="50"/>
      <c r="F288" s="50">
        <f>SUMIF('Stock Purchase'!$D:$D,B288,'Stock Purchase'!$F:$F)</f>
        <v>0</v>
      </c>
      <c r="G288" s="50">
        <f>SUMIFS('Stock Adjustment'!$E:$E,'Stock Adjustment'!$B:$B,$A288,'Stock Adjustment'!$D:$D,"Customer Returned")</f>
        <v>0</v>
      </c>
      <c r="H288" s="50">
        <f>SUMIF('Daily Sales Entry'!$D:$D,B288,'Daily Sales Entry'!$G:$G)</f>
        <v>0</v>
      </c>
      <c r="I288" s="50">
        <f>SUMIFS('Stock Adjustment'!$E:$E,'Stock Adjustment'!$B:$B,$A288,'Stock Adjustment'!$D:$D,"Staff Consumption")</f>
        <v>0</v>
      </c>
      <c r="J288" s="50">
        <f>SUMIFS('Stock Adjustment'!$E:$E,'Stock Adjustment'!$B:$B,$A288,'Stock Adjustment'!$D:$D,"Damaged")</f>
        <v>0</v>
      </c>
      <c r="K288" s="50">
        <f>SUMIFS('Stock Adjustment'!$E:$E,'Stock Adjustment'!$B:$B,$A288,'Stock Adjustment'!$D:$D,"Expired")</f>
        <v>0</v>
      </c>
      <c r="L288" s="50">
        <f>SUMIFS('Stock Adjustment'!$E:$E,'Stock Adjustment'!$B:$B,$A288,'Stock Adjustment'!$D:$D,"Supplier Returned")</f>
        <v>0</v>
      </c>
      <c r="M2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8" s="53" t="str">
        <f>IF(B288="","",VLOOKUP(B288,'Product Master'!$B:$G,4,FALSE))</f>
        <v/>
      </c>
      <c r="O288" s="53" t="str">
        <f>IF(B288="","",VLOOKUP(B288,'Product Master'!$B:$G,5,FALSE))</f>
        <v/>
      </c>
      <c r="P288" s="50" t="str">
        <f>IF(B288="","",VLOOKUP(B288,'Product Master'!$B:$I,7,FALSE))</f>
        <v/>
      </c>
      <c r="Q288" s="158"/>
      <c r="R288" s="58" t="str">
        <f t="shared" si="4"/>
        <v/>
      </c>
      <c r="S288" s="25"/>
      <c r="T288" s="25"/>
      <c r="U288" s="25"/>
      <c r="V288" s="25"/>
      <c r="W288" s="25"/>
      <c r="X288" s="25"/>
    </row>
    <row r="289" spans="1:24" x14ac:dyDescent="0.25">
      <c r="A289" s="31" t="s">
        <v>849</v>
      </c>
      <c r="B289" s="32"/>
      <c r="C289" s="50" t="str">
        <f>IF(B289="","",VLOOKUP(B289,'Product Master'!$B:$G,2,FALSE))</f>
        <v/>
      </c>
      <c r="D289" s="50" t="str">
        <f>IF(B289="","",VLOOKUP(B289,'Product Master'!$B:$G,3,FALSE))</f>
        <v/>
      </c>
      <c r="E289" s="50"/>
      <c r="F289" s="50">
        <f>SUMIF('Stock Purchase'!$D:$D,B289,'Stock Purchase'!$F:$F)</f>
        <v>0</v>
      </c>
      <c r="G289" s="50">
        <f>SUMIFS('Stock Adjustment'!$E:$E,'Stock Adjustment'!$B:$B,$A289,'Stock Adjustment'!$D:$D,"Customer Returned")</f>
        <v>0</v>
      </c>
      <c r="H289" s="50">
        <f>SUMIF('Daily Sales Entry'!$D:$D,B289,'Daily Sales Entry'!$G:$G)</f>
        <v>0</v>
      </c>
      <c r="I289" s="50">
        <f>SUMIFS('Stock Adjustment'!$E:$E,'Stock Adjustment'!$B:$B,$A289,'Stock Adjustment'!$D:$D,"Staff Consumption")</f>
        <v>0</v>
      </c>
      <c r="J289" s="50">
        <f>SUMIFS('Stock Adjustment'!$E:$E,'Stock Adjustment'!$B:$B,$A289,'Stock Adjustment'!$D:$D,"Damaged")</f>
        <v>0</v>
      </c>
      <c r="K289" s="50">
        <f>SUMIFS('Stock Adjustment'!$E:$E,'Stock Adjustment'!$B:$B,$A289,'Stock Adjustment'!$D:$D,"Expired")</f>
        <v>0</v>
      </c>
      <c r="L289" s="50">
        <f>SUMIFS('Stock Adjustment'!$E:$E,'Stock Adjustment'!$B:$B,$A289,'Stock Adjustment'!$D:$D,"Supplier Returned")</f>
        <v>0</v>
      </c>
      <c r="M2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89" s="53" t="str">
        <f>IF(B289="","",VLOOKUP(B289,'Product Master'!$B:$G,4,FALSE))</f>
        <v/>
      </c>
      <c r="O289" s="53" t="str">
        <f>IF(B289="","",VLOOKUP(B289,'Product Master'!$B:$G,5,FALSE))</f>
        <v/>
      </c>
      <c r="P289" s="50" t="str">
        <f>IF(B289="","",VLOOKUP(B289,'Product Master'!$B:$I,7,FALSE))</f>
        <v/>
      </c>
      <c r="Q289" s="158"/>
      <c r="R289" s="58" t="str">
        <f t="shared" si="4"/>
        <v/>
      </c>
      <c r="S289" s="25"/>
      <c r="T289" s="25"/>
      <c r="U289" s="25"/>
      <c r="V289" s="25"/>
      <c r="W289" s="25"/>
      <c r="X289" s="25"/>
    </row>
    <row r="290" spans="1:24" x14ac:dyDescent="0.25">
      <c r="A290" s="31" t="s">
        <v>850</v>
      </c>
      <c r="B290" s="32"/>
      <c r="C290" s="50" t="str">
        <f>IF(B290="","",VLOOKUP(B290,'Product Master'!$B:$G,2,FALSE))</f>
        <v/>
      </c>
      <c r="D290" s="50" t="str">
        <f>IF(B290="","",VLOOKUP(B290,'Product Master'!$B:$G,3,FALSE))</f>
        <v/>
      </c>
      <c r="E290" s="50"/>
      <c r="F290" s="50">
        <f>SUMIF('Stock Purchase'!$D:$D,B290,'Stock Purchase'!$F:$F)</f>
        <v>0</v>
      </c>
      <c r="G290" s="50">
        <f>SUMIFS('Stock Adjustment'!$E:$E,'Stock Adjustment'!$B:$B,$A290,'Stock Adjustment'!$D:$D,"Customer Returned")</f>
        <v>0</v>
      </c>
      <c r="H290" s="50">
        <f>SUMIF('Daily Sales Entry'!$D:$D,B290,'Daily Sales Entry'!$G:$G)</f>
        <v>0</v>
      </c>
      <c r="I290" s="50">
        <f>SUMIFS('Stock Adjustment'!$E:$E,'Stock Adjustment'!$B:$B,$A290,'Stock Adjustment'!$D:$D,"Staff Consumption")</f>
        <v>0</v>
      </c>
      <c r="J290" s="50">
        <f>SUMIFS('Stock Adjustment'!$E:$E,'Stock Adjustment'!$B:$B,$A290,'Stock Adjustment'!$D:$D,"Damaged")</f>
        <v>0</v>
      </c>
      <c r="K290" s="50">
        <f>SUMIFS('Stock Adjustment'!$E:$E,'Stock Adjustment'!$B:$B,$A290,'Stock Adjustment'!$D:$D,"Expired")</f>
        <v>0</v>
      </c>
      <c r="L290" s="50">
        <f>SUMIFS('Stock Adjustment'!$E:$E,'Stock Adjustment'!$B:$B,$A290,'Stock Adjustment'!$D:$D,"Supplier Returned")</f>
        <v>0</v>
      </c>
      <c r="M2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0" s="53" t="str">
        <f>IF(B290="","",VLOOKUP(B290,'Product Master'!$B:$G,4,FALSE))</f>
        <v/>
      </c>
      <c r="O290" s="53" t="str">
        <f>IF(B290="","",VLOOKUP(B290,'Product Master'!$B:$G,5,FALSE))</f>
        <v/>
      </c>
      <c r="P290" s="50" t="str">
        <f>IF(B290="","",VLOOKUP(B290,'Product Master'!$B:$I,7,FALSE))</f>
        <v/>
      </c>
      <c r="Q290" s="158"/>
      <c r="R290" s="58" t="str">
        <f t="shared" si="4"/>
        <v/>
      </c>
      <c r="S290" s="25"/>
      <c r="T290" s="25"/>
      <c r="U290" s="25"/>
      <c r="V290" s="25"/>
      <c r="W290" s="25"/>
      <c r="X290" s="25"/>
    </row>
    <row r="291" spans="1:24" x14ac:dyDescent="0.25">
      <c r="A291" s="31" t="s">
        <v>851</v>
      </c>
      <c r="B291" s="32"/>
      <c r="C291" s="50" t="str">
        <f>IF(B291="","",VLOOKUP(B291,'Product Master'!$B:$G,2,FALSE))</f>
        <v/>
      </c>
      <c r="D291" s="50" t="str">
        <f>IF(B291="","",VLOOKUP(B291,'Product Master'!$B:$G,3,FALSE))</f>
        <v/>
      </c>
      <c r="E291" s="50"/>
      <c r="F291" s="50">
        <f>SUMIF('Stock Purchase'!$D:$D,B291,'Stock Purchase'!$F:$F)</f>
        <v>0</v>
      </c>
      <c r="G291" s="50">
        <f>SUMIFS('Stock Adjustment'!$E:$E,'Stock Adjustment'!$B:$B,$A291,'Stock Adjustment'!$D:$D,"Customer Returned")</f>
        <v>0</v>
      </c>
      <c r="H291" s="50">
        <f>SUMIF('Daily Sales Entry'!$D:$D,B291,'Daily Sales Entry'!$G:$G)</f>
        <v>0</v>
      </c>
      <c r="I291" s="50">
        <f>SUMIFS('Stock Adjustment'!$E:$E,'Stock Adjustment'!$B:$B,$A291,'Stock Adjustment'!$D:$D,"Staff Consumption")</f>
        <v>0</v>
      </c>
      <c r="J291" s="50">
        <f>SUMIFS('Stock Adjustment'!$E:$E,'Stock Adjustment'!$B:$B,$A291,'Stock Adjustment'!$D:$D,"Damaged")</f>
        <v>0</v>
      </c>
      <c r="K291" s="50">
        <f>SUMIFS('Stock Adjustment'!$E:$E,'Stock Adjustment'!$B:$B,$A291,'Stock Adjustment'!$D:$D,"Expired")</f>
        <v>0</v>
      </c>
      <c r="L291" s="50">
        <f>SUMIFS('Stock Adjustment'!$E:$E,'Stock Adjustment'!$B:$B,$A291,'Stock Adjustment'!$D:$D,"Supplier Returned")</f>
        <v>0</v>
      </c>
      <c r="M2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1" s="53" t="str">
        <f>IF(B291="","",VLOOKUP(B291,'Product Master'!$B:$G,4,FALSE))</f>
        <v/>
      </c>
      <c r="O291" s="53" t="str">
        <f>IF(B291="","",VLOOKUP(B291,'Product Master'!$B:$G,5,FALSE))</f>
        <v/>
      </c>
      <c r="P291" s="50" t="str">
        <f>IF(B291="","",VLOOKUP(B291,'Product Master'!$B:$I,7,FALSE))</f>
        <v/>
      </c>
      <c r="Q291" s="158"/>
      <c r="R291" s="58" t="str">
        <f t="shared" si="4"/>
        <v/>
      </c>
      <c r="S291" s="25"/>
      <c r="T291" s="25"/>
      <c r="U291" s="25"/>
      <c r="V291" s="25"/>
      <c r="W291" s="25"/>
      <c r="X291" s="25"/>
    </row>
    <row r="292" spans="1:24" x14ac:dyDescent="0.25">
      <c r="A292" s="31" t="s">
        <v>852</v>
      </c>
      <c r="B292" s="32"/>
      <c r="C292" s="50" t="str">
        <f>IF(B292="","",VLOOKUP(B292,'Product Master'!$B:$G,2,FALSE))</f>
        <v/>
      </c>
      <c r="D292" s="50" t="str">
        <f>IF(B292="","",VLOOKUP(B292,'Product Master'!$B:$G,3,FALSE))</f>
        <v/>
      </c>
      <c r="E292" s="50"/>
      <c r="F292" s="50">
        <f>SUMIF('Stock Purchase'!$D:$D,B292,'Stock Purchase'!$F:$F)</f>
        <v>0</v>
      </c>
      <c r="G292" s="50">
        <f>SUMIFS('Stock Adjustment'!$E:$E,'Stock Adjustment'!$B:$B,$A292,'Stock Adjustment'!$D:$D,"Customer Returned")</f>
        <v>0</v>
      </c>
      <c r="H292" s="50">
        <f>SUMIF('Daily Sales Entry'!$D:$D,B292,'Daily Sales Entry'!$G:$G)</f>
        <v>0</v>
      </c>
      <c r="I292" s="50">
        <f>SUMIFS('Stock Adjustment'!$E:$E,'Stock Adjustment'!$B:$B,$A292,'Stock Adjustment'!$D:$D,"Staff Consumption")</f>
        <v>0</v>
      </c>
      <c r="J292" s="50">
        <f>SUMIFS('Stock Adjustment'!$E:$E,'Stock Adjustment'!$B:$B,$A292,'Stock Adjustment'!$D:$D,"Damaged")</f>
        <v>0</v>
      </c>
      <c r="K292" s="50">
        <f>SUMIFS('Stock Adjustment'!$E:$E,'Stock Adjustment'!$B:$B,$A292,'Stock Adjustment'!$D:$D,"Expired")</f>
        <v>0</v>
      </c>
      <c r="L292" s="50">
        <f>SUMIFS('Stock Adjustment'!$E:$E,'Stock Adjustment'!$B:$B,$A292,'Stock Adjustment'!$D:$D,"Supplier Returned")</f>
        <v>0</v>
      </c>
      <c r="M2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2" s="53" t="str">
        <f>IF(B292="","",VLOOKUP(B292,'Product Master'!$B:$G,4,FALSE))</f>
        <v/>
      </c>
      <c r="O292" s="53" t="str">
        <f>IF(B292="","",VLOOKUP(B292,'Product Master'!$B:$G,5,FALSE))</f>
        <v/>
      </c>
      <c r="P292" s="50" t="str">
        <f>IF(B292="","",VLOOKUP(B292,'Product Master'!$B:$I,7,FALSE))</f>
        <v/>
      </c>
      <c r="Q292" s="158"/>
      <c r="R292" s="58" t="str">
        <f t="shared" si="4"/>
        <v/>
      </c>
      <c r="S292" s="25"/>
      <c r="T292" s="25"/>
      <c r="U292" s="25"/>
      <c r="V292" s="25"/>
      <c r="W292" s="25"/>
      <c r="X292" s="25"/>
    </row>
    <row r="293" spans="1:24" x14ac:dyDescent="0.25">
      <c r="A293" s="31" t="s">
        <v>853</v>
      </c>
      <c r="B293" s="32"/>
      <c r="C293" s="50" t="str">
        <f>IF(B293="","",VLOOKUP(B293,'Product Master'!$B:$G,2,FALSE))</f>
        <v/>
      </c>
      <c r="D293" s="50" t="str">
        <f>IF(B293="","",VLOOKUP(B293,'Product Master'!$B:$G,3,FALSE))</f>
        <v/>
      </c>
      <c r="E293" s="50"/>
      <c r="F293" s="50">
        <f>SUMIF('Stock Purchase'!$D:$D,B293,'Stock Purchase'!$F:$F)</f>
        <v>0</v>
      </c>
      <c r="G293" s="50">
        <f>SUMIFS('Stock Adjustment'!$E:$E,'Stock Adjustment'!$B:$B,$A293,'Stock Adjustment'!$D:$D,"Customer Returned")</f>
        <v>0</v>
      </c>
      <c r="H293" s="50">
        <f>SUMIF('Daily Sales Entry'!$D:$D,B293,'Daily Sales Entry'!$G:$G)</f>
        <v>0</v>
      </c>
      <c r="I293" s="50">
        <f>SUMIFS('Stock Adjustment'!$E:$E,'Stock Adjustment'!$B:$B,$A293,'Stock Adjustment'!$D:$D,"Staff Consumption")</f>
        <v>0</v>
      </c>
      <c r="J293" s="50">
        <f>SUMIFS('Stock Adjustment'!$E:$E,'Stock Adjustment'!$B:$B,$A293,'Stock Adjustment'!$D:$D,"Damaged")</f>
        <v>0</v>
      </c>
      <c r="K293" s="50">
        <f>SUMIFS('Stock Adjustment'!$E:$E,'Stock Adjustment'!$B:$B,$A293,'Stock Adjustment'!$D:$D,"Expired")</f>
        <v>0</v>
      </c>
      <c r="L293" s="50">
        <f>SUMIFS('Stock Adjustment'!$E:$E,'Stock Adjustment'!$B:$B,$A293,'Stock Adjustment'!$D:$D,"Supplier Returned")</f>
        <v>0</v>
      </c>
      <c r="M2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3" s="53" t="str">
        <f>IF(B293="","",VLOOKUP(B293,'Product Master'!$B:$G,4,FALSE))</f>
        <v/>
      </c>
      <c r="O293" s="53" t="str">
        <f>IF(B293="","",VLOOKUP(B293,'Product Master'!$B:$G,5,FALSE))</f>
        <v/>
      </c>
      <c r="P293" s="50" t="str">
        <f>IF(B293="","",VLOOKUP(B293,'Product Master'!$B:$I,7,FALSE))</f>
        <v/>
      </c>
      <c r="Q293" s="158"/>
      <c r="R293" s="58" t="str">
        <f t="shared" si="4"/>
        <v/>
      </c>
      <c r="S293" s="25"/>
      <c r="T293" s="25"/>
      <c r="U293" s="25"/>
      <c r="V293" s="25"/>
      <c r="W293" s="25"/>
      <c r="X293" s="25"/>
    </row>
    <row r="294" spans="1:24" x14ac:dyDescent="0.25">
      <c r="A294" s="31" t="s">
        <v>854</v>
      </c>
      <c r="B294" s="32"/>
      <c r="C294" s="50" t="str">
        <f>IF(B294="","",VLOOKUP(B294,'Product Master'!$B:$G,2,FALSE))</f>
        <v/>
      </c>
      <c r="D294" s="50" t="str">
        <f>IF(B294="","",VLOOKUP(B294,'Product Master'!$B:$G,3,FALSE))</f>
        <v/>
      </c>
      <c r="E294" s="50"/>
      <c r="F294" s="50">
        <f>SUMIF('Stock Purchase'!$D:$D,B294,'Stock Purchase'!$F:$F)</f>
        <v>0</v>
      </c>
      <c r="G294" s="50">
        <f>SUMIFS('Stock Adjustment'!$E:$E,'Stock Adjustment'!$B:$B,$A294,'Stock Adjustment'!$D:$D,"Customer Returned")</f>
        <v>0</v>
      </c>
      <c r="H294" s="50">
        <f>SUMIF('Daily Sales Entry'!$D:$D,B294,'Daily Sales Entry'!$G:$G)</f>
        <v>0</v>
      </c>
      <c r="I294" s="50">
        <f>SUMIFS('Stock Adjustment'!$E:$E,'Stock Adjustment'!$B:$B,$A294,'Stock Adjustment'!$D:$D,"Staff Consumption")</f>
        <v>0</v>
      </c>
      <c r="J294" s="50">
        <f>SUMIFS('Stock Adjustment'!$E:$E,'Stock Adjustment'!$B:$B,$A294,'Stock Adjustment'!$D:$D,"Damaged")</f>
        <v>0</v>
      </c>
      <c r="K294" s="50">
        <f>SUMIFS('Stock Adjustment'!$E:$E,'Stock Adjustment'!$B:$B,$A294,'Stock Adjustment'!$D:$D,"Expired")</f>
        <v>0</v>
      </c>
      <c r="L294" s="50">
        <f>SUMIFS('Stock Adjustment'!$E:$E,'Stock Adjustment'!$B:$B,$A294,'Stock Adjustment'!$D:$D,"Supplier Returned")</f>
        <v>0</v>
      </c>
      <c r="M2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4" s="53" t="str">
        <f>IF(B294="","",VLOOKUP(B294,'Product Master'!$B:$G,4,FALSE))</f>
        <v/>
      </c>
      <c r="O294" s="53" t="str">
        <f>IF(B294="","",VLOOKUP(B294,'Product Master'!$B:$G,5,FALSE))</f>
        <v/>
      </c>
      <c r="P294" s="50" t="str">
        <f>IF(B294="","",VLOOKUP(B294,'Product Master'!$B:$I,7,FALSE))</f>
        <v/>
      </c>
      <c r="Q294" s="158"/>
      <c r="R294" s="58" t="str">
        <f t="shared" si="4"/>
        <v/>
      </c>
      <c r="S294" s="25"/>
      <c r="T294" s="25"/>
      <c r="U294" s="25"/>
      <c r="V294" s="25"/>
      <c r="W294" s="25"/>
      <c r="X294" s="25"/>
    </row>
    <row r="295" spans="1:24" x14ac:dyDescent="0.25">
      <c r="A295" s="31" t="s">
        <v>855</v>
      </c>
      <c r="B295" s="32"/>
      <c r="C295" s="50" t="str">
        <f>IF(B295="","",VLOOKUP(B295,'Product Master'!$B:$G,2,FALSE))</f>
        <v/>
      </c>
      <c r="D295" s="50" t="str">
        <f>IF(B295="","",VLOOKUP(B295,'Product Master'!$B:$G,3,FALSE))</f>
        <v/>
      </c>
      <c r="E295" s="50"/>
      <c r="F295" s="50">
        <f>SUMIF('Stock Purchase'!$D:$D,B295,'Stock Purchase'!$F:$F)</f>
        <v>0</v>
      </c>
      <c r="G295" s="50">
        <f>SUMIFS('Stock Adjustment'!$E:$E,'Stock Adjustment'!$B:$B,$A295,'Stock Adjustment'!$D:$D,"Customer Returned")</f>
        <v>0</v>
      </c>
      <c r="H295" s="50">
        <f>SUMIF('Daily Sales Entry'!$D:$D,B295,'Daily Sales Entry'!$G:$G)</f>
        <v>0</v>
      </c>
      <c r="I295" s="50">
        <f>SUMIFS('Stock Adjustment'!$E:$E,'Stock Adjustment'!$B:$B,$A295,'Stock Adjustment'!$D:$D,"Staff Consumption")</f>
        <v>0</v>
      </c>
      <c r="J295" s="50">
        <f>SUMIFS('Stock Adjustment'!$E:$E,'Stock Adjustment'!$B:$B,$A295,'Stock Adjustment'!$D:$D,"Damaged")</f>
        <v>0</v>
      </c>
      <c r="K295" s="50">
        <f>SUMIFS('Stock Adjustment'!$E:$E,'Stock Adjustment'!$B:$B,$A295,'Stock Adjustment'!$D:$D,"Expired")</f>
        <v>0</v>
      </c>
      <c r="L295" s="50">
        <f>SUMIFS('Stock Adjustment'!$E:$E,'Stock Adjustment'!$B:$B,$A295,'Stock Adjustment'!$D:$D,"Supplier Returned")</f>
        <v>0</v>
      </c>
      <c r="M2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5" s="53" t="str">
        <f>IF(B295="","",VLOOKUP(B295,'Product Master'!$B:$G,4,FALSE))</f>
        <v/>
      </c>
      <c r="O295" s="53" t="str">
        <f>IF(B295="","",VLOOKUP(B295,'Product Master'!$B:$G,5,FALSE))</f>
        <v/>
      </c>
      <c r="P295" s="50" t="str">
        <f>IF(B295="","",VLOOKUP(B295,'Product Master'!$B:$I,7,FALSE))</f>
        <v/>
      </c>
      <c r="Q295" s="158"/>
      <c r="R295" s="58" t="str">
        <f t="shared" si="4"/>
        <v/>
      </c>
      <c r="S295" s="25"/>
      <c r="T295" s="25"/>
      <c r="U295" s="25"/>
      <c r="V295" s="25"/>
      <c r="W295" s="25"/>
      <c r="X295" s="25"/>
    </row>
    <row r="296" spans="1:24" x14ac:dyDescent="0.25">
      <c r="A296" s="31" t="s">
        <v>856</v>
      </c>
      <c r="B296" s="32"/>
      <c r="C296" s="50" t="str">
        <f>IF(B296="","",VLOOKUP(B296,'Product Master'!$B:$G,2,FALSE))</f>
        <v/>
      </c>
      <c r="D296" s="50" t="str">
        <f>IF(B296="","",VLOOKUP(B296,'Product Master'!$B:$G,3,FALSE))</f>
        <v/>
      </c>
      <c r="E296" s="50"/>
      <c r="F296" s="50">
        <f>SUMIF('Stock Purchase'!$D:$D,B296,'Stock Purchase'!$F:$F)</f>
        <v>0</v>
      </c>
      <c r="G296" s="50">
        <f>SUMIFS('Stock Adjustment'!$E:$E,'Stock Adjustment'!$B:$B,$A296,'Stock Adjustment'!$D:$D,"Customer Returned")</f>
        <v>0</v>
      </c>
      <c r="H296" s="50">
        <f>SUMIF('Daily Sales Entry'!$D:$D,B296,'Daily Sales Entry'!$G:$G)</f>
        <v>0</v>
      </c>
      <c r="I296" s="50">
        <f>SUMIFS('Stock Adjustment'!$E:$E,'Stock Adjustment'!$B:$B,$A296,'Stock Adjustment'!$D:$D,"Staff Consumption")</f>
        <v>0</v>
      </c>
      <c r="J296" s="50">
        <f>SUMIFS('Stock Adjustment'!$E:$E,'Stock Adjustment'!$B:$B,$A296,'Stock Adjustment'!$D:$D,"Damaged")</f>
        <v>0</v>
      </c>
      <c r="K296" s="50">
        <f>SUMIFS('Stock Adjustment'!$E:$E,'Stock Adjustment'!$B:$B,$A296,'Stock Adjustment'!$D:$D,"Expired")</f>
        <v>0</v>
      </c>
      <c r="L296" s="50">
        <f>SUMIFS('Stock Adjustment'!$E:$E,'Stock Adjustment'!$B:$B,$A296,'Stock Adjustment'!$D:$D,"Supplier Returned")</f>
        <v>0</v>
      </c>
      <c r="M2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6" s="53" t="str">
        <f>IF(B296="","",VLOOKUP(B296,'Product Master'!$B:$G,4,FALSE))</f>
        <v/>
      </c>
      <c r="O296" s="53" t="str">
        <f>IF(B296="","",VLOOKUP(B296,'Product Master'!$B:$G,5,FALSE))</f>
        <v/>
      </c>
      <c r="P296" s="50" t="str">
        <f>IF(B296="","",VLOOKUP(B296,'Product Master'!$B:$I,7,FALSE))</f>
        <v/>
      </c>
      <c r="Q296" s="158"/>
      <c r="R296" s="58" t="str">
        <f t="shared" si="4"/>
        <v/>
      </c>
      <c r="S296" s="25"/>
      <c r="T296" s="25"/>
      <c r="U296" s="25"/>
      <c r="V296" s="25"/>
      <c r="W296" s="25"/>
      <c r="X296" s="25"/>
    </row>
    <row r="297" spans="1:24" x14ac:dyDescent="0.25">
      <c r="A297" s="31" t="s">
        <v>857</v>
      </c>
      <c r="B297" s="32"/>
      <c r="C297" s="50" t="str">
        <f>IF(B297="","",VLOOKUP(B297,'Product Master'!$B:$G,2,FALSE))</f>
        <v/>
      </c>
      <c r="D297" s="50" t="str">
        <f>IF(B297="","",VLOOKUP(B297,'Product Master'!$B:$G,3,FALSE))</f>
        <v/>
      </c>
      <c r="E297" s="50"/>
      <c r="F297" s="50">
        <f>SUMIF('Stock Purchase'!$D:$D,B297,'Stock Purchase'!$F:$F)</f>
        <v>0</v>
      </c>
      <c r="G297" s="50">
        <f>SUMIFS('Stock Adjustment'!$E:$E,'Stock Adjustment'!$B:$B,$A297,'Stock Adjustment'!$D:$D,"Customer Returned")</f>
        <v>0</v>
      </c>
      <c r="H297" s="50">
        <f>SUMIF('Daily Sales Entry'!$D:$D,B297,'Daily Sales Entry'!$G:$G)</f>
        <v>0</v>
      </c>
      <c r="I297" s="50">
        <f>SUMIFS('Stock Adjustment'!$E:$E,'Stock Adjustment'!$B:$B,$A297,'Stock Adjustment'!$D:$D,"Staff Consumption")</f>
        <v>0</v>
      </c>
      <c r="J297" s="50">
        <f>SUMIFS('Stock Adjustment'!$E:$E,'Stock Adjustment'!$B:$B,$A297,'Stock Adjustment'!$D:$D,"Damaged")</f>
        <v>0</v>
      </c>
      <c r="K297" s="50">
        <f>SUMIFS('Stock Adjustment'!$E:$E,'Stock Adjustment'!$B:$B,$A297,'Stock Adjustment'!$D:$D,"Expired")</f>
        <v>0</v>
      </c>
      <c r="L297" s="50">
        <f>SUMIFS('Stock Adjustment'!$E:$E,'Stock Adjustment'!$B:$B,$A297,'Stock Adjustment'!$D:$D,"Supplier Returned")</f>
        <v>0</v>
      </c>
      <c r="M2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7" s="53" t="str">
        <f>IF(B297="","",VLOOKUP(B297,'Product Master'!$B:$G,4,FALSE))</f>
        <v/>
      </c>
      <c r="O297" s="53" t="str">
        <f>IF(B297="","",VLOOKUP(B297,'Product Master'!$B:$G,5,FALSE))</f>
        <v/>
      </c>
      <c r="P297" s="50" t="str">
        <f>IF(B297="","",VLOOKUP(B297,'Product Master'!$B:$I,7,FALSE))</f>
        <v/>
      </c>
      <c r="Q297" s="158"/>
      <c r="R297" s="58" t="str">
        <f t="shared" si="4"/>
        <v/>
      </c>
      <c r="S297" s="25"/>
      <c r="T297" s="25"/>
      <c r="U297" s="25"/>
      <c r="V297" s="25"/>
      <c r="W297" s="25"/>
      <c r="X297" s="25"/>
    </row>
    <row r="298" spans="1:24" x14ac:dyDescent="0.25">
      <c r="A298" s="31" t="s">
        <v>858</v>
      </c>
      <c r="B298" s="32"/>
      <c r="C298" s="50" t="str">
        <f>IF(B298="","",VLOOKUP(B298,'Product Master'!$B:$G,2,FALSE))</f>
        <v/>
      </c>
      <c r="D298" s="50" t="str">
        <f>IF(B298="","",VLOOKUP(B298,'Product Master'!$B:$G,3,FALSE))</f>
        <v/>
      </c>
      <c r="E298" s="50"/>
      <c r="F298" s="50">
        <f>SUMIF('Stock Purchase'!$D:$D,B298,'Stock Purchase'!$F:$F)</f>
        <v>0</v>
      </c>
      <c r="G298" s="50">
        <f>SUMIFS('Stock Adjustment'!$E:$E,'Stock Adjustment'!$B:$B,$A298,'Stock Adjustment'!$D:$D,"Customer Returned")</f>
        <v>0</v>
      </c>
      <c r="H298" s="50">
        <f>SUMIF('Daily Sales Entry'!$D:$D,B298,'Daily Sales Entry'!$G:$G)</f>
        <v>0</v>
      </c>
      <c r="I298" s="50">
        <f>SUMIFS('Stock Adjustment'!$E:$E,'Stock Adjustment'!$B:$B,$A298,'Stock Adjustment'!$D:$D,"Staff Consumption")</f>
        <v>0</v>
      </c>
      <c r="J298" s="50">
        <f>SUMIFS('Stock Adjustment'!$E:$E,'Stock Adjustment'!$B:$B,$A298,'Stock Adjustment'!$D:$D,"Damaged")</f>
        <v>0</v>
      </c>
      <c r="K298" s="50">
        <f>SUMIFS('Stock Adjustment'!$E:$E,'Stock Adjustment'!$B:$B,$A298,'Stock Adjustment'!$D:$D,"Expired")</f>
        <v>0</v>
      </c>
      <c r="L298" s="50">
        <f>SUMIFS('Stock Adjustment'!$E:$E,'Stock Adjustment'!$B:$B,$A298,'Stock Adjustment'!$D:$D,"Supplier Returned")</f>
        <v>0</v>
      </c>
      <c r="M2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8" s="53" t="str">
        <f>IF(B298="","",VLOOKUP(B298,'Product Master'!$B:$G,4,FALSE))</f>
        <v/>
      </c>
      <c r="O298" s="53" t="str">
        <f>IF(B298="","",VLOOKUP(B298,'Product Master'!$B:$G,5,FALSE))</f>
        <v/>
      </c>
      <c r="P298" s="50" t="str">
        <f>IF(B298="","",VLOOKUP(B298,'Product Master'!$B:$I,7,FALSE))</f>
        <v/>
      </c>
      <c r="Q298" s="158"/>
      <c r="R298" s="58" t="str">
        <f t="shared" si="4"/>
        <v/>
      </c>
      <c r="S298" s="25"/>
      <c r="T298" s="25"/>
      <c r="U298" s="25"/>
      <c r="V298" s="25"/>
      <c r="W298" s="25"/>
      <c r="X298" s="25"/>
    </row>
    <row r="299" spans="1:24" x14ac:dyDescent="0.25">
      <c r="A299" s="31" t="s">
        <v>859</v>
      </c>
      <c r="B299" s="32"/>
      <c r="C299" s="50" t="str">
        <f>IF(B299="","",VLOOKUP(B299,'Product Master'!$B:$G,2,FALSE))</f>
        <v/>
      </c>
      <c r="D299" s="50" t="str">
        <f>IF(B299="","",VLOOKUP(B299,'Product Master'!$B:$G,3,FALSE))</f>
        <v/>
      </c>
      <c r="E299" s="50"/>
      <c r="F299" s="50">
        <f>SUMIF('Stock Purchase'!$D:$D,B299,'Stock Purchase'!$F:$F)</f>
        <v>0</v>
      </c>
      <c r="G299" s="50">
        <f>SUMIFS('Stock Adjustment'!$E:$E,'Stock Adjustment'!$B:$B,$A299,'Stock Adjustment'!$D:$D,"Customer Returned")</f>
        <v>0</v>
      </c>
      <c r="H299" s="50">
        <f>SUMIF('Daily Sales Entry'!$D:$D,B299,'Daily Sales Entry'!$G:$G)</f>
        <v>0</v>
      </c>
      <c r="I299" s="50">
        <f>SUMIFS('Stock Adjustment'!$E:$E,'Stock Adjustment'!$B:$B,$A299,'Stock Adjustment'!$D:$D,"Staff Consumption")</f>
        <v>0</v>
      </c>
      <c r="J299" s="50">
        <f>SUMIFS('Stock Adjustment'!$E:$E,'Stock Adjustment'!$B:$B,$A299,'Stock Adjustment'!$D:$D,"Damaged")</f>
        <v>0</v>
      </c>
      <c r="K299" s="50">
        <f>SUMIFS('Stock Adjustment'!$E:$E,'Stock Adjustment'!$B:$B,$A299,'Stock Adjustment'!$D:$D,"Expired")</f>
        <v>0</v>
      </c>
      <c r="L299" s="50">
        <f>SUMIFS('Stock Adjustment'!$E:$E,'Stock Adjustment'!$B:$B,$A299,'Stock Adjustment'!$D:$D,"Supplier Returned")</f>
        <v>0</v>
      </c>
      <c r="M2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299" s="53" t="str">
        <f>IF(B299="","",VLOOKUP(B299,'Product Master'!$B:$G,4,FALSE))</f>
        <v/>
      </c>
      <c r="O299" s="53" t="str">
        <f>IF(B299="","",VLOOKUP(B299,'Product Master'!$B:$G,5,FALSE))</f>
        <v/>
      </c>
      <c r="P299" s="50" t="str">
        <f>IF(B299="","",VLOOKUP(B299,'Product Master'!$B:$I,7,FALSE))</f>
        <v/>
      </c>
      <c r="Q299" s="158"/>
      <c r="R299" s="58" t="str">
        <f t="shared" si="4"/>
        <v/>
      </c>
      <c r="S299" s="25"/>
      <c r="T299" s="25"/>
      <c r="U299" s="25"/>
      <c r="V299" s="25"/>
      <c r="W299" s="25"/>
      <c r="X299" s="25"/>
    </row>
    <row r="300" spans="1:24" x14ac:dyDescent="0.25">
      <c r="A300" s="31" t="s">
        <v>860</v>
      </c>
      <c r="B300" s="32"/>
      <c r="C300" s="50" t="str">
        <f>IF(B300="","",VLOOKUP(B300,'Product Master'!$B:$G,2,FALSE))</f>
        <v/>
      </c>
      <c r="D300" s="50" t="str">
        <f>IF(B300="","",VLOOKUP(B300,'Product Master'!$B:$G,3,FALSE))</f>
        <v/>
      </c>
      <c r="E300" s="50"/>
      <c r="F300" s="50">
        <f>SUMIF('Stock Purchase'!$D:$D,B300,'Stock Purchase'!$F:$F)</f>
        <v>0</v>
      </c>
      <c r="G300" s="50">
        <f>SUMIFS('Stock Adjustment'!$E:$E,'Stock Adjustment'!$B:$B,$A300,'Stock Adjustment'!$D:$D,"Customer Returned")</f>
        <v>0</v>
      </c>
      <c r="H300" s="50">
        <f>SUMIF('Daily Sales Entry'!$D:$D,B300,'Daily Sales Entry'!$G:$G)</f>
        <v>0</v>
      </c>
      <c r="I300" s="50">
        <f>SUMIFS('Stock Adjustment'!$E:$E,'Stock Adjustment'!$B:$B,$A300,'Stock Adjustment'!$D:$D,"Staff Consumption")</f>
        <v>0</v>
      </c>
      <c r="J300" s="50">
        <f>SUMIFS('Stock Adjustment'!$E:$E,'Stock Adjustment'!$B:$B,$A300,'Stock Adjustment'!$D:$D,"Damaged")</f>
        <v>0</v>
      </c>
      <c r="K300" s="50">
        <f>SUMIFS('Stock Adjustment'!$E:$E,'Stock Adjustment'!$B:$B,$A300,'Stock Adjustment'!$D:$D,"Expired")</f>
        <v>0</v>
      </c>
      <c r="L300" s="50">
        <f>SUMIFS('Stock Adjustment'!$E:$E,'Stock Adjustment'!$B:$B,$A300,'Stock Adjustment'!$D:$D,"Supplier Returned")</f>
        <v>0</v>
      </c>
      <c r="M3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0" s="53" t="str">
        <f>IF(B300="","",VLOOKUP(B300,'Product Master'!$B:$G,4,FALSE))</f>
        <v/>
      </c>
      <c r="O300" s="53" t="str">
        <f>IF(B300="","",VLOOKUP(B300,'Product Master'!$B:$G,5,FALSE))</f>
        <v/>
      </c>
      <c r="P300" s="50" t="str">
        <f>IF(B300="","",VLOOKUP(B300,'Product Master'!$B:$I,7,FALSE))</f>
        <v/>
      </c>
      <c r="Q300" s="158"/>
      <c r="R300" s="58" t="str">
        <f t="shared" si="4"/>
        <v/>
      </c>
      <c r="S300" s="25"/>
      <c r="T300" s="25"/>
      <c r="U300" s="25"/>
      <c r="V300" s="25"/>
      <c r="W300" s="25"/>
      <c r="X300" s="25"/>
    </row>
    <row r="301" spans="1:24" x14ac:dyDescent="0.25">
      <c r="A301" s="31" t="s">
        <v>861</v>
      </c>
      <c r="B301" s="32"/>
      <c r="C301" s="50" t="str">
        <f>IF(B301="","",VLOOKUP(B301,'Product Master'!$B:$G,2,FALSE))</f>
        <v/>
      </c>
      <c r="D301" s="50" t="str">
        <f>IF(B301="","",VLOOKUP(B301,'Product Master'!$B:$G,3,FALSE))</f>
        <v/>
      </c>
      <c r="E301" s="50"/>
      <c r="F301" s="50">
        <f>SUMIF('Stock Purchase'!$D:$D,B301,'Stock Purchase'!$F:$F)</f>
        <v>0</v>
      </c>
      <c r="G301" s="50">
        <f>SUMIFS('Stock Adjustment'!$E:$E,'Stock Adjustment'!$B:$B,$A301,'Stock Adjustment'!$D:$D,"Customer Returned")</f>
        <v>0</v>
      </c>
      <c r="H301" s="50">
        <f>SUMIF('Daily Sales Entry'!$D:$D,B301,'Daily Sales Entry'!$G:$G)</f>
        <v>0</v>
      </c>
      <c r="I301" s="50">
        <f>SUMIFS('Stock Adjustment'!$E:$E,'Stock Adjustment'!$B:$B,$A301,'Stock Adjustment'!$D:$D,"Staff Consumption")</f>
        <v>0</v>
      </c>
      <c r="J301" s="50">
        <f>SUMIFS('Stock Adjustment'!$E:$E,'Stock Adjustment'!$B:$B,$A301,'Stock Adjustment'!$D:$D,"Damaged")</f>
        <v>0</v>
      </c>
      <c r="K301" s="50">
        <f>SUMIFS('Stock Adjustment'!$E:$E,'Stock Adjustment'!$B:$B,$A301,'Stock Adjustment'!$D:$D,"Expired")</f>
        <v>0</v>
      </c>
      <c r="L301" s="50">
        <f>SUMIFS('Stock Adjustment'!$E:$E,'Stock Adjustment'!$B:$B,$A301,'Stock Adjustment'!$D:$D,"Supplier Returned")</f>
        <v>0</v>
      </c>
      <c r="M3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1" s="53" t="str">
        <f>IF(B301="","",VLOOKUP(B301,'Product Master'!$B:$G,4,FALSE))</f>
        <v/>
      </c>
      <c r="O301" s="53" t="str">
        <f>IF(B301="","",VLOOKUP(B301,'Product Master'!$B:$G,5,FALSE))</f>
        <v/>
      </c>
      <c r="P301" s="50" t="str">
        <f>IF(B301="","",VLOOKUP(B301,'Product Master'!$B:$I,7,FALSE))</f>
        <v/>
      </c>
      <c r="Q301" s="158"/>
      <c r="R301" s="58" t="str">
        <f t="shared" si="4"/>
        <v/>
      </c>
      <c r="S301" s="25"/>
      <c r="T301" s="25"/>
      <c r="U301" s="25"/>
      <c r="V301" s="25"/>
      <c r="W301" s="25"/>
      <c r="X301" s="25"/>
    </row>
    <row r="302" spans="1:24" x14ac:dyDescent="0.25">
      <c r="A302" s="31" t="s">
        <v>862</v>
      </c>
      <c r="B302" s="32"/>
      <c r="C302" s="50" t="str">
        <f>IF(B302="","",VLOOKUP(B302,'Product Master'!$B:$G,2,FALSE))</f>
        <v/>
      </c>
      <c r="D302" s="50" t="str">
        <f>IF(B302="","",VLOOKUP(B302,'Product Master'!$B:$G,3,FALSE))</f>
        <v/>
      </c>
      <c r="E302" s="50"/>
      <c r="F302" s="50">
        <f>SUMIF('Stock Purchase'!$D:$D,B302,'Stock Purchase'!$F:$F)</f>
        <v>0</v>
      </c>
      <c r="G302" s="50">
        <f>SUMIFS('Stock Adjustment'!$E:$E,'Stock Adjustment'!$B:$B,$A302,'Stock Adjustment'!$D:$D,"Customer Returned")</f>
        <v>0</v>
      </c>
      <c r="H302" s="50">
        <f>SUMIF('Daily Sales Entry'!$D:$D,B302,'Daily Sales Entry'!$G:$G)</f>
        <v>0</v>
      </c>
      <c r="I302" s="50">
        <f>SUMIFS('Stock Adjustment'!$E:$E,'Stock Adjustment'!$B:$B,$A302,'Stock Adjustment'!$D:$D,"Staff Consumption")</f>
        <v>0</v>
      </c>
      <c r="J302" s="50">
        <f>SUMIFS('Stock Adjustment'!$E:$E,'Stock Adjustment'!$B:$B,$A302,'Stock Adjustment'!$D:$D,"Damaged")</f>
        <v>0</v>
      </c>
      <c r="K302" s="50">
        <f>SUMIFS('Stock Adjustment'!$E:$E,'Stock Adjustment'!$B:$B,$A302,'Stock Adjustment'!$D:$D,"Expired")</f>
        <v>0</v>
      </c>
      <c r="L302" s="50">
        <f>SUMIFS('Stock Adjustment'!$E:$E,'Stock Adjustment'!$B:$B,$A302,'Stock Adjustment'!$D:$D,"Supplier Returned")</f>
        <v>0</v>
      </c>
      <c r="M3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2" s="53" t="str">
        <f>IF(B302="","",VLOOKUP(B302,'Product Master'!$B:$G,4,FALSE))</f>
        <v/>
      </c>
      <c r="O302" s="53" t="str">
        <f>IF(B302="","",VLOOKUP(B302,'Product Master'!$B:$G,5,FALSE))</f>
        <v/>
      </c>
      <c r="P302" s="50" t="str">
        <f>IF(B302="","",VLOOKUP(B302,'Product Master'!$B:$I,7,FALSE))</f>
        <v/>
      </c>
      <c r="Q302" s="158"/>
      <c r="R302" s="58" t="str">
        <f t="shared" si="4"/>
        <v/>
      </c>
      <c r="S302" s="25"/>
      <c r="T302" s="25"/>
      <c r="U302" s="25"/>
      <c r="V302" s="25"/>
      <c r="W302" s="25"/>
      <c r="X302" s="25"/>
    </row>
    <row r="303" spans="1:24" x14ac:dyDescent="0.25">
      <c r="A303" s="31" t="s">
        <v>863</v>
      </c>
      <c r="B303" s="32"/>
      <c r="C303" s="50" t="str">
        <f>IF(B303="","",VLOOKUP(B303,'Product Master'!$B:$G,2,FALSE))</f>
        <v/>
      </c>
      <c r="D303" s="50" t="str">
        <f>IF(B303="","",VLOOKUP(B303,'Product Master'!$B:$G,3,FALSE))</f>
        <v/>
      </c>
      <c r="E303" s="50"/>
      <c r="F303" s="50">
        <f>SUMIF('Stock Purchase'!$D:$D,B303,'Stock Purchase'!$F:$F)</f>
        <v>0</v>
      </c>
      <c r="G303" s="50">
        <f>SUMIFS('Stock Adjustment'!$E:$E,'Stock Adjustment'!$B:$B,$A303,'Stock Adjustment'!$D:$D,"Customer Returned")</f>
        <v>0</v>
      </c>
      <c r="H303" s="50">
        <f>SUMIF('Daily Sales Entry'!$D:$D,B303,'Daily Sales Entry'!$G:$G)</f>
        <v>0</v>
      </c>
      <c r="I303" s="50">
        <f>SUMIFS('Stock Adjustment'!$E:$E,'Stock Adjustment'!$B:$B,$A303,'Stock Adjustment'!$D:$D,"Staff Consumption")</f>
        <v>0</v>
      </c>
      <c r="J303" s="50">
        <f>SUMIFS('Stock Adjustment'!$E:$E,'Stock Adjustment'!$B:$B,$A303,'Stock Adjustment'!$D:$D,"Damaged")</f>
        <v>0</v>
      </c>
      <c r="K303" s="50">
        <f>SUMIFS('Stock Adjustment'!$E:$E,'Stock Adjustment'!$B:$B,$A303,'Stock Adjustment'!$D:$D,"Expired")</f>
        <v>0</v>
      </c>
      <c r="L303" s="50">
        <f>SUMIFS('Stock Adjustment'!$E:$E,'Stock Adjustment'!$B:$B,$A303,'Stock Adjustment'!$D:$D,"Supplier Returned")</f>
        <v>0</v>
      </c>
      <c r="M3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3" s="53" t="str">
        <f>IF(B303="","",VLOOKUP(B303,'Product Master'!$B:$G,4,FALSE))</f>
        <v/>
      </c>
      <c r="O303" s="53" t="str">
        <f>IF(B303="","",VLOOKUP(B303,'Product Master'!$B:$G,5,FALSE))</f>
        <v/>
      </c>
      <c r="P303" s="50" t="str">
        <f>IF(B303="","",VLOOKUP(B303,'Product Master'!$B:$I,7,FALSE))</f>
        <v/>
      </c>
      <c r="Q303" s="158"/>
      <c r="R303" s="58" t="str">
        <f t="shared" si="4"/>
        <v/>
      </c>
      <c r="S303" s="25"/>
      <c r="T303" s="25"/>
      <c r="U303" s="25"/>
      <c r="V303" s="25"/>
      <c r="W303" s="25"/>
      <c r="X303" s="25"/>
    </row>
    <row r="304" spans="1:24" x14ac:dyDescent="0.25">
      <c r="A304" s="31" t="s">
        <v>864</v>
      </c>
      <c r="B304" s="32"/>
      <c r="C304" s="50" t="str">
        <f>IF(B304="","",VLOOKUP(B304,'Product Master'!$B:$G,2,FALSE))</f>
        <v/>
      </c>
      <c r="D304" s="50" t="str">
        <f>IF(B304="","",VLOOKUP(B304,'Product Master'!$B:$G,3,FALSE))</f>
        <v/>
      </c>
      <c r="E304" s="50"/>
      <c r="F304" s="50">
        <f>SUMIF('Stock Purchase'!$D:$D,B304,'Stock Purchase'!$F:$F)</f>
        <v>0</v>
      </c>
      <c r="G304" s="50">
        <f>SUMIFS('Stock Adjustment'!$E:$E,'Stock Adjustment'!$B:$B,$A304,'Stock Adjustment'!$D:$D,"Customer Returned")</f>
        <v>0</v>
      </c>
      <c r="H304" s="50">
        <f>SUMIF('Daily Sales Entry'!$D:$D,B304,'Daily Sales Entry'!$G:$G)</f>
        <v>0</v>
      </c>
      <c r="I304" s="50">
        <f>SUMIFS('Stock Adjustment'!$E:$E,'Stock Adjustment'!$B:$B,$A304,'Stock Adjustment'!$D:$D,"Staff Consumption")</f>
        <v>0</v>
      </c>
      <c r="J304" s="50">
        <f>SUMIFS('Stock Adjustment'!$E:$E,'Stock Adjustment'!$B:$B,$A304,'Stock Adjustment'!$D:$D,"Damaged")</f>
        <v>0</v>
      </c>
      <c r="K304" s="50">
        <f>SUMIFS('Stock Adjustment'!$E:$E,'Stock Adjustment'!$B:$B,$A304,'Stock Adjustment'!$D:$D,"Expired")</f>
        <v>0</v>
      </c>
      <c r="L304" s="50">
        <f>SUMIFS('Stock Adjustment'!$E:$E,'Stock Adjustment'!$B:$B,$A304,'Stock Adjustment'!$D:$D,"Supplier Returned")</f>
        <v>0</v>
      </c>
      <c r="M3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4" s="53" t="str">
        <f>IF(B304="","",VLOOKUP(B304,'Product Master'!$B:$G,4,FALSE))</f>
        <v/>
      </c>
      <c r="O304" s="53" t="str">
        <f>IF(B304="","",VLOOKUP(B304,'Product Master'!$B:$G,5,FALSE))</f>
        <v/>
      </c>
      <c r="P304" s="50" t="str">
        <f>IF(B304="","",VLOOKUP(B304,'Product Master'!$B:$I,7,FALSE))</f>
        <v/>
      </c>
      <c r="Q304" s="158"/>
      <c r="R304" s="58" t="str">
        <f t="shared" si="4"/>
        <v/>
      </c>
      <c r="S304" s="25"/>
      <c r="T304" s="25"/>
      <c r="U304" s="25"/>
      <c r="V304" s="25"/>
      <c r="W304" s="25"/>
      <c r="X304" s="25"/>
    </row>
    <row r="305" spans="1:24" x14ac:dyDescent="0.25">
      <c r="A305" s="31" t="s">
        <v>865</v>
      </c>
      <c r="B305" s="32"/>
      <c r="C305" s="50" t="str">
        <f>IF(B305="","",VLOOKUP(B305,'Product Master'!$B:$G,2,FALSE))</f>
        <v/>
      </c>
      <c r="D305" s="50" t="str">
        <f>IF(B305="","",VLOOKUP(B305,'Product Master'!$B:$G,3,FALSE))</f>
        <v/>
      </c>
      <c r="E305" s="50"/>
      <c r="F305" s="50">
        <f>SUMIF('Stock Purchase'!$D:$D,B305,'Stock Purchase'!$F:$F)</f>
        <v>0</v>
      </c>
      <c r="G305" s="50">
        <f>SUMIFS('Stock Adjustment'!$E:$E,'Stock Adjustment'!$B:$B,$A305,'Stock Adjustment'!$D:$D,"Customer Returned")</f>
        <v>0</v>
      </c>
      <c r="H305" s="50">
        <f>SUMIF('Daily Sales Entry'!$D:$D,B305,'Daily Sales Entry'!$G:$G)</f>
        <v>0</v>
      </c>
      <c r="I305" s="50">
        <f>SUMIFS('Stock Adjustment'!$E:$E,'Stock Adjustment'!$B:$B,$A305,'Stock Adjustment'!$D:$D,"Staff Consumption")</f>
        <v>0</v>
      </c>
      <c r="J305" s="50">
        <f>SUMIFS('Stock Adjustment'!$E:$E,'Stock Adjustment'!$B:$B,$A305,'Stock Adjustment'!$D:$D,"Damaged")</f>
        <v>0</v>
      </c>
      <c r="K305" s="50">
        <f>SUMIFS('Stock Adjustment'!$E:$E,'Stock Adjustment'!$B:$B,$A305,'Stock Adjustment'!$D:$D,"Expired")</f>
        <v>0</v>
      </c>
      <c r="L305" s="50">
        <f>SUMIFS('Stock Adjustment'!$E:$E,'Stock Adjustment'!$B:$B,$A305,'Stock Adjustment'!$D:$D,"Supplier Returned")</f>
        <v>0</v>
      </c>
      <c r="M3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5" s="53" t="str">
        <f>IF(B305="","",VLOOKUP(B305,'Product Master'!$B:$G,4,FALSE))</f>
        <v/>
      </c>
      <c r="O305" s="53" t="str">
        <f>IF(B305="","",VLOOKUP(B305,'Product Master'!$B:$G,5,FALSE))</f>
        <v/>
      </c>
      <c r="P305" s="50" t="str">
        <f>IF(B305="","",VLOOKUP(B305,'Product Master'!$B:$I,7,FALSE))</f>
        <v/>
      </c>
      <c r="Q305" s="158"/>
      <c r="R305" s="58" t="str">
        <f t="shared" si="4"/>
        <v/>
      </c>
      <c r="S305" s="25"/>
      <c r="T305" s="25"/>
      <c r="U305" s="25"/>
      <c r="V305" s="25"/>
      <c r="W305" s="25"/>
      <c r="X305" s="25"/>
    </row>
    <row r="306" spans="1:24" x14ac:dyDescent="0.25">
      <c r="A306" s="31" t="s">
        <v>866</v>
      </c>
      <c r="B306" s="32"/>
      <c r="C306" s="50" t="str">
        <f>IF(B306="","",VLOOKUP(B306,'Product Master'!$B:$G,2,FALSE))</f>
        <v/>
      </c>
      <c r="D306" s="50" t="str">
        <f>IF(B306="","",VLOOKUP(B306,'Product Master'!$B:$G,3,FALSE))</f>
        <v/>
      </c>
      <c r="E306" s="50"/>
      <c r="F306" s="50">
        <f>SUMIF('Stock Purchase'!$D:$D,B306,'Stock Purchase'!$F:$F)</f>
        <v>0</v>
      </c>
      <c r="G306" s="50">
        <f>SUMIFS('Stock Adjustment'!$E:$E,'Stock Adjustment'!$B:$B,$A306,'Stock Adjustment'!$D:$D,"Customer Returned")</f>
        <v>0</v>
      </c>
      <c r="H306" s="50">
        <f>SUMIF('Daily Sales Entry'!$D:$D,B306,'Daily Sales Entry'!$G:$G)</f>
        <v>0</v>
      </c>
      <c r="I306" s="50">
        <f>SUMIFS('Stock Adjustment'!$E:$E,'Stock Adjustment'!$B:$B,$A306,'Stock Adjustment'!$D:$D,"Staff Consumption")</f>
        <v>0</v>
      </c>
      <c r="J306" s="50">
        <f>SUMIFS('Stock Adjustment'!$E:$E,'Stock Adjustment'!$B:$B,$A306,'Stock Adjustment'!$D:$D,"Damaged")</f>
        <v>0</v>
      </c>
      <c r="K306" s="50">
        <f>SUMIFS('Stock Adjustment'!$E:$E,'Stock Adjustment'!$B:$B,$A306,'Stock Adjustment'!$D:$D,"Expired")</f>
        <v>0</v>
      </c>
      <c r="L306" s="50">
        <f>SUMIFS('Stock Adjustment'!$E:$E,'Stock Adjustment'!$B:$B,$A306,'Stock Adjustment'!$D:$D,"Supplier Returned")</f>
        <v>0</v>
      </c>
      <c r="M3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6" s="53" t="str">
        <f>IF(B306="","",VLOOKUP(B306,'Product Master'!$B:$G,4,FALSE))</f>
        <v/>
      </c>
      <c r="O306" s="53" t="str">
        <f>IF(B306="","",VLOOKUP(B306,'Product Master'!$B:$G,5,FALSE))</f>
        <v/>
      </c>
      <c r="P306" s="50" t="str">
        <f>IF(B306="","",VLOOKUP(B306,'Product Master'!$B:$I,7,FALSE))</f>
        <v/>
      </c>
      <c r="Q306" s="158"/>
      <c r="R306" s="58" t="str">
        <f t="shared" si="4"/>
        <v/>
      </c>
      <c r="S306" s="25"/>
      <c r="T306" s="25"/>
      <c r="U306" s="25"/>
      <c r="V306" s="25"/>
      <c r="W306" s="25"/>
      <c r="X306" s="25"/>
    </row>
    <row r="307" spans="1:24" x14ac:dyDescent="0.25">
      <c r="A307" s="31" t="s">
        <v>867</v>
      </c>
      <c r="B307" s="32"/>
      <c r="C307" s="50" t="str">
        <f>IF(B307="","",VLOOKUP(B307,'Product Master'!$B:$G,2,FALSE))</f>
        <v/>
      </c>
      <c r="D307" s="50" t="str">
        <f>IF(B307="","",VLOOKUP(B307,'Product Master'!$B:$G,3,FALSE))</f>
        <v/>
      </c>
      <c r="E307" s="50"/>
      <c r="F307" s="50">
        <f>SUMIF('Stock Purchase'!$D:$D,B307,'Stock Purchase'!$F:$F)</f>
        <v>0</v>
      </c>
      <c r="G307" s="50">
        <f>SUMIFS('Stock Adjustment'!$E:$E,'Stock Adjustment'!$B:$B,$A307,'Stock Adjustment'!$D:$D,"Customer Returned")</f>
        <v>0</v>
      </c>
      <c r="H307" s="50">
        <f>SUMIF('Daily Sales Entry'!$D:$D,B307,'Daily Sales Entry'!$G:$G)</f>
        <v>0</v>
      </c>
      <c r="I307" s="50">
        <f>SUMIFS('Stock Adjustment'!$E:$E,'Stock Adjustment'!$B:$B,$A307,'Stock Adjustment'!$D:$D,"Staff Consumption")</f>
        <v>0</v>
      </c>
      <c r="J307" s="50">
        <f>SUMIFS('Stock Adjustment'!$E:$E,'Stock Adjustment'!$B:$B,$A307,'Stock Adjustment'!$D:$D,"Damaged")</f>
        <v>0</v>
      </c>
      <c r="K307" s="50">
        <f>SUMIFS('Stock Adjustment'!$E:$E,'Stock Adjustment'!$B:$B,$A307,'Stock Adjustment'!$D:$D,"Expired")</f>
        <v>0</v>
      </c>
      <c r="L307" s="50">
        <f>SUMIFS('Stock Adjustment'!$E:$E,'Stock Adjustment'!$B:$B,$A307,'Stock Adjustment'!$D:$D,"Supplier Returned")</f>
        <v>0</v>
      </c>
      <c r="M3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7" s="53" t="str">
        <f>IF(B307="","",VLOOKUP(B307,'Product Master'!$B:$G,4,FALSE))</f>
        <v/>
      </c>
      <c r="O307" s="53" t="str">
        <f>IF(B307="","",VLOOKUP(B307,'Product Master'!$B:$G,5,FALSE))</f>
        <v/>
      </c>
      <c r="P307" s="50" t="str">
        <f>IF(B307="","",VLOOKUP(B307,'Product Master'!$B:$I,7,FALSE))</f>
        <v/>
      </c>
      <c r="Q307" s="158"/>
      <c r="R307" s="58" t="str">
        <f t="shared" si="4"/>
        <v/>
      </c>
      <c r="S307" s="25"/>
      <c r="T307" s="25"/>
      <c r="U307" s="25"/>
      <c r="V307" s="25"/>
      <c r="W307" s="25"/>
      <c r="X307" s="25"/>
    </row>
    <row r="308" spans="1:24" x14ac:dyDescent="0.25">
      <c r="A308" s="31" t="s">
        <v>868</v>
      </c>
      <c r="B308" s="32"/>
      <c r="C308" s="50" t="str">
        <f>IF(B308="","",VLOOKUP(B308,'Product Master'!$B:$G,2,FALSE))</f>
        <v/>
      </c>
      <c r="D308" s="50" t="str">
        <f>IF(B308="","",VLOOKUP(B308,'Product Master'!$B:$G,3,FALSE))</f>
        <v/>
      </c>
      <c r="E308" s="50"/>
      <c r="F308" s="50">
        <f>SUMIF('Stock Purchase'!$D:$D,B308,'Stock Purchase'!$F:$F)</f>
        <v>0</v>
      </c>
      <c r="G308" s="50">
        <f>SUMIFS('Stock Adjustment'!$E:$E,'Stock Adjustment'!$B:$B,$A308,'Stock Adjustment'!$D:$D,"Customer Returned")</f>
        <v>0</v>
      </c>
      <c r="H308" s="50">
        <f>SUMIF('Daily Sales Entry'!$D:$D,B308,'Daily Sales Entry'!$G:$G)</f>
        <v>0</v>
      </c>
      <c r="I308" s="50">
        <f>SUMIFS('Stock Adjustment'!$E:$E,'Stock Adjustment'!$B:$B,$A308,'Stock Adjustment'!$D:$D,"Staff Consumption")</f>
        <v>0</v>
      </c>
      <c r="J308" s="50">
        <f>SUMIFS('Stock Adjustment'!$E:$E,'Stock Adjustment'!$B:$B,$A308,'Stock Adjustment'!$D:$D,"Damaged")</f>
        <v>0</v>
      </c>
      <c r="K308" s="50">
        <f>SUMIFS('Stock Adjustment'!$E:$E,'Stock Adjustment'!$B:$B,$A308,'Stock Adjustment'!$D:$D,"Expired")</f>
        <v>0</v>
      </c>
      <c r="L308" s="50">
        <f>SUMIFS('Stock Adjustment'!$E:$E,'Stock Adjustment'!$B:$B,$A308,'Stock Adjustment'!$D:$D,"Supplier Returned")</f>
        <v>0</v>
      </c>
      <c r="M3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8" s="53" t="str">
        <f>IF(B308="","",VLOOKUP(B308,'Product Master'!$B:$G,4,FALSE))</f>
        <v/>
      </c>
      <c r="O308" s="53" t="str">
        <f>IF(B308="","",VLOOKUP(B308,'Product Master'!$B:$G,5,FALSE))</f>
        <v/>
      </c>
      <c r="P308" s="50" t="str">
        <f>IF(B308="","",VLOOKUP(B308,'Product Master'!$B:$I,7,FALSE))</f>
        <v/>
      </c>
      <c r="Q308" s="158"/>
      <c r="R308" s="58" t="str">
        <f t="shared" si="4"/>
        <v/>
      </c>
      <c r="S308" s="25"/>
      <c r="T308" s="25"/>
      <c r="U308" s="25"/>
      <c r="V308" s="25"/>
      <c r="W308" s="25"/>
      <c r="X308" s="25"/>
    </row>
    <row r="309" spans="1:24" x14ac:dyDescent="0.25">
      <c r="A309" s="31" t="s">
        <v>869</v>
      </c>
      <c r="B309" s="32"/>
      <c r="C309" s="50" t="str">
        <f>IF(B309="","",VLOOKUP(B309,'Product Master'!$B:$G,2,FALSE))</f>
        <v/>
      </c>
      <c r="D309" s="50" t="str">
        <f>IF(B309="","",VLOOKUP(B309,'Product Master'!$B:$G,3,FALSE))</f>
        <v/>
      </c>
      <c r="E309" s="50"/>
      <c r="F309" s="50">
        <f>SUMIF('Stock Purchase'!$D:$D,B309,'Stock Purchase'!$F:$F)</f>
        <v>0</v>
      </c>
      <c r="G309" s="50">
        <f>SUMIFS('Stock Adjustment'!$E:$E,'Stock Adjustment'!$B:$B,$A309,'Stock Adjustment'!$D:$D,"Customer Returned")</f>
        <v>0</v>
      </c>
      <c r="H309" s="50">
        <f>SUMIF('Daily Sales Entry'!$D:$D,B309,'Daily Sales Entry'!$G:$G)</f>
        <v>0</v>
      </c>
      <c r="I309" s="50">
        <f>SUMIFS('Stock Adjustment'!$E:$E,'Stock Adjustment'!$B:$B,$A309,'Stock Adjustment'!$D:$D,"Staff Consumption")</f>
        <v>0</v>
      </c>
      <c r="J309" s="50">
        <f>SUMIFS('Stock Adjustment'!$E:$E,'Stock Adjustment'!$B:$B,$A309,'Stock Adjustment'!$D:$D,"Damaged")</f>
        <v>0</v>
      </c>
      <c r="K309" s="50">
        <f>SUMIFS('Stock Adjustment'!$E:$E,'Stock Adjustment'!$B:$B,$A309,'Stock Adjustment'!$D:$D,"Expired")</f>
        <v>0</v>
      </c>
      <c r="L309" s="50">
        <f>SUMIFS('Stock Adjustment'!$E:$E,'Stock Adjustment'!$B:$B,$A309,'Stock Adjustment'!$D:$D,"Supplier Returned")</f>
        <v>0</v>
      </c>
      <c r="M3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09" s="53" t="str">
        <f>IF(B309="","",VLOOKUP(B309,'Product Master'!$B:$G,4,FALSE))</f>
        <v/>
      </c>
      <c r="O309" s="53" t="str">
        <f>IF(B309="","",VLOOKUP(B309,'Product Master'!$B:$G,5,FALSE))</f>
        <v/>
      </c>
      <c r="P309" s="50" t="str">
        <f>IF(B309="","",VLOOKUP(B309,'Product Master'!$B:$I,7,FALSE))</f>
        <v/>
      </c>
      <c r="Q309" s="158"/>
      <c r="R309" s="58" t="str">
        <f t="shared" si="4"/>
        <v/>
      </c>
      <c r="S309" s="25"/>
      <c r="T309" s="25"/>
      <c r="U309" s="25"/>
      <c r="V309" s="25"/>
      <c r="W309" s="25"/>
      <c r="X309" s="25"/>
    </row>
    <row r="310" spans="1:24" x14ac:dyDescent="0.25">
      <c r="A310" s="31" t="s">
        <v>870</v>
      </c>
      <c r="B310" s="32"/>
      <c r="C310" s="50" t="str">
        <f>IF(B310="","",VLOOKUP(B310,'Product Master'!$B:$G,2,FALSE))</f>
        <v/>
      </c>
      <c r="D310" s="50" t="str">
        <f>IF(B310="","",VLOOKUP(B310,'Product Master'!$B:$G,3,FALSE))</f>
        <v/>
      </c>
      <c r="E310" s="50"/>
      <c r="F310" s="50">
        <f>SUMIF('Stock Purchase'!$D:$D,B310,'Stock Purchase'!$F:$F)</f>
        <v>0</v>
      </c>
      <c r="G310" s="50">
        <f>SUMIFS('Stock Adjustment'!$E:$E,'Stock Adjustment'!$B:$B,$A310,'Stock Adjustment'!$D:$D,"Customer Returned")</f>
        <v>0</v>
      </c>
      <c r="H310" s="50">
        <f>SUMIF('Daily Sales Entry'!$D:$D,B310,'Daily Sales Entry'!$G:$G)</f>
        <v>0</v>
      </c>
      <c r="I310" s="50">
        <f>SUMIFS('Stock Adjustment'!$E:$E,'Stock Adjustment'!$B:$B,$A310,'Stock Adjustment'!$D:$D,"Staff Consumption")</f>
        <v>0</v>
      </c>
      <c r="J310" s="50">
        <f>SUMIFS('Stock Adjustment'!$E:$E,'Stock Adjustment'!$B:$B,$A310,'Stock Adjustment'!$D:$D,"Damaged")</f>
        <v>0</v>
      </c>
      <c r="K310" s="50">
        <f>SUMIFS('Stock Adjustment'!$E:$E,'Stock Adjustment'!$B:$B,$A310,'Stock Adjustment'!$D:$D,"Expired")</f>
        <v>0</v>
      </c>
      <c r="L310" s="50">
        <f>SUMIFS('Stock Adjustment'!$E:$E,'Stock Adjustment'!$B:$B,$A310,'Stock Adjustment'!$D:$D,"Supplier Returned")</f>
        <v>0</v>
      </c>
      <c r="M3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0" s="53" t="str">
        <f>IF(B310="","",VLOOKUP(B310,'Product Master'!$B:$G,4,FALSE))</f>
        <v/>
      </c>
      <c r="O310" s="53" t="str">
        <f>IF(B310="","",VLOOKUP(B310,'Product Master'!$B:$G,5,FALSE))</f>
        <v/>
      </c>
      <c r="P310" s="50" t="str">
        <f>IF(B310="","",VLOOKUP(B310,'Product Master'!$B:$I,7,FALSE))</f>
        <v/>
      </c>
      <c r="Q310" s="158"/>
      <c r="R310" s="58" t="str">
        <f t="shared" si="4"/>
        <v/>
      </c>
      <c r="S310" s="25"/>
      <c r="T310" s="25"/>
      <c r="U310" s="25"/>
      <c r="V310" s="25"/>
      <c r="W310" s="25"/>
      <c r="X310" s="25"/>
    </row>
    <row r="311" spans="1:24" x14ac:dyDescent="0.25">
      <c r="A311" s="31" t="s">
        <v>871</v>
      </c>
      <c r="B311" s="32"/>
      <c r="C311" s="50" t="str">
        <f>IF(B311="","",VLOOKUP(B311,'Product Master'!$B:$G,2,FALSE))</f>
        <v/>
      </c>
      <c r="D311" s="50" t="str">
        <f>IF(B311="","",VLOOKUP(B311,'Product Master'!$B:$G,3,FALSE))</f>
        <v/>
      </c>
      <c r="E311" s="50"/>
      <c r="F311" s="50">
        <f>SUMIF('Stock Purchase'!$D:$D,B311,'Stock Purchase'!$F:$F)</f>
        <v>0</v>
      </c>
      <c r="G311" s="50">
        <f>SUMIFS('Stock Adjustment'!$E:$E,'Stock Adjustment'!$B:$B,$A311,'Stock Adjustment'!$D:$D,"Customer Returned")</f>
        <v>0</v>
      </c>
      <c r="H311" s="50">
        <f>SUMIF('Daily Sales Entry'!$D:$D,B311,'Daily Sales Entry'!$G:$G)</f>
        <v>0</v>
      </c>
      <c r="I311" s="50">
        <f>SUMIFS('Stock Adjustment'!$E:$E,'Stock Adjustment'!$B:$B,$A311,'Stock Adjustment'!$D:$D,"Staff Consumption")</f>
        <v>0</v>
      </c>
      <c r="J311" s="50">
        <f>SUMIFS('Stock Adjustment'!$E:$E,'Stock Adjustment'!$B:$B,$A311,'Stock Adjustment'!$D:$D,"Damaged")</f>
        <v>0</v>
      </c>
      <c r="K311" s="50">
        <f>SUMIFS('Stock Adjustment'!$E:$E,'Stock Adjustment'!$B:$B,$A311,'Stock Adjustment'!$D:$D,"Expired")</f>
        <v>0</v>
      </c>
      <c r="L311" s="50">
        <f>SUMIFS('Stock Adjustment'!$E:$E,'Stock Adjustment'!$B:$B,$A311,'Stock Adjustment'!$D:$D,"Supplier Returned")</f>
        <v>0</v>
      </c>
      <c r="M3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1" s="53" t="str">
        <f>IF(B311="","",VLOOKUP(B311,'Product Master'!$B:$G,4,FALSE))</f>
        <v/>
      </c>
      <c r="O311" s="53" t="str">
        <f>IF(B311="","",VLOOKUP(B311,'Product Master'!$B:$G,5,FALSE))</f>
        <v/>
      </c>
      <c r="P311" s="50" t="str">
        <f>IF(B311="","",VLOOKUP(B311,'Product Master'!$B:$I,7,FALSE))</f>
        <v/>
      </c>
      <c r="Q311" s="158"/>
      <c r="R311" s="58" t="str">
        <f t="shared" si="4"/>
        <v/>
      </c>
      <c r="S311" s="25"/>
      <c r="T311" s="25"/>
      <c r="U311" s="25"/>
      <c r="V311" s="25"/>
      <c r="W311" s="25"/>
      <c r="X311" s="25"/>
    </row>
    <row r="312" spans="1:24" x14ac:dyDescent="0.25">
      <c r="A312" s="31" t="s">
        <v>872</v>
      </c>
      <c r="B312" s="32"/>
      <c r="C312" s="50" t="str">
        <f>IF(B312="","",VLOOKUP(B312,'Product Master'!$B:$G,2,FALSE))</f>
        <v/>
      </c>
      <c r="D312" s="50" t="str">
        <f>IF(B312="","",VLOOKUP(B312,'Product Master'!$B:$G,3,FALSE))</f>
        <v/>
      </c>
      <c r="E312" s="50"/>
      <c r="F312" s="50">
        <f>SUMIF('Stock Purchase'!$D:$D,B312,'Stock Purchase'!$F:$F)</f>
        <v>0</v>
      </c>
      <c r="G312" s="50">
        <f>SUMIFS('Stock Adjustment'!$E:$E,'Stock Adjustment'!$B:$B,$A312,'Stock Adjustment'!$D:$D,"Customer Returned")</f>
        <v>0</v>
      </c>
      <c r="H312" s="50">
        <f>SUMIF('Daily Sales Entry'!$D:$D,B312,'Daily Sales Entry'!$G:$G)</f>
        <v>0</v>
      </c>
      <c r="I312" s="50">
        <f>SUMIFS('Stock Adjustment'!$E:$E,'Stock Adjustment'!$B:$B,$A312,'Stock Adjustment'!$D:$D,"Staff Consumption")</f>
        <v>0</v>
      </c>
      <c r="J312" s="50">
        <f>SUMIFS('Stock Adjustment'!$E:$E,'Stock Adjustment'!$B:$B,$A312,'Stock Adjustment'!$D:$D,"Damaged")</f>
        <v>0</v>
      </c>
      <c r="K312" s="50">
        <f>SUMIFS('Stock Adjustment'!$E:$E,'Stock Adjustment'!$B:$B,$A312,'Stock Adjustment'!$D:$D,"Expired")</f>
        <v>0</v>
      </c>
      <c r="L312" s="50">
        <f>SUMIFS('Stock Adjustment'!$E:$E,'Stock Adjustment'!$B:$B,$A312,'Stock Adjustment'!$D:$D,"Supplier Returned")</f>
        <v>0</v>
      </c>
      <c r="M3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2" s="53" t="str">
        <f>IF(B312="","",VLOOKUP(B312,'Product Master'!$B:$G,4,FALSE))</f>
        <v/>
      </c>
      <c r="O312" s="53" t="str">
        <f>IF(B312="","",VLOOKUP(B312,'Product Master'!$B:$G,5,FALSE))</f>
        <v/>
      </c>
      <c r="P312" s="50" t="str">
        <f>IF(B312="","",VLOOKUP(B312,'Product Master'!$B:$I,7,FALSE))</f>
        <v/>
      </c>
      <c r="Q312" s="158"/>
      <c r="R312" s="58" t="str">
        <f t="shared" si="4"/>
        <v/>
      </c>
      <c r="S312" s="25"/>
      <c r="T312" s="25"/>
      <c r="U312" s="25"/>
      <c r="V312" s="25"/>
      <c r="W312" s="25"/>
      <c r="X312" s="25"/>
    </row>
    <row r="313" spans="1:24" x14ac:dyDescent="0.25">
      <c r="A313" s="31" t="s">
        <v>873</v>
      </c>
      <c r="B313" s="32"/>
      <c r="C313" s="50" t="str">
        <f>IF(B313="","",VLOOKUP(B313,'Product Master'!$B:$G,2,FALSE))</f>
        <v/>
      </c>
      <c r="D313" s="50" t="str">
        <f>IF(B313="","",VLOOKUP(B313,'Product Master'!$B:$G,3,FALSE))</f>
        <v/>
      </c>
      <c r="E313" s="50"/>
      <c r="F313" s="50">
        <f>SUMIF('Stock Purchase'!$D:$D,B313,'Stock Purchase'!$F:$F)</f>
        <v>0</v>
      </c>
      <c r="G313" s="50">
        <f>SUMIFS('Stock Adjustment'!$E:$E,'Stock Adjustment'!$B:$B,$A313,'Stock Adjustment'!$D:$D,"Customer Returned")</f>
        <v>0</v>
      </c>
      <c r="H313" s="50">
        <f>SUMIF('Daily Sales Entry'!$D:$D,B313,'Daily Sales Entry'!$G:$G)</f>
        <v>0</v>
      </c>
      <c r="I313" s="50">
        <f>SUMIFS('Stock Adjustment'!$E:$E,'Stock Adjustment'!$B:$B,$A313,'Stock Adjustment'!$D:$D,"Staff Consumption")</f>
        <v>0</v>
      </c>
      <c r="J313" s="50">
        <f>SUMIFS('Stock Adjustment'!$E:$E,'Stock Adjustment'!$B:$B,$A313,'Stock Adjustment'!$D:$D,"Damaged")</f>
        <v>0</v>
      </c>
      <c r="K313" s="50">
        <f>SUMIFS('Stock Adjustment'!$E:$E,'Stock Adjustment'!$B:$B,$A313,'Stock Adjustment'!$D:$D,"Expired")</f>
        <v>0</v>
      </c>
      <c r="L313" s="50">
        <f>SUMIFS('Stock Adjustment'!$E:$E,'Stock Adjustment'!$B:$B,$A313,'Stock Adjustment'!$D:$D,"Supplier Returned")</f>
        <v>0</v>
      </c>
      <c r="M3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3" s="53" t="str">
        <f>IF(B313="","",VLOOKUP(B313,'Product Master'!$B:$G,4,FALSE))</f>
        <v/>
      </c>
      <c r="O313" s="53" t="str">
        <f>IF(B313="","",VLOOKUP(B313,'Product Master'!$B:$G,5,FALSE))</f>
        <v/>
      </c>
      <c r="P313" s="50" t="str">
        <f>IF(B313="","",VLOOKUP(B313,'Product Master'!$B:$I,7,FALSE))</f>
        <v/>
      </c>
      <c r="Q313" s="158"/>
      <c r="R313" s="58" t="str">
        <f t="shared" si="4"/>
        <v/>
      </c>
      <c r="S313" s="25"/>
      <c r="T313" s="25"/>
      <c r="U313" s="25"/>
      <c r="V313" s="25"/>
      <c r="W313" s="25"/>
      <c r="X313" s="25"/>
    </row>
    <row r="314" spans="1:24" x14ac:dyDescent="0.25">
      <c r="A314" s="31" t="s">
        <v>874</v>
      </c>
      <c r="B314" s="32"/>
      <c r="C314" s="50" t="str">
        <f>IF(B314="","",VLOOKUP(B314,'Product Master'!$B:$G,2,FALSE))</f>
        <v/>
      </c>
      <c r="D314" s="50" t="str">
        <f>IF(B314="","",VLOOKUP(B314,'Product Master'!$B:$G,3,FALSE))</f>
        <v/>
      </c>
      <c r="E314" s="50"/>
      <c r="F314" s="50">
        <f>SUMIF('Stock Purchase'!$D:$D,B314,'Stock Purchase'!$F:$F)</f>
        <v>0</v>
      </c>
      <c r="G314" s="50">
        <f>SUMIFS('Stock Adjustment'!$E:$E,'Stock Adjustment'!$B:$B,$A314,'Stock Adjustment'!$D:$D,"Customer Returned")</f>
        <v>0</v>
      </c>
      <c r="H314" s="50">
        <f>SUMIF('Daily Sales Entry'!$D:$D,B314,'Daily Sales Entry'!$G:$G)</f>
        <v>0</v>
      </c>
      <c r="I314" s="50">
        <f>SUMIFS('Stock Adjustment'!$E:$E,'Stock Adjustment'!$B:$B,$A314,'Stock Adjustment'!$D:$D,"Staff Consumption")</f>
        <v>0</v>
      </c>
      <c r="J314" s="50">
        <f>SUMIFS('Stock Adjustment'!$E:$E,'Stock Adjustment'!$B:$B,$A314,'Stock Adjustment'!$D:$D,"Damaged")</f>
        <v>0</v>
      </c>
      <c r="K314" s="50">
        <f>SUMIFS('Stock Adjustment'!$E:$E,'Stock Adjustment'!$B:$B,$A314,'Stock Adjustment'!$D:$D,"Expired")</f>
        <v>0</v>
      </c>
      <c r="L314" s="50">
        <f>SUMIFS('Stock Adjustment'!$E:$E,'Stock Adjustment'!$B:$B,$A314,'Stock Adjustment'!$D:$D,"Supplier Returned")</f>
        <v>0</v>
      </c>
      <c r="M3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4" s="53" t="str">
        <f>IF(B314="","",VLOOKUP(B314,'Product Master'!$B:$G,4,FALSE))</f>
        <v/>
      </c>
      <c r="O314" s="53" t="str">
        <f>IF(B314="","",VLOOKUP(B314,'Product Master'!$B:$G,5,FALSE))</f>
        <v/>
      </c>
      <c r="P314" s="50" t="str">
        <f>IF(B314="","",VLOOKUP(B314,'Product Master'!$B:$I,7,FALSE))</f>
        <v/>
      </c>
      <c r="Q314" s="158"/>
      <c r="R314" s="58" t="str">
        <f t="shared" si="4"/>
        <v/>
      </c>
      <c r="S314" s="25"/>
      <c r="T314" s="25"/>
      <c r="U314" s="25"/>
      <c r="V314" s="25"/>
      <c r="W314" s="25"/>
      <c r="X314" s="25"/>
    </row>
    <row r="315" spans="1:24" x14ac:dyDescent="0.25">
      <c r="A315" s="31" t="s">
        <v>875</v>
      </c>
      <c r="B315" s="32"/>
      <c r="C315" s="50" t="str">
        <f>IF(B315="","",VLOOKUP(B315,'Product Master'!$B:$G,2,FALSE))</f>
        <v/>
      </c>
      <c r="D315" s="50" t="str">
        <f>IF(B315="","",VLOOKUP(B315,'Product Master'!$B:$G,3,FALSE))</f>
        <v/>
      </c>
      <c r="E315" s="50"/>
      <c r="F315" s="50">
        <f>SUMIF('Stock Purchase'!$D:$D,B315,'Stock Purchase'!$F:$F)</f>
        <v>0</v>
      </c>
      <c r="G315" s="50">
        <f>SUMIFS('Stock Adjustment'!$E:$E,'Stock Adjustment'!$B:$B,$A315,'Stock Adjustment'!$D:$D,"Customer Returned")</f>
        <v>0</v>
      </c>
      <c r="H315" s="50">
        <f>SUMIF('Daily Sales Entry'!$D:$D,B315,'Daily Sales Entry'!$G:$G)</f>
        <v>0</v>
      </c>
      <c r="I315" s="50">
        <f>SUMIFS('Stock Adjustment'!$E:$E,'Stock Adjustment'!$B:$B,$A315,'Stock Adjustment'!$D:$D,"Staff Consumption")</f>
        <v>0</v>
      </c>
      <c r="J315" s="50">
        <f>SUMIFS('Stock Adjustment'!$E:$E,'Stock Adjustment'!$B:$B,$A315,'Stock Adjustment'!$D:$D,"Damaged")</f>
        <v>0</v>
      </c>
      <c r="K315" s="50">
        <f>SUMIFS('Stock Adjustment'!$E:$E,'Stock Adjustment'!$B:$B,$A315,'Stock Adjustment'!$D:$D,"Expired")</f>
        <v>0</v>
      </c>
      <c r="L315" s="50">
        <f>SUMIFS('Stock Adjustment'!$E:$E,'Stock Adjustment'!$B:$B,$A315,'Stock Adjustment'!$D:$D,"Supplier Returned")</f>
        <v>0</v>
      </c>
      <c r="M3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5" s="53" t="str">
        <f>IF(B315="","",VLOOKUP(B315,'Product Master'!$B:$G,4,FALSE))</f>
        <v/>
      </c>
      <c r="O315" s="53" t="str">
        <f>IF(B315="","",VLOOKUP(B315,'Product Master'!$B:$G,5,FALSE))</f>
        <v/>
      </c>
      <c r="P315" s="50" t="str">
        <f>IF(B315="","",VLOOKUP(B315,'Product Master'!$B:$I,7,FALSE))</f>
        <v/>
      </c>
      <c r="Q315" s="158"/>
      <c r="R315" s="58" t="str">
        <f t="shared" si="4"/>
        <v/>
      </c>
      <c r="S315" s="25"/>
      <c r="T315" s="25"/>
      <c r="U315" s="25"/>
      <c r="V315" s="25"/>
      <c r="W315" s="25"/>
      <c r="X315" s="25"/>
    </row>
    <row r="316" spans="1:24" x14ac:dyDescent="0.25">
      <c r="A316" s="31" t="s">
        <v>876</v>
      </c>
      <c r="B316" s="32"/>
      <c r="C316" s="50" t="str">
        <f>IF(B316="","",VLOOKUP(B316,'Product Master'!$B:$G,2,FALSE))</f>
        <v/>
      </c>
      <c r="D316" s="50" t="str">
        <f>IF(B316="","",VLOOKUP(B316,'Product Master'!$B:$G,3,FALSE))</f>
        <v/>
      </c>
      <c r="E316" s="50"/>
      <c r="F316" s="50">
        <f>SUMIF('Stock Purchase'!$D:$D,B316,'Stock Purchase'!$F:$F)</f>
        <v>0</v>
      </c>
      <c r="G316" s="50">
        <f>SUMIFS('Stock Adjustment'!$E:$E,'Stock Adjustment'!$B:$B,$A316,'Stock Adjustment'!$D:$D,"Customer Returned")</f>
        <v>0</v>
      </c>
      <c r="H316" s="50">
        <f>SUMIF('Daily Sales Entry'!$D:$D,B316,'Daily Sales Entry'!$G:$G)</f>
        <v>0</v>
      </c>
      <c r="I316" s="50">
        <f>SUMIFS('Stock Adjustment'!$E:$E,'Stock Adjustment'!$B:$B,$A316,'Stock Adjustment'!$D:$D,"Staff Consumption")</f>
        <v>0</v>
      </c>
      <c r="J316" s="50">
        <f>SUMIFS('Stock Adjustment'!$E:$E,'Stock Adjustment'!$B:$B,$A316,'Stock Adjustment'!$D:$D,"Damaged")</f>
        <v>0</v>
      </c>
      <c r="K316" s="50">
        <f>SUMIFS('Stock Adjustment'!$E:$E,'Stock Adjustment'!$B:$B,$A316,'Stock Adjustment'!$D:$D,"Expired")</f>
        <v>0</v>
      </c>
      <c r="L316" s="50">
        <f>SUMIFS('Stock Adjustment'!$E:$E,'Stock Adjustment'!$B:$B,$A316,'Stock Adjustment'!$D:$D,"Supplier Returned")</f>
        <v>0</v>
      </c>
      <c r="M3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6" s="53" t="str">
        <f>IF(B316="","",VLOOKUP(B316,'Product Master'!$B:$G,4,FALSE))</f>
        <v/>
      </c>
      <c r="O316" s="53" t="str">
        <f>IF(B316="","",VLOOKUP(B316,'Product Master'!$B:$G,5,FALSE))</f>
        <v/>
      </c>
      <c r="P316" s="50" t="str">
        <f>IF(B316="","",VLOOKUP(B316,'Product Master'!$B:$I,7,FALSE))</f>
        <v/>
      </c>
      <c r="Q316" s="158"/>
      <c r="R316" s="58" t="str">
        <f t="shared" si="4"/>
        <v/>
      </c>
      <c r="S316" s="25"/>
      <c r="T316" s="25"/>
      <c r="U316" s="25"/>
      <c r="V316" s="25"/>
      <c r="W316" s="25"/>
      <c r="X316" s="25"/>
    </row>
    <row r="317" spans="1:24" x14ac:dyDescent="0.25">
      <c r="A317" s="31" t="s">
        <v>877</v>
      </c>
      <c r="B317" s="32"/>
      <c r="C317" s="50" t="str">
        <f>IF(B317="","",VLOOKUP(B317,'Product Master'!$B:$G,2,FALSE))</f>
        <v/>
      </c>
      <c r="D317" s="50" t="str">
        <f>IF(B317="","",VLOOKUP(B317,'Product Master'!$B:$G,3,FALSE))</f>
        <v/>
      </c>
      <c r="E317" s="50"/>
      <c r="F317" s="50">
        <f>SUMIF('Stock Purchase'!$D:$D,B317,'Stock Purchase'!$F:$F)</f>
        <v>0</v>
      </c>
      <c r="G317" s="50">
        <f>SUMIFS('Stock Adjustment'!$E:$E,'Stock Adjustment'!$B:$B,$A317,'Stock Adjustment'!$D:$D,"Customer Returned")</f>
        <v>0</v>
      </c>
      <c r="H317" s="50">
        <f>SUMIF('Daily Sales Entry'!$D:$D,B317,'Daily Sales Entry'!$G:$G)</f>
        <v>0</v>
      </c>
      <c r="I317" s="50">
        <f>SUMIFS('Stock Adjustment'!$E:$E,'Stock Adjustment'!$B:$B,$A317,'Stock Adjustment'!$D:$D,"Staff Consumption")</f>
        <v>0</v>
      </c>
      <c r="J317" s="50">
        <f>SUMIFS('Stock Adjustment'!$E:$E,'Stock Adjustment'!$B:$B,$A317,'Stock Adjustment'!$D:$D,"Damaged")</f>
        <v>0</v>
      </c>
      <c r="K317" s="50">
        <f>SUMIFS('Stock Adjustment'!$E:$E,'Stock Adjustment'!$B:$B,$A317,'Stock Adjustment'!$D:$D,"Expired")</f>
        <v>0</v>
      </c>
      <c r="L317" s="50">
        <f>SUMIFS('Stock Adjustment'!$E:$E,'Stock Adjustment'!$B:$B,$A317,'Stock Adjustment'!$D:$D,"Supplier Returned")</f>
        <v>0</v>
      </c>
      <c r="M3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7" s="53" t="str">
        <f>IF(B317="","",VLOOKUP(B317,'Product Master'!$B:$G,4,FALSE))</f>
        <v/>
      </c>
      <c r="O317" s="53" t="str">
        <f>IF(B317="","",VLOOKUP(B317,'Product Master'!$B:$G,5,FALSE))</f>
        <v/>
      </c>
      <c r="P317" s="50" t="str">
        <f>IF(B317="","",VLOOKUP(B317,'Product Master'!$B:$I,7,FALSE))</f>
        <v/>
      </c>
      <c r="Q317" s="158"/>
      <c r="R317" s="58" t="str">
        <f t="shared" si="4"/>
        <v/>
      </c>
      <c r="S317" s="25"/>
      <c r="T317" s="25"/>
      <c r="U317" s="25"/>
      <c r="V317" s="25"/>
      <c r="W317" s="25"/>
      <c r="X317" s="25"/>
    </row>
    <row r="318" spans="1:24" x14ac:dyDescent="0.25">
      <c r="A318" s="31" t="s">
        <v>878</v>
      </c>
      <c r="B318" s="32"/>
      <c r="C318" s="50" t="str">
        <f>IF(B318="","",VLOOKUP(B318,'Product Master'!$B:$G,2,FALSE))</f>
        <v/>
      </c>
      <c r="D318" s="50" t="str">
        <f>IF(B318="","",VLOOKUP(B318,'Product Master'!$B:$G,3,FALSE))</f>
        <v/>
      </c>
      <c r="E318" s="50"/>
      <c r="F318" s="50">
        <f>SUMIF('Stock Purchase'!$D:$D,B318,'Stock Purchase'!$F:$F)</f>
        <v>0</v>
      </c>
      <c r="G318" s="50">
        <f>SUMIFS('Stock Adjustment'!$E:$E,'Stock Adjustment'!$B:$B,$A318,'Stock Adjustment'!$D:$D,"Customer Returned")</f>
        <v>0</v>
      </c>
      <c r="H318" s="50">
        <f>SUMIF('Daily Sales Entry'!$D:$D,B318,'Daily Sales Entry'!$G:$G)</f>
        <v>0</v>
      </c>
      <c r="I318" s="50">
        <f>SUMIFS('Stock Adjustment'!$E:$E,'Stock Adjustment'!$B:$B,$A318,'Stock Adjustment'!$D:$D,"Staff Consumption")</f>
        <v>0</v>
      </c>
      <c r="J318" s="50">
        <f>SUMIFS('Stock Adjustment'!$E:$E,'Stock Adjustment'!$B:$B,$A318,'Stock Adjustment'!$D:$D,"Damaged")</f>
        <v>0</v>
      </c>
      <c r="K318" s="50">
        <f>SUMIFS('Stock Adjustment'!$E:$E,'Stock Adjustment'!$B:$B,$A318,'Stock Adjustment'!$D:$D,"Expired")</f>
        <v>0</v>
      </c>
      <c r="L318" s="50">
        <f>SUMIFS('Stock Adjustment'!$E:$E,'Stock Adjustment'!$B:$B,$A318,'Stock Adjustment'!$D:$D,"Supplier Returned")</f>
        <v>0</v>
      </c>
      <c r="M3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8" s="53" t="str">
        <f>IF(B318="","",VLOOKUP(B318,'Product Master'!$B:$G,4,FALSE))</f>
        <v/>
      </c>
      <c r="O318" s="53" t="str">
        <f>IF(B318="","",VLOOKUP(B318,'Product Master'!$B:$G,5,FALSE))</f>
        <v/>
      </c>
      <c r="P318" s="50" t="str">
        <f>IF(B318="","",VLOOKUP(B318,'Product Master'!$B:$I,7,FALSE))</f>
        <v/>
      </c>
      <c r="Q318" s="158"/>
      <c r="R318" s="58" t="str">
        <f t="shared" si="4"/>
        <v/>
      </c>
      <c r="S318" s="25"/>
      <c r="T318" s="25"/>
      <c r="U318" s="25"/>
      <c r="V318" s="25"/>
      <c r="W318" s="25"/>
      <c r="X318" s="25"/>
    </row>
    <row r="319" spans="1:24" x14ac:dyDescent="0.25">
      <c r="A319" s="31" t="s">
        <v>879</v>
      </c>
      <c r="B319" s="32"/>
      <c r="C319" s="50" t="str">
        <f>IF(B319="","",VLOOKUP(B319,'Product Master'!$B:$G,2,FALSE))</f>
        <v/>
      </c>
      <c r="D319" s="50" t="str">
        <f>IF(B319="","",VLOOKUP(B319,'Product Master'!$B:$G,3,FALSE))</f>
        <v/>
      </c>
      <c r="E319" s="50"/>
      <c r="F319" s="50">
        <f>SUMIF('Stock Purchase'!$D:$D,B319,'Stock Purchase'!$F:$F)</f>
        <v>0</v>
      </c>
      <c r="G319" s="50">
        <f>SUMIFS('Stock Adjustment'!$E:$E,'Stock Adjustment'!$B:$B,$A319,'Stock Adjustment'!$D:$D,"Customer Returned")</f>
        <v>0</v>
      </c>
      <c r="H319" s="50">
        <f>SUMIF('Daily Sales Entry'!$D:$D,B319,'Daily Sales Entry'!$G:$G)</f>
        <v>0</v>
      </c>
      <c r="I319" s="50">
        <f>SUMIFS('Stock Adjustment'!$E:$E,'Stock Adjustment'!$B:$B,$A319,'Stock Adjustment'!$D:$D,"Staff Consumption")</f>
        <v>0</v>
      </c>
      <c r="J319" s="50">
        <f>SUMIFS('Stock Adjustment'!$E:$E,'Stock Adjustment'!$B:$B,$A319,'Stock Adjustment'!$D:$D,"Damaged")</f>
        <v>0</v>
      </c>
      <c r="K319" s="50">
        <f>SUMIFS('Stock Adjustment'!$E:$E,'Stock Adjustment'!$B:$B,$A319,'Stock Adjustment'!$D:$D,"Expired")</f>
        <v>0</v>
      </c>
      <c r="L319" s="50">
        <f>SUMIFS('Stock Adjustment'!$E:$E,'Stock Adjustment'!$B:$B,$A319,'Stock Adjustment'!$D:$D,"Supplier Returned")</f>
        <v>0</v>
      </c>
      <c r="M3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19" s="53" t="str">
        <f>IF(B319="","",VLOOKUP(B319,'Product Master'!$B:$G,4,FALSE))</f>
        <v/>
      </c>
      <c r="O319" s="53" t="str">
        <f>IF(B319="","",VLOOKUP(B319,'Product Master'!$B:$G,5,FALSE))</f>
        <v/>
      </c>
      <c r="P319" s="50" t="str">
        <f>IF(B319="","",VLOOKUP(B319,'Product Master'!$B:$I,7,FALSE))</f>
        <v/>
      </c>
      <c r="Q319" s="158"/>
      <c r="R319" s="58" t="str">
        <f t="shared" si="4"/>
        <v/>
      </c>
      <c r="S319" s="25"/>
      <c r="T319" s="25"/>
      <c r="U319" s="25"/>
      <c r="V319" s="25"/>
      <c r="W319" s="25"/>
      <c r="X319" s="25"/>
    </row>
    <row r="320" spans="1:24" x14ac:dyDescent="0.25">
      <c r="A320" s="31" t="s">
        <v>880</v>
      </c>
      <c r="B320" s="32"/>
      <c r="C320" s="50" t="str">
        <f>IF(B320="","",VLOOKUP(B320,'Product Master'!$B:$G,2,FALSE))</f>
        <v/>
      </c>
      <c r="D320" s="50" t="str">
        <f>IF(B320="","",VLOOKUP(B320,'Product Master'!$B:$G,3,FALSE))</f>
        <v/>
      </c>
      <c r="E320" s="50"/>
      <c r="F320" s="50">
        <f>SUMIF('Stock Purchase'!$D:$D,B320,'Stock Purchase'!$F:$F)</f>
        <v>0</v>
      </c>
      <c r="G320" s="50">
        <f>SUMIFS('Stock Adjustment'!$E:$E,'Stock Adjustment'!$B:$B,$A320,'Stock Adjustment'!$D:$D,"Customer Returned")</f>
        <v>0</v>
      </c>
      <c r="H320" s="50">
        <f>SUMIF('Daily Sales Entry'!$D:$D,B320,'Daily Sales Entry'!$G:$G)</f>
        <v>0</v>
      </c>
      <c r="I320" s="50">
        <f>SUMIFS('Stock Adjustment'!$E:$E,'Stock Adjustment'!$B:$B,$A320,'Stock Adjustment'!$D:$D,"Staff Consumption")</f>
        <v>0</v>
      </c>
      <c r="J320" s="50">
        <f>SUMIFS('Stock Adjustment'!$E:$E,'Stock Adjustment'!$B:$B,$A320,'Stock Adjustment'!$D:$D,"Damaged")</f>
        <v>0</v>
      </c>
      <c r="K320" s="50">
        <f>SUMIFS('Stock Adjustment'!$E:$E,'Stock Adjustment'!$B:$B,$A320,'Stock Adjustment'!$D:$D,"Expired")</f>
        <v>0</v>
      </c>
      <c r="L320" s="50">
        <f>SUMIFS('Stock Adjustment'!$E:$E,'Stock Adjustment'!$B:$B,$A320,'Stock Adjustment'!$D:$D,"Supplier Returned")</f>
        <v>0</v>
      </c>
      <c r="M3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0" s="53" t="str">
        <f>IF(B320="","",VLOOKUP(B320,'Product Master'!$B:$G,4,FALSE))</f>
        <v/>
      </c>
      <c r="O320" s="53" t="str">
        <f>IF(B320="","",VLOOKUP(B320,'Product Master'!$B:$G,5,FALSE))</f>
        <v/>
      </c>
      <c r="P320" s="50" t="str">
        <f>IF(B320="","",VLOOKUP(B320,'Product Master'!$B:$I,7,FALSE))</f>
        <v/>
      </c>
      <c r="Q320" s="158"/>
      <c r="R320" s="58" t="str">
        <f t="shared" si="4"/>
        <v/>
      </c>
      <c r="S320" s="25"/>
      <c r="T320" s="25"/>
      <c r="U320" s="25"/>
      <c r="V320" s="25"/>
      <c r="W320" s="25"/>
      <c r="X320" s="25"/>
    </row>
    <row r="321" spans="1:24" x14ac:dyDescent="0.25">
      <c r="A321" s="31" t="s">
        <v>881</v>
      </c>
      <c r="B321" s="32"/>
      <c r="C321" s="50" t="str">
        <f>IF(B321="","",VLOOKUP(B321,'Product Master'!$B:$G,2,FALSE))</f>
        <v/>
      </c>
      <c r="D321" s="50" t="str">
        <f>IF(B321="","",VLOOKUP(B321,'Product Master'!$B:$G,3,FALSE))</f>
        <v/>
      </c>
      <c r="E321" s="50"/>
      <c r="F321" s="50">
        <f>SUMIF('Stock Purchase'!$D:$D,B321,'Stock Purchase'!$F:$F)</f>
        <v>0</v>
      </c>
      <c r="G321" s="50">
        <f>SUMIFS('Stock Adjustment'!$E:$E,'Stock Adjustment'!$B:$B,$A321,'Stock Adjustment'!$D:$D,"Customer Returned")</f>
        <v>0</v>
      </c>
      <c r="H321" s="50">
        <f>SUMIF('Daily Sales Entry'!$D:$D,B321,'Daily Sales Entry'!$G:$G)</f>
        <v>0</v>
      </c>
      <c r="I321" s="50">
        <f>SUMIFS('Stock Adjustment'!$E:$E,'Stock Adjustment'!$B:$B,$A321,'Stock Adjustment'!$D:$D,"Staff Consumption")</f>
        <v>0</v>
      </c>
      <c r="J321" s="50">
        <f>SUMIFS('Stock Adjustment'!$E:$E,'Stock Adjustment'!$B:$B,$A321,'Stock Adjustment'!$D:$D,"Damaged")</f>
        <v>0</v>
      </c>
      <c r="K321" s="50">
        <f>SUMIFS('Stock Adjustment'!$E:$E,'Stock Adjustment'!$B:$B,$A321,'Stock Adjustment'!$D:$D,"Expired")</f>
        <v>0</v>
      </c>
      <c r="L321" s="50">
        <f>SUMIFS('Stock Adjustment'!$E:$E,'Stock Adjustment'!$B:$B,$A321,'Stock Adjustment'!$D:$D,"Supplier Returned")</f>
        <v>0</v>
      </c>
      <c r="M3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1" s="53" t="str">
        <f>IF(B321="","",VLOOKUP(B321,'Product Master'!$B:$G,4,FALSE))</f>
        <v/>
      </c>
      <c r="O321" s="53" t="str">
        <f>IF(B321="","",VLOOKUP(B321,'Product Master'!$B:$G,5,FALSE))</f>
        <v/>
      </c>
      <c r="P321" s="50" t="str">
        <f>IF(B321="","",VLOOKUP(B321,'Product Master'!$B:$I,7,FALSE))</f>
        <v/>
      </c>
      <c r="Q321" s="158"/>
      <c r="R321" s="58" t="str">
        <f t="shared" si="4"/>
        <v/>
      </c>
      <c r="S321" s="25"/>
      <c r="T321" s="25"/>
      <c r="U321" s="25"/>
      <c r="V321" s="25"/>
      <c r="W321" s="25"/>
      <c r="X321" s="25"/>
    </row>
    <row r="322" spans="1:24" x14ac:dyDescent="0.25">
      <c r="A322" s="31" t="s">
        <v>882</v>
      </c>
      <c r="B322" s="32"/>
      <c r="C322" s="50" t="str">
        <f>IF(B322="","",VLOOKUP(B322,'Product Master'!$B:$G,2,FALSE))</f>
        <v/>
      </c>
      <c r="D322" s="50" t="str">
        <f>IF(B322="","",VLOOKUP(B322,'Product Master'!$B:$G,3,FALSE))</f>
        <v/>
      </c>
      <c r="E322" s="50"/>
      <c r="F322" s="50">
        <f>SUMIF('Stock Purchase'!$D:$D,B322,'Stock Purchase'!$F:$F)</f>
        <v>0</v>
      </c>
      <c r="G322" s="50">
        <f>SUMIFS('Stock Adjustment'!$E:$E,'Stock Adjustment'!$B:$B,$A322,'Stock Adjustment'!$D:$D,"Customer Returned")</f>
        <v>0</v>
      </c>
      <c r="H322" s="50">
        <f>SUMIF('Daily Sales Entry'!$D:$D,B322,'Daily Sales Entry'!$G:$G)</f>
        <v>0</v>
      </c>
      <c r="I322" s="50">
        <f>SUMIFS('Stock Adjustment'!$E:$E,'Stock Adjustment'!$B:$B,$A322,'Stock Adjustment'!$D:$D,"Staff Consumption")</f>
        <v>0</v>
      </c>
      <c r="J322" s="50">
        <f>SUMIFS('Stock Adjustment'!$E:$E,'Stock Adjustment'!$B:$B,$A322,'Stock Adjustment'!$D:$D,"Damaged")</f>
        <v>0</v>
      </c>
      <c r="K322" s="50">
        <f>SUMIFS('Stock Adjustment'!$E:$E,'Stock Adjustment'!$B:$B,$A322,'Stock Adjustment'!$D:$D,"Expired")</f>
        <v>0</v>
      </c>
      <c r="L322" s="50">
        <f>SUMIFS('Stock Adjustment'!$E:$E,'Stock Adjustment'!$B:$B,$A322,'Stock Adjustment'!$D:$D,"Supplier Returned")</f>
        <v>0</v>
      </c>
      <c r="M3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2" s="53" t="str">
        <f>IF(B322="","",VLOOKUP(B322,'Product Master'!$B:$G,4,FALSE))</f>
        <v/>
      </c>
      <c r="O322" s="53" t="str">
        <f>IF(B322="","",VLOOKUP(B322,'Product Master'!$B:$G,5,FALSE))</f>
        <v/>
      </c>
      <c r="P322" s="50" t="str">
        <f>IF(B322="","",VLOOKUP(B322,'Product Master'!$B:$I,7,FALSE))</f>
        <v/>
      </c>
      <c r="Q322" s="158"/>
      <c r="R322" s="58" t="str">
        <f t="shared" ref="R322:R385" si="5">IF(B322="","",IF(M322=0,"Out of Stock",IF(M322&lt;=10,"Low Stock","In Stock")))</f>
        <v/>
      </c>
      <c r="S322" s="25"/>
      <c r="T322" s="25"/>
      <c r="U322" s="25"/>
      <c r="V322" s="25"/>
      <c r="W322" s="25"/>
      <c r="X322" s="25"/>
    </row>
    <row r="323" spans="1:24" x14ac:dyDescent="0.25">
      <c r="A323" s="31" t="s">
        <v>883</v>
      </c>
      <c r="B323" s="32"/>
      <c r="C323" s="50" t="str">
        <f>IF(B323="","",VLOOKUP(B323,'Product Master'!$B:$G,2,FALSE))</f>
        <v/>
      </c>
      <c r="D323" s="50" t="str">
        <f>IF(B323="","",VLOOKUP(B323,'Product Master'!$B:$G,3,FALSE))</f>
        <v/>
      </c>
      <c r="E323" s="50"/>
      <c r="F323" s="50">
        <f>SUMIF('Stock Purchase'!$D:$D,B323,'Stock Purchase'!$F:$F)</f>
        <v>0</v>
      </c>
      <c r="G323" s="50">
        <f>SUMIFS('Stock Adjustment'!$E:$E,'Stock Adjustment'!$B:$B,$A323,'Stock Adjustment'!$D:$D,"Customer Returned")</f>
        <v>0</v>
      </c>
      <c r="H323" s="50">
        <f>SUMIF('Daily Sales Entry'!$D:$D,B323,'Daily Sales Entry'!$G:$G)</f>
        <v>0</v>
      </c>
      <c r="I323" s="50">
        <f>SUMIFS('Stock Adjustment'!$E:$E,'Stock Adjustment'!$B:$B,$A323,'Stock Adjustment'!$D:$D,"Staff Consumption")</f>
        <v>0</v>
      </c>
      <c r="J323" s="50">
        <f>SUMIFS('Stock Adjustment'!$E:$E,'Stock Adjustment'!$B:$B,$A323,'Stock Adjustment'!$D:$D,"Damaged")</f>
        <v>0</v>
      </c>
      <c r="K323" s="50">
        <f>SUMIFS('Stock Adjustment'!$E:$E,'Stock Adjustment'!$B:$B,$A323,'Stock Adjustment'!$D:$D,"Expired")</f>
        <v>0</v>
      </c>
      <c r="L323" s="50">
        <f>SUMIFS('Stock Adjustment'!$E:$E,'Stock Adjustment'!$B:$B,$A323,'Stock Adjustment'!$D:$D,"Supplier Returned")</f>
        <v>0</v>
      </c>
      <c r="M3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3" s="53" t="str">
        <f>IF(B323="","",VLOOKUP(B323,'Product Master'!$B:$G,4,FALSE))</f>
        <v/>
      </c>
      <c r="O323" s="53" t="str">
        <f>IF(B323="","",VLOOKUP(B323,'Product Master'!$B:$G,5,FALSE))</f>
        <v/>
      </c>
      <c r="P323" s="50" t="str">
        <f>IF(B323="","",VLOOKUP(B323,'Product Master'!$B:$I,7,FALSE))</f>
        <v/>
      </c>
      <c r="Q323" s="158"/>
      <c r="R323" s="58" t="str">
        <f t="shared" si="5"/>
        <v/>
      </c>
      <c r="S323" s="25"/>
      <c r="T323" s="25"/>
      <c r="U323" s="25"/>
      <c r="V323" s="25"/>
      <c r="W323" s="25"/>
      <c r="X323" s="25"/>
    </row>
    <row r="324" spans="1:24" x14ac:dyDescent="0.25">
      <c r="A324" s="31" t="s">
        <v>884</v>
      </c>
      <c r="B324" s="32"/>
      <c r="C324" s="50" t="str">
        <f>IF(B324="","",VLOOKUP(B324,'Product Master'!$B:$G,2,FALSE))</f>
        <v/>
      </c>
      <c r="D324" s="50" t="str">
        <f>IF(B324="","",VLOOKUP(B324,'Product Master'!$B:$G,3,FALSE))</f>
        <v/>
      </c>
      <c r="E324" s="50"/>
      <c r="F324" s="50">
        <f>SUMIF('Stock Purchase'!$D:$D,B324,'Stock Purchase'!$F:$F)</f>
        <v>0</v>
      </c>
      <c r="G324" s="50">
        <f>SUMIFS('Stock Adjustment'!$E:$E,'Stock Adjustment'!$B:$B,$A324,'Stock Adjustment'!$D:$D,"Customer Returned")</f>
        <v>0</v>
      </c>
      <c r="H324" s="50">
        <f>SUMIF('Daily Sales Entry'!$D:$D,B324,'Daily Sales Entry'!$G:$G)</f>
        <v>0</v>
      </c>
      <c r="I324" s="50">
        <f>SUMIFS('Stock Adjustment'!$E:$E,'Stock Adjustment'!$B:$B,$A324,'Stock Adjustment'!$D:$D,"Staff Consumption")</f>
        <v>0</v>
      </c>
      <c r="J324" s="50">
        <f>SUMIFS('Stock Adjustment'!$E:$E,'Stock Adjustment'!$B:$B,$A324,'Stock Adjustment'!$D:$D,"Damaged")</f>
        <v>0</v>
      </c>
      <c r="K324" s="50">
        <f>SUMIFS('Stock Adjustment'!$E:$E,'Stock Adjustment'!$B:$B,$A324,'Stock Adjustment'!$D:$D,"Expired")</f>
        <v>0</v>
      </c>
      <c r="L324" s="50">
        <f>SUMIFS('Stock Adjustment'!$E:$E,'Stock Adjustment'!$B:$B,$A324,'Stock Adjustment'!$D:$D,"Supplier Returned")</f>
        <v>0</v>
      </c>
      <c r="M3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4" s="53" t="str">
        <f>IF(B324="","",VLOOKUP(B324,'Product Master'!$B:$G,4,FALSE))</f>
        <v/>
      </c>
      <c r="O324" s="53" t="str">
        <f>IF(B324="","",VLOOKUP(B324,'Product Master'!$B:$G,5,FALSE))</f>
        <v/>
      </c>
      <c r="P324" s="50" t="str">
        <f>IF(B324="","",VLOOKUP(B324,'Product Master'!$B:$I,7,FALSE))</f>
        <v/>
      </c>
      <c r="Q324" s="158"/>
      <c r="R324" s="58" t="str">
        <f t="shared" si="5"/>
        <v/>
      </c>
      <c r="S324" s="25"/>
      <c r="T324" s="25"/>
      <c r="U324" s="25"/>
      <c r="V324" s="25"/>
      <c r="W324" s="25"/>
      <c r="X324" s="25"/>
    </row>
    <row r="325" spans="1:24" x14ac:dyDescent="0.25">
      <c r="A325" s="31" t="s">
        <v>885</v>
      </c>
      <c r="B325" s="32"/>
      <c r="C325" s="50" t="str">
        <f>IF(B325="","",VLOOKUP(B325,'Product Master'!$B:$G,2,FALSE))</f>
        <v/>
      </c>
      <c r="D325" s="50" t="str">
        <f>IF(B325="","",VLOOKUP(B325,'Product Master'!$B:$G,3,FALSE))</f>
        <v/>
      </c>
      <c r="E325" s="50"/>
      <c r="F325" s="50">
        <f>SUMIF('Stock Purchase'!$D:$D,B325,'Stock Purchase'!$F:$F)</f>
        <v>0</v>
      </c>
      <c r="G325" s="50">
        <f>SUMIFS('Stock Adjustment'!$E:$E,'Stock Adjustment'!$B:$B,$A325,'Stock Adjustment'!$D:$D,"Customer Returned")</f>
        <v>0</v>
      </c>
      <c r="H325" s="50">
        <f>SUMIF('Daily Sales Entry'!$D:$D,B325,'Daily Sales Entry'!$G:$G)</f>
        <v>0</v>
      </c>
      <c r="I325" s="50">
        <f>SUMIFS('Stock Adjustment'!$E:$E,'Stock Adjustment'!$B:$B,$A325,'Stock Adjustment'!$D:$D,"Staff Consumption")</f>
        <v>0</v>
      </c>
      <c r="J325" s="50">
        <f>SUMIFS('Stock Adjustment'!$E:$E,'Stock Adjustment'!$B:$B,$A325,'Stock Adjustment'!$D:$D,"Damaged")</f>
        <v>0</v>
      </c>
      <c r="K325" s="50">
        <f>SUMIFS('Stock Adjustment'!$E:$E,'Stock Adjustment'!$B:$B,$A325,'Stock Adjustment'!$D:$D,"Expired")</f>
        <v>0</v>
      </c>
      <c r="L325" s="50">
        <f>SUMIFS('Stock Adjustment'!$E:$E,'Stock Adjustment'!$B:$B,$A325,'Stock Adjustment'!$D:$D,"Supplier Returned")</f>
        <v>0</v>
      </c>
      <c r="M3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5" s="53" t="str">
        <f>IF(B325="","",VLOOKUP(B325,'Product Master'!$B:$G,4,FALSE))</f>
        <v/>
      </c>
      <c r="O325" s="53" t="str">
        <f>IF(B325="","",VLOOKUP(B325,'Product Master'!$B:$G,5,FALSE))</f>
        <v/>
      </c>
      <c r="P325" s="50" t="str">
        <f>IF(B325="","",VLOOKUP(B325,'Product Master'!$B:$I,7,FALSE))</f>
        <v/>
      </c>
      <c r="Q325" s="158"/>
      <c r="R325" s="58" t="str">
        <f t="shared" si="5"/>
        <v/>
      </c>
      <c r="S325" s="25"/>
      <c r="T325" s="25"/>
      <c r="U325" s="25"/>
      <c r="V325" s="25"/>
      <c r="W325" s="25"/>
      <c r="X325" s="25"/>
    </row>
    <row r="326" spans="1:24" x14ac:dyDescent="0.25">
      <c r="A326" s="31" t="s">
        <v>886</v>
      </c>
      <c r="B326" s="32"/>
      <c r="C326" s="50" t="str">
        <f>IF(B326="","",VLOOKUP(B326,'Product Master'!$B:$G,2,FALSE))</f>
        <v/>
      </c>
      <c r="D326" s="50" t="str">
        <f>IF(B326="","",VLOOKUP(B326,'Product Master'!$B:$G,3,FALSE))</f>
        <v/>
      </c>
      <c r="E326" s="50"/>
      <c r="F326" s="50">
        <f>SUMIF('Stock Purchase'!$D:$D,B326,'Stock Purchase'!$F:$F)</f>
        <v>0</v>
      </c>
      <c r="G326" s="50">
        <f>SUMIFS('Stock Adjustment'!$E:$E,'Stock Adjustment'!$B:$B,$A326,'Stock Adjustment'!$D:$D,"Customer Returned")</f>
        <v>0</v>
      </c>
      <c r="H326" s="50">
        <f>SUMIF('Daily Sales Entry'!$D:$D,B326,'Daily Sales Entry'!$G:$G)</f>
        <v>0</v>
      </c>
      <c r="I326" s="50">
        <f>SUMIFS('Stock Adjustment'!$E:$E,'Stock Adjustment'!$B:$B,$A326,'Stock Adjustment'!$D:$D,"Staff Consumption")</f>
        <v>0</v>
      </c>
      <c r="J326" s="50">
        <f>SUMIFS('Stock Adjustment'!$E:$E,'Stock Adjustment'!$B:$B,$A326,'Stock Adjustment'!$D:$D,"Damaged")</f>
        <v>0</v>
      </c>
      <c r="K326" s="50">
        <f>SUMIFS('Stock Adjustment'!$E:$E,'Stock Adjustment'!$B:$B,$A326,'Stock Adjustment'!$D:$D,"Expired")</f>
        <v>0</v>
      </c>
      <c r="L326" s="50">
        <f>SUMIFS('Stock Adjustment'!$E:$E,'Stock Adjustment'!$B:$B,$A326,'Stock Adjustment'!$D:$D,"Supplier Returned")</f>
        <v>0</v>
      </c>
      <c r="M3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6" s="53" t="str">
        <f>IF(B326="","",VLOOKUP(B326,'Product Master'!$B:$G,4,FALSE))</f>
        <v/>
      </c>
      <c r="O326" s="53" t="str">
        <f>IF(B326="","",VLOOKUP(B326,'Product Master'!$B:$G,5,FALSE))</f>
        <v/>
      </c>
      <c r="P326" s="50" t="str">
        <f>IF(B326="","",VLOOKUP(B326,'Product Master'!$B:$I,7,FALSE))</f>
        <v/>
      </c>
      <c r="Q326" s="158"/>
      <c r="R326" s="58" t="str">
        <f t="shared" si="5"/>
        <v/>
      </c>
      <c r="S326" s="25"/>
      <c r="T326" s="25"/>
      <c r="U326" s="25"/>
      <c r="V326" s="25"/>
      <c r="W326" s="25"/>
      <c r="X326" s="25"/>
    </row>
    <row r="327" spans="1:24" x14ac:dyDescent="0.25">
      <c r="A327" s="31" t="s">
        <v>887</v>
      </c>
      <c r="B327" s="32"/>
      <c r="C327" s="50" t="str">
        <f>IF(B327="","",VLOOKUP(B327,'Product Master'!$B:$G,2,FALSE))</f>
        <v/>
      </c>
      <c r="D327" s="50" t="str">
        <f>IF(B327="","",VLOOKUP(B327,'Product Master'!$B:$G,3,FALSE))</f>
        <v/>
      </c>
      <c r="E327" s="50"/>
      <c r="F327" s="50">
        <f>SUMIF('Stock Purchase'!$D:$D,B327,'Stock Purchase'!$F:$F)</f>
        <v>0</v>
      </c>
      <c r="G327" s="50">
        <f>SUMIFS('Stock Adjustment'!$E:$E,'Stock Adjustment'!$B:$B,$A327,'Stock Adjustment'!$D:$D,"Customer Returned")</f>
        <v>0</v>
      </c>
      <c r="H327" s="50">
        <f>SUMIF('Daily Sales Entry'!$D:$D,B327,'Daily Sales Entry'!$G:$G)</f>
        <v>0</v>
      </c>
      <c r="I327" s="50">
        <f>SUMIFS('Stock Adjustment'!$E:$E,'Stock Adjustment'!$B:$B,$A327,'Stock Adjustment'!$D:$D,"Staff Consumption")</f>
        <v>0</v>
      </c>
      <c r="J327" s="50">
        <f>SUMIFS('Stock Adjustment'!$E:$E,'Stock Adjustment'!$B:$B,$A327,'Stock Adjustment'!$D:$D,"Damaged")</f>
        <v>0</v>
      </c>
      <c r="K327" s="50">
        <f>SUMIFS('Stock Adjustment'!$E:$E,'Stock Adjustment'!$B:$B,$A327,'Stock Adjustment'!$D:$D,"Expired")</f>
        <v>0</v>
      </c>
      <c r="L327" s="50">
        <f>SUMIFS('Stock Adjustment'!$E:$E,'Stock Adjustment'!$B:$B,$A327,'Stock Adjustment'!$D:$D,"Supplier Returned")</f>
        <v>0</v>
      </c>
      <c r="M3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7" s="53" t="str">
        <f>IF(B327="","",VLOOKUP(B327,'Product Master'!$B:$G,4,FALSE))</f>
        <v/>
      </c>
      <c r="O327" s="53" t="str">
        <f>IF(B327="","",VLOOKUP(B327,'Product Master'!$B:$G,5,FALSE))</f>
        <v/>
      </c>
      <c r="P327" s="50" t="str">
        <f>IF(B327="","",VLOOKUP(B327,'Product Master'!$B:$I,7,FALSE))</f>
        <v/>
      </c>
      <c r="Q327" s="158"/>
      <c r="R327" s="58" t="str">
        <f t="shared" si="5"/>
        <v/>
      </c>
      <c r="S327" s="25"/>
      <c r="T327" s="25"/>
      <c r="U327" s="25"/>
      <c r="V327" s="25"/>
      <c r="W327" s="25"/>
      <c r="X327" s="25"/>
    </row>
    <row r="328" spans="1:24" x14ac:dyDescent="0.25">
      <c r="A328" s="31" t="s">
        <v>888</v>
      </c>
      <c r="B328" s="32"/>
      <c r="C328" s="50" t="str">
        <f>IF(B328="","",VLOOKUP(B328,'Product Master'!$B:$G,2,FALSE))</f>
        <v/>
      </c>
      <c r="D328" s="50" t="str">
        <f>IF(B328="","",VLOOKUP(B328,'Product Master'!$B:$G,3,FALSE))</f>
        <v/>
      </c>
      <c r="E328" s="50"/>
      <c r="F328" s="50">
        <f>SUMIF('Stock Purchase'!$D:$D,B328,'Stock Purchase'!$F:$F)</f>
        <v>0</v>
      </c>
      <c r="G328" s="50">
        <f>SUMIFS('Stock Adjustment'!$E:$E,'Stock Adjustment'!$B:$B,$A328,'Stock Adjustment'!$D:$D,"Customer Returned")</f>
        <v>0</v>
      </c>
      <c r="H328" s="50">
        <f>SUMIF('Daily Sales Entry'!$D:$D,B328,'Daily Sales Entry'!$G:$G)</f>
        <v>0</v>
      </c>
      <c r="I328" s="50">
        <f>SUMIFS('Stock Adjustment'!$E:$E,'Stock Adjustment'!$B:$B,$A328,'Stock Adjustment'!$D:$D,"Staff Consumption")</f>
        <v>0</v>
      </c>
      <c r="J328" s="50">
        <f>SUMIFS('Stock Adjustment'!$E:$E,'Stock Adjustment'!$B:$B,$A328,'Stock Adjustment'!$D:$D,"Damaged")</f>
        <v>0</v>
      </c>
      <c r="K328" s="50">
        <f>SUMIFS('Stock Adjustment'!$E:$E,'Stock Adjustment'!$B:$B,$A328,'Stock Adjustment'!$D:$D,"Expired")</f>
        <v>0</v>
      </c>
      <c r="L328" s="50">
        <f>SUMIFS('Stock Adjustment'!$E:$E,'Stock Adjustment'!$B:$B,$A328,'Stock Adjustment'!$D:$D,"Supplier Returned")</f>
        <v>0</v>
      </c>
      <c r="M3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8" s="53" t="str">
        <f>IF(B328="","",VLOOKUP(B328,'Product Master'!$B:$G,4,FALSE))</f>
        <v/>
      </c>
      <c r="O328" s="53" t="str">
        <f>IF(B328="","",VLOOKUP(B328,'Product Master'!$B:$G,5,FALSE))</f>
        <v/>
      </c>
      <c r="P328" s="50" t="str">
        <f>IF(B328="","",VLOOKUP(B328,'Product Master'!$B:$I,7,FALSE))</f>
        <v/>
      </c>
      <c r="Q328" s="158"/>
      <c r="R328" s="58" t="str">
        <f t="shared" si="5"/>
        <v/>
      </c>
      <c r="S328" s="25"/>
      <c r="T328" s="25"/>
      <c r="U328" s="25"/>
      <c r="V328" s="25"/>
      <c r="W328" s="25"/>
      <c r="X328" s="25"/>
    </row>
    <row r="329" spans="1:24" x14ac:dyDescent="0.25">
      <c r="A329" s="31" t="s">
        <v>889</v>
      </c>
      <c r="B329" s="32"/>
      <c r="C329" s="50" t="str">
        <f>IF(B329="","",VLOOKUP(B329,'Product Master'!$B:$G,2,FALSE))</f>
        <v/>
      </c>
      <c r="D329" s="50" t="str">
        <f>IF(B329="","",VLOOKUP(B329,'Product Master'!$B:$G,3,FALSE))</f>
        <v/>
      </c>
      <c r="E329" s="50"/>
      <c r="F329" s="50">
        <f>SUMIF('Stock Purchase'!$D:$D,B329,'Stock Purchase'!$F:$F)</f>
        <v>0</v>
      </c>
      <c r="G329" s="50">
        <f>SUMIFS('Stock Adjustment'!$E:$E,'Stock Adjustment'!$B:$B,$A329,'Stock Adjustment'!$D:$D,"Customer Returned")</f>
        <v>0</v>
      </c>
      <c r="H329" s="50">
        <f>SUMIF('Daily Sales Entry'!$D:$D,B329,'Daily Sales Entry'!$G:$G)</f>
        <v>0</v>
      </c>
      <c r="I329" s="50">
        <f>SUMIFS('Stock Adjustment'!$E:$E,'Stock Adjustment'!$B:$B,$A329,'Stock Adjustment'!$D:$D,"Staff Consumption")</f>
        <v>0</v>
      </c>
      <c r="J329" s="50">
        <f>SUMIFS('Stock Adjustment'!$E:$E,'Stock Adjustment'!$B:$B,$A329,'Stock Adjustment'!$D:$D,"Damaged")</f>
        <v>0</v>
      </c>
      <c r="K329" s="50">
        <f>SUMIFS('Stock Adjustment'!$E:$E,'Stock Adjustment'!$B:$B,$A329,'Stock Adjustment'!$D:$D,"Expired")</f>
        <v>0</v>
      </c>
      <c r="L329" s="50">
        <f>SUMIFS('Stock Adjustment'!$E:$E,'Stock Adjustment'!$B:$B,$A329,'Stock Adjustment'!$D:$D,"Supplier Returned")</f>
        <v>0</v>
      </c>
      <c r="M3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29" s="53" t="str">
        <f>IF(B329="","",VLOOKUP(B329,'Product Master'!$B:$G,4,FALSE))</f>
        <v/>
      </c>
      <c r="O329" s="53" t="str">
        <f>IF(B329="","",VLOOKUP(B329,'Product Master'!$B:$G,5,FALSE))</f>
        <v/>
      </c>
      <c r="P329" s="50" t="str">
        <f>IF(B329="","",VLOOKUP(B329,'Product Master'!$B:$I,7,FALSE))</f>
        <v/>
      </c>
      <c r="Q329" s="158"/>
      <c r="R329" s="58" t="str">
        <f t="shared" si="5"/>
        <v/>
      </c>
      <c r="S329" s="25"/>
      <c r="T329" s="25"/>
      <c r="U329" s="25"/>
      <c r="V329" s="25"/>
      <c r="W329" s="25"/>
      <c r="X329" s="25"/>
    </row>
    <row r="330" spans="1:24" x14ac:dyDescent="0.25">
      <c r="A330" s="31" t="s">
        <v>890</v>
      </c>
      <c r="B330" s="32"/>
      <c r="C330" s="50" t="str">
        <f>IF(B330="","",VLOOKUP(B330,'Product Master'!$B:$G,2,FALSE))</f>
        <v/>
      </c>
      <c r="D330" s="50" t="str">
        <f>IF(B330="","",VLOOKUP(B330,'Product Master'!$B:$G,3,FALSE))</f>
        <v/>
      </c>
      <c r="E330" s="50"/>
      <c r="F330" s="50">
        <f>SUMIF('Stock Purchase'!$D:$D,B330,'Stock Purchase'!$F:$F)</f>
        <v>0</v>
      </c>
      <c r="G330" s="50">
        <f>SUMIFS('Stock Adjustment'!$E:$E,'Stock Adjustment'!$B:$B,$A330,'Stock Adjustment'!$D:$D,"Customer Returned")</f>
        <v>0</v>
      </c>
      <c r="H330" s="50">
        <f>SUMIF('Daily Sales Entry'!$D:$D,B330,'Daily Sales Entry'!$G:$G)</f>
        <v>0</v>
      </c>
      <c r="I330" s="50">
        <f>SUMIFS('Stock Adjustment'!$E:$E,'Stock Adjustment'!$B:$B,$A330,'Stock Adjustment'!$D:$D,"Staff Consumption")</f>
        <v>0</v>
      </c>
      <c r="J330" s="50">
        <f>SUMIFS('Stock Adjustment'!$E:$E,'Stock Adjustment'!$B:$B,$A330,'Stock Adjustment'!$D:$D,"Damaged")</f>
        <v>0</v>
      </c>
      <c r="K330" s="50">
        <f>SUMIFS('Stock Adjustment'!$E:$E,'Stock Adjustment'!$B:$B,$A330,'Stock Adjustment'!$D:$D,"Expired")</f>
        <v>0</v>
      </c>
      <c r="L330" s="50">
        <f>SUMIFS('Stock Adjustment'!$E:$E,'Stock Adjustment'!$B:$B,$A330,'Stock Adjustment'!$D:$D,"Supplier Returned")</f>
        <v>0</v>
      </c>
      <c r="M3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0" s="53" t="str">
        <f>IF(B330="","",VLOOKUP(B330,'Product Master'!$B:$G,4,FALSE))</f>
        <v/>
      </c>
      <c r="O330" s="53" t="str">
        <f>IF(B330="","",VLOOKUP(B330,'Product Master'!$B:$G,5,FALSE))</f>
        <v/>
      </c>
      <c r="P330" s="50" t="str">
        <f>IF(B330="","",VLOOKUP(B330,'Product Master'!$B:$I,7,FALSE))</f>
        <v/>
      </c>
      <c r="Q330" s="158"/>
      <c r="R330" s="58" t="str">
        <f t="shared" si="5"/>
        <v/>
      </c>
      <c r="S330" s="25"/>
      <c r="T330" s="25"/>
      <c r="U330" s="25"/>
      <c r="V330" s="25"/>
      <c r="W330" s="25"/>
      <c r="X330" s="25"/>
    </row>
    <row r="331" spans="1:24" x14ac:dyDescent="0.25">
      <c r="A331" s="31" t="s">
        <v>891</v>
      </c>
      <c r="B331" s="32"/>
      <c r="C331" s="50" t="str">
        <f>IF(B331="","",VLOOKUP(B331,'Product Master'!$B:$G,2,FALSE))</f>
        <v/>
      </c>
      <c r="D331" s="50" t="str">
        <f>IF(B331="","",VLOOKUP(B331,'Product Master'!$B:$G,3,FALSE))</f>
        <v/>
      </c>
      <c r="E331" s="50"/>
      <c r="F331" s="50">
        <f>SUMIF('Stock Purchase'!$D:$D,B331,'Stock Purchase'!$F:$F)</f>
        <v>0</v>
      </c>
      <c r="G331" s="50">
        <f>SUMIFS('Stock Adjustment'!$E:$E,'Stock Adjustment'!$B:$B,$A331,'Stock Adjustment'!$D:$D,"Customer Returned")</f>
        <v>0</v>
      </c>
      <c r="H331" s="50">
        <f>SUMIF('Daily Sales Entry'!$D:$D,B331,'Daily Sales Entry'!$G:$G)</f>
        <v>0</v>
      </c>
      <c r="I331" s="50">
        <f>SUMIFS('Stock Adjustment'!$E:$E,'Stock Adjustment'!$B:$B,$A331,'Stock Adjustment'!$D:$D,"Staff Consumption")</f>
        <v>0</v>
      </c>
      <c r="J331" s="50">
        <f>SUMIFS('Stock Adjustment'!$E:$E,'Stock Adjustment'!$B:$B,$A331,'Stock Adjustment'!$D:$D,"Damaged")</f>
        <v>0</v>
      </c>
      <c r="K331" s="50">
        <f>SUMIFS('Stock Adjustment'!$E:$E,'Stock Adjustment'!$B:$B,$A331,'Stock Adjustment'!$D:$D,"Expired")</f>
        <v>0</v>
      </c>
      <c r="L331" s="50">
        <f>SUMIFS('Stock Adjustment'!$E:$E,'Stock Adjustment'!$B:$B,$A331,'Stock Adjustment'!$D:$D,"Supplier Returned")</f>
        <v>0</v>
      </c>
      <c r="M3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1" s="53" t="str">
        <f>IF(B331="","",VLOOKUP(B331,'Product Master'!$B:$G,4,FALSE))</f>
        <v/>
      </c>
      <c r="O331" s="53" t="str">
        <f>IF(B331="","",VLOOKUP(B331,'Product Master'!$B:$G,5,FALSE))</f>
        <v/>
      </c>
      <c r="P331" s="50" t="str">
        <f>IF(B331="","",VLOOKUP(B331,'Product Master'!$B:$I,7,FALSE))</f>
        <v/>
      </c>
      <c r="Q331" s="158"/>
      <c r="R331" s="58" t="str">
        <f t="shared" si="5"/>
        <v/>
      </c>
      <c r="S331" s="25"/>
      <c r="T331" s="25"/>
      <c r="U331" s="25"/>
      <c r="V331" s="25"/>
      <c r="W331" s="25"/>
      <c r="X331" s="25"/>
    </row>
    <row r="332" spans="1:24" x14ac:dyDescent="0.25">
      <c r="A332" s="31" t="s">
        <v>892</v>
      </c>
      <c r="B332" s="32"/>
      <c r="C332" s="50" t="str">
        <f>IF(B332="","",VLOOKUP(B332,'Product Master'!$B:$G,2,FALSE))</f>
        <v/>
      </c>
      <c r="D332" s="50" t="str">
        <f>IF(B332="","",VLOOKUP(B332,'Product Master'!$B:$G,3,FALSE))</f>
        <v/>
      </c>
      <c r="E332" s="50"/>
      <c r="F332" s="50">
        <f>SUMIF('Stock Purchase'!$D:$D,B332,'Stock Purchase'!$F:$F)</f>
        <v>0</v>
      </c>
      <c r="G332" s="50">
        <f>SUMIFS('Stock Adjustment'!$E:$E,'Stock Adjustment'!$B:$B,$A332,'Stock Adjustment'!$D:$D,"Customer Returned")</f>
        <v>0</v>
      </c>
      <c r="H332" s="50">
        <f>SUMIF('Daily Sales Entry'!$D:$D,B332,'Daily Sales Entry'!$G:$G)</f>
        <v>0</v>
      </c>
      <c r="I332" s="50">
        <f>SUMIFS('Stock Adjustment'!$E:$E,'Stock Adjustment'!$B:$B,$A332,'Stock Adjustment'!$D:$D,"Staff Consumption")</f>
        <v>0</v>
      </c>
      <c r="J332" s="50">
        <f>SUMIFS('Stock Adjustment'!$E:$E,'Stock Adjustment'!$B:$B,$A332,'Stock Adjustment'!$D:$D,"Damaged")</f>
        <v>0</v>
      </c>
      <c r="K332" s="50">
        <f>SUMIFS('Stock Adjustment'!$E:$E,'Stock Adjustment'!$B:$B,$A332,'Stock Adjustment'!$D:$D,"Expired")</f>
        <v>0</v>
      </c>
      <c r="L332" s="50">
        <f>SUMIFS('Stock Adjustment'!$E:$E,'Stock Adjustment'!$B:$B,$A332,'Stock Adjustment'!$D:$D,"Supplier Returned")</f>
        <v>0</v>
      </c>
      <c r="M3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2" s="53" t="str">
        <f>IF(B332="","",VLOOKUP(B332,'Product Master'!$B:$G,4,FALSE))</f>
        <v/>
      </c>
      <c r="O332" s="53" t="str">
        <f>IF(B332="","",VLOOKUP(B332,'Product Master'!$B:$G,5,FALSE))</f>
        <v/>
      </c>
      <c r="P332" s="50" t="str">
        <f>IF(B332="","",VLOOKUP(B332,'Product Master'!$B:$I,7,FALSE))</f>
        <v/>
      </c>
      <c r="Q332" s="158"/>
      <c r="R332" s="58" t="str">
        <f t="shared" si="5"/>
        <v/>
      </c>
      <c r="S332" s="25"/>
      <c r="T332" s="25"/>
      <c r="U332" s="25"/>
      <c r="V332" s="25"/>
      <c r="W332" s="25"/>
      <c r="X332" s="25"/>
    </row>
    <row r="333" spans="1:24" x14ac:dyDescent="0.25">
      <c r="A333" s="31" t="s">
        <v>893</v>
      </c>
      <c r="B333" s="32"/>
      <c r="C333" s="50" t="str">
        <f>IF(B333="","",VLOOKUP(B333,'Product Master'!$B:$G,2,FALSE))</f>
        <v/>
      </c>
      <c r="D333" s="50" t="str">
        <f>IF(B333="","",VLOOKUP(B333,'Product Master'!$B:$G,3,FALSE))</f>
        <v/>
      </c>
      <c r="E333" s="50"/>
      <c r="F333" s="50">
        <f>SUMIF('Stock Purchase'!$D:$D,B333,'Stock Purchase'!$F:$F)</f>
        <v>0</v>
      </c>
      <c r="G333" s="50">
        <f>SUMIFS('Stock Adjustment'!$E:$E,'Stock Adjustment'!$B:$B,$A333,'Stock Adjustment'!$D:$D,"Customer Returned")</f>
        <v>0</v>
      </c>
      <c r="H333" s="50">
        <f>SUMIF('Daily Sales Entry'!$D:$D,B333,'Daily Sales Entry'!$G:$G)</f>
        <v>0</v>
      </c>
      <c r="I333" s="50">
        <f>SUMIFS('Stock Adjustment'!$E:$E,'Stock Adjustment'!$B:$B,$A333,'Stock Adjustment'!$D:$D,"Staff Consumption")</f>
        <v>0</v>
      </c>
      <c r="J333" s="50">
        <f>SUMIFS('Stock Adjustment'!$E:$E,'Stock Adjustment'!$B:$B,$A333,'Stock Adjustment'!$D:$D,"Damaged")</f>
        <v>0</v>
      </c>
      <c r="K333" s="50">
        <f>SUMIFS('Stock Adjustment'!$E:$E,'Stock Adjustment'!$B:$B,$A333,'Stock Adjustment'!$D:$D,"Expired")</f>
        <v>0</v>
      </c>
      <c r="L333" s="50">
        <f>SUMIFS('Stock Adjustment'!$E:$E,'Stock Adjustment'!$B:$B,$A333,'Stock Adjustment'!$D:$D,"Supplier Returned")</f>
        <v>0</v>
      </c>
      <c r="M3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3" s="53" t="str">
        <f>IF(B333="","",VLOOKUP(B333,'Product Master'!$B:$G,4,FALSE))</f>
        <v/>
      </c>
      <c r="O333" s="53" t="str">
        <f>IF(B333="","",VLOOKUP(B333,'Product Master'!$B:$G,5,FALSE))</f>
        <v/>
      </c>
      <c r="P333" s="50" t="str">
        <f>IF(B333="","",VLOOKUP(B333,'Product Master'!$B:$I,7,FALSE))</f>
        <v/>
      </c>
      <c r="Q333" s="158"/>
      <c r="R333" s="58" t="str">
        <f t="shared" si="5"/>
        <v/>
      </c>
      <c r="S333" s="25"/>
      <c r="T333" s="25"/>
      <c r="U333" s="25"/>
      <c r="V333" s="25"/>
      <c r="W333" s="25"/>
      <c r="X333" s="25"/>
    </row>
    <row r="334" spans="1:24" x14ac:dyDescent="0.25">
      <c r="A334" s="31" t="s">
        <v>894</v>
      </c>
      <c r="B334" s="32"/>
      <c r="C334" s="50" t="str">
        <f>IF(B334="","",VLOOKUP(B334,'Product Master'!$B:$G,2,FALSE))</f>
        <v/>
      </c>
      <c r="D334" s="50" t="str">
        <f>IF(B334="","",VLOOKUP(B334,'Product Master'!$B:$G,3,FALSE))</f>
        <v/>
      </c>
      <c r="E334" s="50"/>
      <c r="F334" s="50">
        <f>SUMIF('Stock Purchase'!$D:$D,B334,'Stock Purchase'!$F:$F)</f>
        <v>0</v>
      </c>
      <c r="G334" s="50">
        <f>SUMIFS('Stock Adjustment'!$E:$E,'Stock Adjustment'!$B:$B,$A334,'Stock Adjustment'!$D:$D,"Customer Returned")</f>
        <v>0</v>
      </c>
      <c r="H334" s="50">
        <f>SUMIF('Daily Sales Entry'!$D:$D,B334,'Daily Sales Entry'!$G:$G)</f>
        <v>0</v>
      </c>
      <c r="I334" s="50">
        <f>SUMIFS('Stock Adjustment'!$E:$E,'Stock Adjustment'!$B:$B,$A334,'Stock Adjustment'!$D:$D,"Staff Consumption")</f>
        <v>0</v>
      </c>
      <c r="J334" s="50">
        <f>SUMIFS('Stock Adjustment'!$E:$E,'Stock Adjustment'!$B:$B,$A334,'Stock Adjustment'!$D:$D,"Damaged")</f>
        <v>0</v>
      </c>
      <c r="K334" s="50">
        <f>SUMIFS('Stock Adjustment'!$E:$E,'Stock Adjustment'!$B:$B,$A334,'Stock Adjustment'!$D:$D,"Expired")</f>
        <v>0</v>
      </c>
      <c r="L334" s="50">
        <f>SUMIFS('Stock Adjustment'!$E:$E,'Stock Adjustment'!$B:$B,$A334,'Stock Adjustment'!$D:$D,"Supplier Returned")</f>
        <v>0</v>
      </c>
      <c r="M3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4" s="53" t="str">
        <f>IF(B334="","",VLOOKUP(B334,'Product Master'!$B:$G,4,FALSE))</f>
        <v/>
      </c>
      <c r="O334" s="53" t="str">
        <f>IF(B334="","",VLOOKUP(B334,'Product Master'!$B:$G,5,FALSE))</f>
        <v/>
      </c>
      <c r="P334" s="50" t="str">
        <f>IF(B334="","",VLOOKUP(B334,'Product Master'!$B:$I,7,FALSE))</f>
        <v/>
      </c>
      <c r="Q334" s="158"/>
      <c r="R334" s="58" t="str">
        <f t="shared" si="5"/>
        <v/>
      </c>
      <c r="S334" s="25"/>
      <c r="T334" s="25"/>
      <c r="U334" s="25"/>
      <c r="V334" s="25"/>
      <c r="W334" s="25"/>
      <c r="X334" s="25"/>
    </row>
    <row r="335" spans="1:24" x14ac:dyDescent="0.25">
      <c r="A335" s="31" t="s">
        <v>895</v>
      </c>
      <c r="B335" s="32"/>
      <c r="C335" s="50" t="str">
        <f>IF(B335="","",VLOOKUP(B335,'Product Master'!$B:$G,2,FALSE))</f>
        <v/>
      </c>
      <c r="D335" s="50" t="str">
        <f>IF(B335="","",VLOOKUP(B335,'Product Master'!$B:$G,3,FALSE))</f>
        <v/>
      </c>
      <c r="E335" s="50"/>
      <c r="F335" s="50">
        <f>SUMIF('Stock Purchase'!$D:$D,B335,'Stock Purchase'!$F:$F)</f>
        <v>0</v>
      </c>
      <c r="G335" s="50">
        <f>SUMIFS('Stock Adjustment'!$E:$E,'Stock Adjustment'!$B:$B,$A335,'Stock Adjustment'!$D:$D,"Customer Returned")</f>
        <v>0</v>
      </c>
      <c r="H335" s="50">
        <f>SUMIF('Daily Sales Entry'!$D:$D,B335,'Daily Sales Entry'!$G:$G)</f>
        <v>0</v>
      </c>
      <c r="I335" s="50">
        <f>SUMIFS('Stock Adjustment'!$E:$E,'Stock Adjustment'!$B:$B,$A335,'Stock Adjustment'!$D:$D,"Staff Consumption")</f>
        <v>0</v>
      </c>
      <c r="J335" s="50">
        <f>SUMIFS('Stock Adjustment'!$E:$E,'Stock Adjustment'!$B:$B,$A335,'Stock Adjustment'!$D:$D,"Damaged")</f>
        <v>0</v>
      </c>
      <c r="K335" s="50">
        <f>SUMIFS('Stock Adjustment'!$E:$E,'Stock Adjustment'!$B:$B,$A335,'Stock Adjustment'!$D:$D,"Expired")</f>
        <v>0</v>
      </c>
      <c r="L335" s="50">
        <f>SUMIFS('Stock Adjustment'!$E:$E,'Stock Adjustment'!$B:$B,$A335,'Stock Adjustment'!$D:$D,"Supplier Returned")</f>
        <v>0</v>
      </c>
      <c r="M3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5" s="53" t="str">
        <f>IF(B335="","",VLOOKUP(B335,'Product Master'!$B:$G,4,FALSE))</f>
        <v/>
      </c>
      <c r="O335" s="53" t="str">
        <f>IF(B335="","",VLOOKUP(B335,'Product Master'!$B:$G,5,FALSE))</f>
        <v/>
      </c>
      <c r="P335" s="50" t="str">
        <f>IF(B335="","",VLOOKUP(B335,'Product Master'!$B:$I,7,FALSE))</f>
        <v/>
      </c>
      <c r="Q335" s="158"/>
      <c r="R335" s="58" t="str">
        <f t="shared" si="5"/>
        <v/>
      </c>
      <c r="S335" s="25"/>
      <c r="T335" s="25"/>
      <c r="U335" s="25"/>
      <c r="V335" s="25"/>
      <c r="W335" s="25"/>
      <c r="X335" s="25"/>
    </row>
    <row r="336" spans="1:24" x14ac:dyDescent="0.25">
      <c r="A336" s="31" t="s">
        <v>896</v>
      </c>
      <c r="B336" s="32"/>
      <c r="C336" s="50" t="str">
        <f>IF(B336="","",VLOOKUP(B336,'Product Master'!$B:$G,2,FALSE))</f>
        <v/>
      </c>
      <c r="D336" s="50" t="str">
        <f>IF(B336="","",VLOOKUP(B336,'Product Master'!$B:$G,3,FALSE))</f>
        <v/>
      </c>
      <c r="E336" s="50"/>
      <c r="F336" s="50">
        <f>SUMIF('Stock Purchase'!$D:$D,B336,'Stock Purchase'!$F:$F)</f>
        <v>0</v>
      </c>
      <c r="G336" s="50">
        <f>SUMIFS('Stock Adjustment'!$E:$E,'Stock Adjustment'!$B:$B,$A336,'Stock Adjustment'!$D:$D,"Customer Returned")</f>
        <v>0</v>
      </c>
      <c r="H336" s="50">
        <f>SUMIF('Daily Sales Entry'!$D:$D,B336,'Daily Sales Entry'!$G:$G)</f>
        <v>0</v>
      </c>
      <c r="I336" s="50">
        <f>SUMIFS('Stock Adjustment'!$E:$E,'Stock Adjustment'!$B:$B,$A336,'Stock Adjustment'!$D:$D,"Staff Consumption")</f>
        <v>0</v>
      </c>
      <c r="J336" s="50">
        <f>SUMIFS('Stock Adjustment'!$E:$E,'Stock Adjustment'!$B:$B,$A336,'Stock Adjustment'!$D:$D,"Damaged")</f>
        <v>0</v>
      </c>
      <c r="K336" s="50">
        <f>SUMIFS('Stock Adjustment'!$E:$E,'Stock Adjustment'!$B:$B,$A336,'Stock Adjustment'!$D:$D,"Expired")</f>
        <v>0</v>
      </c>
      <c r="L336" s="50">
        <f>SUMIFS('Stock Adjustment'!$E:$E,'Stock Adjustment'!$B:$B,$A336,'Stock Adjustment'!$D:$D,"Supplier Returned")</f>
        <v>0</v>
      </c>
      <c r="M3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6" s="53" t="str">
        <f>IF(B336="","",VLOOKUP(B336,'Product Master'!$B:$G,4,FALSE))</f>
        <v/>
      </c>
      <c r="O336" s="53" t="str">
        <f>IF(B336="","",VLOOKUP(B336,'Product Master'!$B:$G,5,FALSE))</f>
        <v/>
      </c>
      <c r="P336" s="50" t="str">
        <f>IF(B336="","",VLOOKUP(B336,'Product Master'!$B:$I,7,FALSE))</f>
        <v/>
      </c>
      <c r="Q336" s="158"/>
      <c r="R336" s="58" t="str">
        <f t="shared" si="5"/>
        <v/>
      </c>
      <c r="S336" s="25"/>
      <c r="T336" s="25"/>
      <c r="U336" s="25"/>
      <c r="V336" s="25"/>
      <c r="W336" s="25"/>
      <c r="X336" s="25"/>
    </row>
    <row r="337" spans="1:24" x14ac:dyDescent="0.25">
      <c r="A337" s="31" t="s">
        <v>897</v>
      </c>
      <c r="B337" s="32"/>
      <c r="C337" s="50" t="str">
        <f>IF(B337="","",VLOOKUP(B337,'Product Master'!$B:$G,2,FALSE))</f>
        <v/>
      </c>
      <c r="D337" s="50" t="str">
        <f>IF(B337="","",VLOOKUP(B337,'Product Master'!$B:$G,3,FALSE))</f>
        <v/>
      </c>
      <c r="E337" s="50"/>
      <c r="F337" s="50">
        <f>SUMIF('Stock Purchase'!$D:$D,B337,'Stock Purchase'!$F:$F)</f>
        <v>0</v>
      </c>
      <c r="G337" s="50">
        <f>SUMIFS('Stock Adjustment'!$E:$E,'Stock Adjustment'!$B:$B,$A337,'Stock Adjustment'!$D:$D,"Customer Returned")</f>
        <v>0</v>
      </c>
      <c r="H337" s="50">
        <f>SUMIF('Daily Sales Entry'!$D:$D,B337,'Daily Sales Entry'!$G:$G)</f>
        <v>0</v>
      </c>
      <c r="I337" s="50">
        <f>SUMIFS('Stock Adjustment'!$E:$E,'Stock Adjustment'!$B:$B,$A337,'Stock Adjustment'!$D:$D,"Staff Consumption")</f>
        <v>0</v>
      </c>
      <c r="J337" s="50">
        <f>SUMIFS('Stock Adjustment'!$E:$E,'Stock Adjustment'!$B:$B,$A337,'Stock Adjustment'!$D:$D,"Damaged")</f>
        <v>0</v>
      </c>
      <c r="K337" s="50">
        <f>SUMIFS('Stock Adjustment'!$E:$E,'Stock Adjustment'!$B:$B,$A337,'Stock Adjustment'!$D:$D,"Expired")</f>
        <v>0</v>
      </c>
      <c r="L337" s="50">
        <f>SUMIFS('Stock Adjustment'!$E:$E,'Stock Adjustment'!$B:$B,$A337,'Stock Adjustment'!$D:$D,"Supplier Returned")</f>
        <v>0</v>
      </c>
      <c r="M3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7" s="53" t="str">
        <f>IF(B337="","",VLOOKUP(B337,'Product Master'!$B:$G,4,FALSE))</f>
        <v/>
      </c>
      <c r="O337" s="53" t="str">
        <f>IF(B337="","",VLOOKUP(B337,'Product Master'!$B:$G,5,FALSE))</f>
        <v/>
      </c>
      <c r="P337" s="50" t="str">
        <f>IF(B337="","",VLOOKUP(B337,'Product Master'!$B:$I,7,FALSE))</f>
        <v/>
      </c>
      <c r="Q337" s="158"/>
      <c r="R337" s="58" t="str">
        <f t="shared" si="5"/>
        <v/>
      </c>
      <c r="S337" s="25"/>
      <c r="T337" s="25"/>
      <c r="U337" s="25"/>
      <c r="V337" s="25"/>
      <c r="W337" s="25"/>
      <c r="X337" s="25"/>
    </row>
    <row r="338" spans="1:24" x14ac:dyDescent="0.25">
      <c r="A338" s="31" t="s">
        <v>898</v>
      </c>
      <c r="B338" s="32"/>
      <c r="C338" s="50" t="str">
        <f>IF(B338="","",VLOOKUP(B338,'Product Master'!$B:$G,2,FALSE))</f>
        <v/>
      </c>
      <c r="D338" s="50" t="str">
        <f>IF(B338="","",VLOOKUP(B338,'Product Master'!$B:$G,3,FALSE))</f>
        <v/>
      </c>
      <c r="E338" s="50"/>
      <c r="F338" s="50">
        <f>SUMIF('Stock Purchase'!$D:$D,B338,'Stock Purchase'!$F:$F)</f>
        <v>0</v>
      </c>
      <c r="G338" s="50">
        <f>SUMIFS('Stock Adjustment'!$E:$E,'Stock Adjustment'!$B:$B,$A338,'Stock Adjustment'!$D:$D,"Customer Returned")</f>
        <v>0</v>
      </c>
      <c r="H338" s="50">
        <f>SUMIF('Daily Sales Entry'!$D:$D,B338,'Daily Sales Entry'!$G:$G)</f>
        <v>0</v>
      </c>
      <c r="I338" s="50">
        <f>SUMIFS('Stock Adjustment'!$E:$E,'Stock Adjustment'!$B:$B,$A338,'Stock Adjustment'!$D:$D,"Staff Consumption")</f>
        <v>0</v>
      </c>
      <c r="J338" s="50">
        <f>SUMIFS('Stock Adjustment'!$E:$E,'Stock Adjustment'!$B:$B,$A338,'Stock Adjustment'!$D:$D,"Damaged")</f>
        <v>0</v>
      </c>
      <c r="K338" s="50">
        <f>SUMIFS('Stock Adjustment'!$E:$E,'Stock Adjustment'!$B:$B,$A338,'Stock Adjustment'!$D:$D,"Expired")</f>
        <v>0</v>
      </c>
      <c r="L338" s="50">
        <f>SUMIFS('Stock Adjustment'!$E:$E,'Stock Adjustment'!$B:$B,$A338,'Stock Adjustment'!$D:$D,"Supplier Returned")</f>
        <v>0</v>
      </c>
      <c r="M3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8" s="53" t="str">
        <f>IF(B338="","",VLOOKUP(B338,'Product Master'!$B:$G,4,FALSE))</f>
        <v/>
      </c>
      <c r="O338" s="53" t="str">
        <f>IF(B338="","",VLOOKUP(B338,'Product Master'!$B:$G,5,FALSE))</f>
        <v/>
      </c>
      <c r="P338" s="50" t="str">
        <f>IF(B338="","",VLOOKUP(B338,'Product Master'!$B:$I,7,FALSE))</f>
        <v/>
      </c>
      <c r="Q338" s="158"/>
      <c r="R338" s="58" t="str">
        <f t="shared" si="5"/>
        <v/>
      </c>
      <c r="S338" s="25"/>
      <c r="T338" s="25"/>
      <c r="U338" s="25"/>
      <c r="V338" s="25"/>
      <c r="W338" s="25"/>
      <c r="X338" s="25"/>
    </row>
    <row r="339" spans="1:24" x14ac:dyDescent="0.25">
      <c r="A339" s="31" t="s">
        <v>899</v>
      </c>
      <c r="B339" s="32"/>
      <c r="C339" s="50" t="str">
        <f>IF(B339="","",VLOOKUP(B339,'Product Master'!$B:$G,2,FALSE))</f>
        <v/>
      </c>
      <c r="D339" s="50" t="str">
        <f>IF(B339="","",VLOOKUP(B339,'Product Master'!$B:$G,3,FALSE))</f>
        <v/>
      </c>
      <c r="E339" s="50"/>
      <c r="F339" s="50">
        <f>SUMIF('Stock Purchase'!$D:$D,B339,'Stock Purchase'!$F:$F)</f>
        <v>0</v>
      </c>
      <c r="G339" s="50">
        <f>SUMIFS('Stock Adjustment'!$E:$E,'Stock Adjustment'!$B:$B,$A339,'Stock Adjustment'!$D:$D,"Customer Returned")</f>
        <v>0</v>
      </c>
      <c r="H339" s="50">
        <f>SUMIF('Daily Sales Entry'!$D:$D,B339,'Daily Sales Entry'!$G:$G)</f>
        <v>0</v>
      </c>
      <c r="I339" s="50">
        <f>SUMIFS('Stock Adjustment'!$E:$E,'Stock Adjustment'!$B:$B,$A339,'Stock Adjustment'!$D:$D,"Staff Consumption")</f>
        <v>0</v>
      </c>
      <c r="J339" s="50">
        <f>SUMIFS('Stock Adjustment'!$E:$E,'Stock Adjustment'!$B:$B,$A339,'Stock Adjustment'!$D:$D,"Damaged")</f>
        <v>0</v>
      </c>
      <c r="K339" s="50">
        <f>SUMIFS('Stock Adjustment'!$E:$E,'Stock Adjustment'!$B:$B,$A339,'Stock Adjustment'!$D:$D,"Expired")</f>
        <v>0</v>
      </c>
      <c r="L339" s="50">
        <f>SUMIFS('Stock Adjustment'!$E:$E,'Stock Adjustment'!$B:$B,$A339,'Stock Adjustment'!$D:$D,"Supplier Returned")</f>
        <v>0</v>
      </c>
      <c r="M3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39" s="53" t="str">
        <f>IF(B339="","",VLOOKUP(B339,'Product Master'!$B:$G,4,FALSE))</f>
        <v/>
      </c>
      <c r="O339" s="53" t="str">
        <f>IF(B339="","",VLOOKUP(B339,'Product Master'!$B:$G,5,FALSE))</f>
        <v/>
      </c>
      <c r="P339" s="50" t="str">
        <f>IF(B339="","",VLOOKUP(B339,'Product Master'!$B:$I,7,FALSE))</f>
        <v/>
      </c>
      <c r="Q339" s="158"/>
      <c r="R339" s="58" t="str">
        <f t="shared" si="5"/>
        <v/>
      </c>
      <c r="S339" s="25"/>
      <c r="T339" s="25"/>
      <c r="U339" s="25"/>
      <c r="V339" s="25"/>
      <c r="W339" s="25"/>
      <c r="X339" s="25"/>
    </row>
    <row r="340" spans="1:24" x14ac:dyDescent="0.25">
      <c r="A340" s="31" t="s">
        <v>900</v>
      </c>
      <c r="B340" s="32"/>
      <c r="C340" s="50" t="str">
        <f>IF(B340="","",VLOOKUP(B340,'Product Master'!$B:$G,2,FALSE))</f>
        <v/>
      </c>
      <c r="D340" s="50" t="str">
        <f>IF(B340="","",VLOOKUP(B340,'Product Master'!$B:$G,3,FALSE))</f>
        <v/>
      </c>
      <c r="E340" s="50"/>
      <c r="F340" s="50">
        <f>SUMIF('Stock Purchase'!$D:$D,B340,'Stock Purchase'!$F:$F)</f>
        <v>0</v>
      </c>
      <c r="G340" s="50">
        <f>SUMIFS('Stock Adjustment'!$E:$E,'Stock Adjustment'!$B:$B,$A340,'Stock Adjustment'!$D:$D,"Customer Returned")</f>
        <v>0</v>
      </c>
      <c r="H340" s="50">
        <f>SUMIF('Daily Sales Entry'!$D:$D,B340,'Daily Sales Entry'!$G:$G)</f>
        <v>0</v>
      </c>
      <c r="I340" s="50">
        <f>SUMIFS('Stock Adjustment'!$E:$E,'Stock Adjustment'!$B:$B,$A340,'Stock Adjustment'!$D:$D,"Staff Consumption")</f>
        <v>0</v>
      </c>
      <c r="J340" s="50">
        <f>SUMIFS('Stock Adjustment'!$E:$E,'Stock Adjustment'!$B:$B,$A340,'Stock Adjustment'!$D:$D,"Damaged")</f>
        <v>0</v>
      </c>
      <c r="K340" s="50">
        <f>SUMIFS('Stock Adjustment'!$E:$E,'Stock Adjustment'!$B:$B,$A340,'Stock Adjustment'!$D:$D,"Expired")</f>
        <v>0</v>
      </c>
      <c r="L340" s="50">
        <f>SUMIFS('Stock Adjustment'!$E:$E,'Stock Adjustment'!$B:$B,$A340,'Stock Adjustment'!$D:$D,"Supplier Returned")</f>
        <v>0</v>
      </c>
      <c r="M3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0" s="53" t="str">
        <f>IF(B340="","",VLOOKUP(B340,'Product Master'!$B:$G,4,FALSE))</f>
        <v/>
      </c>
      <c r="O340" s="53" t="str">
        <f>IF(B340="","",VLOOKUP(B340,'Product Master'!$B:$G,5,FALSE))</f>
        <v/>
      </c>
      <c r="P340" s="50" t="str">
        <f>IF(B340="","",VLOOKUP(B340,'Product Master'!$B:$I,7,FALSE))</f>
        <v/>
      </c>
      <c r="Q340" s="158"/>
      <c r="R340" s="58" t="str">
        <f t="shared" si="5"/>
        <v/>
      </c>
      <c r="S340" s="25"/>
      <c r="T340" s="25"/>
      <c r="U340" s="25"/>
      <c r="V340" s="25"/>
      <c r="W340" s="25"/>
      <c r="X340" s="25"/>
    </row>
    <row r="341" spans="1:24" x14ac:dyDescent="0.25">
      <c r="A341" s="31" t="s">
        <v>901</v>
      </c>
      <c r="B341" s="32"/>
      <c r="C341" s="50" t="str">
        <f>IF(B341="","",VLOOKUP(B341,'Product Master'!$B:$G,2,FALSE))</f>
        <v/>
      </c>
      <c r="D341" s="50" t="str">
        <f>IF(B341="","",VLOOKUP(B341,'Product Master'!$B:$G,3,FALSE))</f>
        <v/>
      </c>
      <c r="E341" s="50"/>
      <c r="F341" s="50">
        <f>SUMIF('Stock Purchase'!$D:$D,B341,'Stock Purchase'!$F:$F)</f>
        <v>0</v>
      </c>
      <c r="G341" s="50">
        <f>SUMIFS('Stock Adjustment'!$E:$E,'Stock Adjustment'!$B:$B,$A341,'Stock Adjustment'!$D:$D,"Customer Returned")</f>
        <v>0</v>
      </c>
      <c r="H341" s="50">
        <f>SUMIF('Daily Sales Entry'!$D:$D,B341,'Daily Sales Entry'!$G:$G)</f>
        <v>0</v>
      </c>
      <c r="I341" s="50">
        <f>SUMIFS('Stock Adjustment'!$E:$E,'Stock Adjustment'!$B:$B,$A341,'Stock Adjustment'!$D:$D,"Staff Consumption")</f>
        <v>0</v>
      </c>
      <c r="J341" s="50">
        <f>SUMIFS('Stock Adjustment'!$E:$E,'Stock Adjustment'!$B:$B,$A341,'Stock Adjustment'!$D:$D,"Damaged")</f>
        <v>0</v>
      </c>
      <c r="K341" s="50">
        <f>SUMIFS('Stock Adjustment'!$E:$E,'Stock Adjustment'!$B:$B,$A341,'Stock Adjustment'!$D:$D,"Expired")</f>
        <v>0</v>
      </c>
      <c r="L341" s="50">
        <f>SUMIFS('Stock Adjustment'!$E:$E,'Stock Adjustment'!$B:$B,$A341,'Stock Adjustment'!$D:$D,"Supplier Returned")</f>
        <v>0</v>
      </c>
      <c r="M3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1" s="53" t="str">
        <f>IF(B341="","",VLOOKUP(B341,'Product Master'!$B:$G,4,FALSE))</f>
        <v/>
      </c>
      <c r="O341" s="53" t="str">
        <f>IF(B341="","",VLOOKUP(B341,'Product Master'!$B:$G,5,FALSE))</f>
        <v/>
      </c>
      <c r="P341" s="50" t="str">
        <f>IF(B341="","",VLOOKUP(B341,'Product Master'!$B:$I,7,FALSE))</f>
        <v/>
      </c>
      <c r="Q341" s="158"/>
      <c r="R341" s="58" t="str">
        <f t="shared" si="5"/>
        <v/>
      </c>
      <c r="S341" s="25"/>
      <c r="T341" s="25"/>
      <c r="U341" s="25"/>
      <c r="V341" s="25"/>
      <c r="W341" s="25"/>
      <c r="X341" s="25"/>
    </row>
    <row r="342" spans="1:24" x14ac:dyDescent="0.25">
      <c r="A342" s="31" t="s">
        <v>902</v>
      </c>
      <c r="B342" s="32"/>
      <c r="C342" s="50" t="str">
        <f>IF(B342="","",VLOOKUP(B342,'Product Master'!$B:$G,2,FALSE))</f>
        <v/>
      </c>
      <c r="D342" s="50" t="str">
        <f>IF(B342="","",VLOOKUP(B342,'Product Master'!$B:$G,3,FALSE))</f>
        <v/>
      </c>
      <c r="E342" s="50"/>
      <c r="F342" s="50">
        <f>SUMIF('Stock Purchase'!$D:$D,B342,'Stock Purchase'!$F:$F)</f>
        <v>0</v>
      </c>
      <c r="G342" s="50">
        <f>SUMIFS('Stock Adjustment'!$E:$E,'Stock Adjustment'!$B:$B,$A342,'Stock Adjustment'!$D:$D,"Customer Returned")</f>
        <v>0</v>
      </c>
      <c r="H342" s="50">
        <f>SUMIF('Daily Sales Entry'!$D:$D,B342,'Daily Sales Entry'!$G:$G)</f>
        <v>0</v>
      </c>
      <c r="I342" s="50">
        <f>SUMIFS('Stock Adjustment'!$E:$E,'Stock Adjustment'!$B:$B,$A342,'Stock Adjustment'!$D:$D,"Staff Consumption")</f>
        <v>0</v>
      </c>
      <c r="J342" s="50">
        <f>SUMIFS('Stock Adjustment'!$E:$E,'Stock Adjustment'!$B:$B,$A342,'Stock Adjustment'!$D:$D,"Damaged")</f>
        <v>0</v>
      </c>
      <c r="K342" s="50">
        <f>SUMIFS('Stock Adjustment'!$E:$E,'Stock Adjustment'!$B:$B,$A342,'Stock Adjustment'!$D:$D,"Expired")</f>
        <v>0</v>
      </c>
      <c r="L342" s="50">
        <f>SUMIFS('Stock Adjustment'!$E:$E,'Stock Adjustment'!$B:$B,$A342,'Stock Adjustment'!$D:$D,"Supplier Returned")</f>
        <v>0</v>
      </c>
      <c r="M3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2" s="53" t="str">
        <f>IF(B342="","",VLOOKUP(B342,'Product Master'!$B:$G,4,FALSE))</f>
        <v/>
      </c>
      <c r="O342" s="53" t="str">
        <f>IF(B342="","",VLOOKUP(B342,'Product Master'!$B:$G,5,FALSE))</f>
        <v/>
      </c>
      <c r="P342" s="50" t="str">
        <f>IF(B342="","",VLOOKUP(B342,'Product Master'!$B:$I,7,FALSE))</f>
        <v/>
      </c>
      <c r="Q342" s="158"/>
      <c r="R342" s="58" t="str">
        <f t="shared" si="5"/>
        <v/>
      </c>
      <c r="S342" s="25"/>
      <c r="T342" s="25"/>
      <c r="U342" s="25"/>
      <c r="V342" s="25"/>
      <c r="W342" s="25"/>
      <c r="X342" s="25"/>
    </row>
    <row r="343" spans="1:24" x14ac:dyDescent="0.25">
      <c r="A343" s="31" t="s">
        <v>903</v>
      </c>
      <c r="B343" s="32"/>
      <c r="C343" s="50" t="str">
        <f>IF(B343="","",VLOOKUP(B343,'Product Master'!$B:$G,2,FALSE))</f>
        <v/>
      </c>
      <c r="D343" s="50" t="str">
        <f>IF(B343="","",VLOOKUP(B343,'Product Master'!$B:$G,3,FALSE))</f>
        <v/>
      </c>
      <c r="E343" s="50"/>
      <c r="F343" s="50">
        <f>SUMIF('Stock Purchase'!$D:$D,B343,'Stock Purchase'!$F:$F)</f>
        <v>0</v>
      </c>
      <c r="G343" s="50">
        <f>SUMIFS('Stock Adjustment'!$E:$E,'Stock Adjustment'!$B:$B,$A343,'Stock Adjustment'!$D:$D,"Customer Returned")</f>
        <v>0</v>
      </c>
      <c r="H343" s="50">
        <f>SUMIF('Daily Sales Entry'!$D:$D,B343,'Daily Sales Entry'!$G:$G)</f>
        <v>0</v>
      </c>
      <c r="I343" s="50">
        <f>SUMIFS('Stock Adjustment'!$E:$E,'Stock Adjustment'!$B:$B,$A343,'Stock Adjustment'!$D:$D,"Staff Consumption")</f>
        <v>0</v>
      </c>
      <c r="J343" s="50">
        <f>SUMIFS('Stock Adjustment'!$E:$E,'Stock Adjustment'!$B:$B,$A343,'Stock Adjustment'!$D:$D,"Damaged")</f>
        <v>0</v>
      </c>
      <c r="K343" s="50">
        <f>SUMIFS('Stock Adjustment'!$E:$E,'Stock Adjustment'!$B:$B,$A343,'Stock Adjustment'!$D:$D,"Expired")</f>
        <v>0</v>
      </c>
      <c r="L343" s="50">
        <f>SUMIFS('Stock Adjustment'!$E:$E,'Stock Adjustment'!$B:$B,$A343,'Stock Adjustment'!$D:$D,"Supplier Returned")</f>
        <v>0</v>
      </c>
      <c r="M3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3" s="53" t="str">
        <f>IF(B343="","",VLOOKUP(B343,'Product Master'!$B:$G,4,FALSE))</f>
        <v/>
      </c>
      <c r="O343" s="53" t="str">
        <f>IF(B343="","",VLOOKUP(B343,'Product Master'!$B:$G,5,FALSE))</f>
        <v/>
      </c>
      <c r="P343" s="50" t="str">
        <f>IF(B343="","",VLOOKUP(B343,'Product Master'!$B:$I,7,FALSE))</f>
        <v/>
      </c>
      <c r="Q343" s="158"/>
      <c r="R343" s="58" t="str">
        <f t="shared" si="5"/>
        <v/>
      </c>
      <c r="S343" s="25"/>
      <c r="T343" s="25"/>
      <c r="U343" s="25"/>
      <c r="V343" s="25"/>
      <c r="W343" s="25"/>
      <c r="X343" s="25"/>
    </row>
    <row r="344" spans="1:24" x14ac:dyDescent="0.25">
      <c r="A344" s="31" t="s">
        <v>904</v>
      </c>
      <c r="B344" s="32"/>
      <c r="C344" s="50" t="str">
        <f>IF(B344="","",VLOOKUP(B344,'Product Master'!$B:$G,2,FALSE))</f>
        <v/>
      </c>
      <c r="D344" s="50" t="str">
        <f>IF(B344="","",VLOOKUP(B344,'Product Master'!$B:$G,3,FALSE))</f>
        <v/>
      </c>
      <c r="E344" s="50"/>
      <c r="F344" s="50">
        <f>SUMIF('Stock Purchase'!$D:$D,B344,'Stock Purchase'!$F:$F)</f>
        <v>0</v>
      </c>
      <c r="G344" s="50">
        <f>SUMIFS('Stock Adjustment'!$E:$E,'Stock Adjustment'!$B:$B,$A344,'Stock Adjustment'!$D:$D,"Customer Returned")</f>
        <v>0</v>
      </c>
      <c r="H344" s="50">
        <f>SUMIF('Daily Sales Entry'!$D:$D,B344,'Daily Sales Entry'!$G:$G)</f>
        <v>0</v>
      </c>
      <c r="I344" s="50">
        <f>SUMIFS('Stock Adjustment'!$E:$E,'Stock Adjustment'!$B:$B,$A344,'Stock Adjustment'!$D:$D,"Staff Consumption")</f>
        <v>0</v>
      </c>
      <c r="J344" s="50">
        <f>SUMIFS('Stock Adjustment'!$E:$E,'Stock Adjustment'!$B:$B,$A344,'Stock Adjustment'!$D:$D,"Damaged")</f>
        <v>0</v>
      </c>
      <c r="K344" s="50">
        <f>SUMIFS('Stock Adjustment'!$E:$E,'Stock Adjustment'!$B:$B,$A344,'Stock Adjustment'!$D:$D,"Expired")</f>
        <v>0</v>
      </c>
      <c r="L344" s="50">
        <f>SUMIFS('Stock Adjustment'!$E:$E,'Stock Adjustment'!$B:$B,$A344,'Stock Adjustment'!$D:$D,"Supplier Returned")</f>
        <v>0</v>
      </c>
      <c r="M3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4" s="53" t="str">
        <f>IF(B344="","",VLOOKUP(B344,'Product Master'!$B:$G,4,FALSE))</f>
        <v/>
      </c>
      <c r="O344" s="53" t="str">
        <f>IF(B344="","",VLOOKUP(B344,'Product Master'!$B:$G,5,FALSE))</f>
        <v/>
      </c>
      <c r="P344" s="50" t="str">
        <f>IF(B344="","",VLOOKUP(B344,'Product Master'!$B:$I,7,FALSE))</f>
        <v/>
      </c>
      <c r="Q344" s="158"/>
      <c r="R344" s="58" t="str">
        <f t="shared" si="5"/>
        <v/>
      </c>
      <c r="S344" s="25"/>
      <c r="T344" s="25"/>
      <c r="U344" s="25"/>
      <c r="V344" s="25"/>
      <c r="W344" s="25"/>
      <c r="X344" s="25"/>
    </row>
    <row r="345" spans="1:24" x14ac:dyDescent="0.25">
      <c r="A345" s="31" t="s">
        <v>905</v>
      </c>
      <c r="B345" s="32"/>
      <c r="C345" s="50" t="str">
        <f>IF(B345="","",VLOOKUP(B345,'Product Master'!$B:$G,2,FALSE))</f>
        <v/>
      </c>
      <c r="D345" s="50" t="str">
        <f>IF(B345="","",VLOOKUP(B345,'Product Master'!$B:$G,3,FALSE))</f>
        <v/>
      </c>
      <c r="E345" s="50"/>
      <c r="F345" s="50">
        <f>SUMIF('Stock Purchase'!$D:$D,B345,'Stock Purchase'!$F:$F)</f>
        <v>0</v>
      </c>
      <c r="G345" s="50">
        <f>SUMIFS('Stock Adjustment'!$E:$E,'Stock Adjustment'!$B:$B,$A345,'Stock Adjustment'!$D:$D,"Customer Returned")</f>
        <v>0</v>
      </c>
      <c r="H345" s="50">
        <f>SUMIF('Daily Sales Entry'!$D:$D,B345,'Daily Sales Entry'!$G:$G)</f>
        <v>0</v>
      </c>
      <c r="I345" s="50">
        <f>SUMIFS('Stock Adjustment'!$E:$E,'Stock Adjustment'!$B:$B,$A345,'Stock Adjustment'!$D:$D,"Staff Consumption")</f>
        <v>0</v>
      </c>
      <c r="J345" s="50">
        <f>SUMIFS('Stock Adjustment'!$E:$E,'Stock Adjustment'!$B:$B,$A345,'Stock Adjustment'!$D:$D,"Damaged")</f>
        <v>0</v>
      </c>
      <c r="K345" s="50">
        <f>SUMIFS('Stock Adjustment'!$E:$E,'Stock Adjustment'!$B:$B,$A345,'Stock Adjustment'!$D:$D,"Expired")</f>
        <v>0</v>
      </c>
      <c r="L345" s="50">
        <f>SUMIFS('Stock Adjustment'!$E:$E,'Stock Adjustment'!$B:$B,$A345,'Stock Adjustment'!$D:$D,"Supplier Returned")</f>
        <v>0</v>
      </c>
      <c r="M3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5" s="53" t="str">
        <f>IF(B345="","",VLOOKUP(B345,'Product Master'!$B:$G,4,FALSE))</f>
        <v/>
      </c>
      <c r="O345" s="53" t="str">
        <f>IF(B345="","",VLOOKUP(B345,'Product Master'!$B:$G,5,FALSE))</f>
        <v/>
      </c>
      <c r="P345" s="50" t="str">
        <f>IF(B345="","",VLOOKUP(B345,'Product Master'!$B:$I,7,FALSE))</f>
        <v/>
      </c>
      <c r="Q345" s="158"/>
      <c r="R345" s="58" t="str">
        <f t="shared" si="5"/>
        <v/>
      </c>
      <c r="S345" s="25"/>
      <c r="T345" s="25"/>
      <c r="U345" s="25"/>
      <c r="V345" s="25"/>
      <c r="W345" s="25"/>
      <c r="X345" s="25"/>
    </row>
    <row r="346" spans="1:24" x14ac:dyDescent="0.25">
      <c r="A346" s="31" t="s">
        <v>906</v>
      </c>
      <c r="B346" s="32"/>
      <c r="C346" s="50" t="str">
        <f>IF(B346="","",VLOOKUP(B346,'Product Master'!$B:$G,2,FALSE))</f>
        <v/>
      </c>
      <c r="D346" s="50" t="str">
        <f>IF(B346="","",VLOOKUP(B346,'Product Master'!$B:$G,3,FALSE))</f>
        <v/>
      </c>
      <c r="E346" s="50"/>
      <c r="F346" s="50">
        <f>SUMIF('Stock Purchase'!$D:$D,B346,'Stock Purchase'!$F:$F)</f>
        <v>0</v>
      </c>
      <c r="G346" s="50">
        <f>SUMIFS('Stock Adjustment'!$E:$E,'Stock Adjustment'!$B:$B,$A346,'Stock Adjustment'!$D:$D,"Customer Returned")</f>
        <v>0</v>
      </c>
      <c r="H346" s="50">
        <f>SUMIF('Daily Sales Entry'!$D:$D,B346,'Daily Sales Entry'!$G:$G)</f>
        <v>0</v>
      </c>
      <c r="I346" s="50">
        <f>SUMIFS('Stock Adjustment'!$E:$E,'Stock Adjustment'!$B:$B,$A346,'Stock Adjustment'!$D:$D,"Staff Consumption")</f>
        <v>0</v>
      </c>
      <c r="J346" s="50">
        <f>SUMIFS('Stock Adjustment'!$E:$E,'Stock Adjustment'!$B:$B,$A346,'Stock Adjustment'!$D:$D,"Damaged")</f>
        <v>0</v>
      </c>
      <c r="K346" s="50">
        <f>SUMIFS('Stock Adjustment'!$E:$E,'Stock Adjustment'!$B:$B,$A346,'Stock Adjustment'!$D:$D,"Expired")</f>
        <v>0</v>
      </c>
      <c r="L346" s="50">
        <f>SUMIFS('Stock Adjustment'!$E:$E,'Stock Adjustment'!$B:$B,$A346,'Stock Adjustment'!$D:$D,"Supplier Returned")</f>
        <v>0</v>
      </c>
      <c r="M3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6" s="53" t="str">
        <f>IF(B346="","",VLOOKUP(B346,'Product Master'!$B:$G,4,FALSE))</f>
        <v/>
      </c>
      <c r="O346" s="53" t="str">
        <f>IF(B346="","",VLOOKUP(B346,'Product Master'!$B:$G,5,FALSE))</f>
        <v/>
      </c>
      <c r="P346" s="50" t="str">
        <f>IF(B346="","",VLOOKUP(B346,'Product Master'!$B:$I,7,FALSE))</f>
        <v/>
      </c>
      <c r="Q346" s="158"/>
      <c r="R346" s="58" t="str">
        <f t="shared" si="5"/>
        <v/>
      </c>
      <c r="S346" s="25"/>
      <c r="T346" s="25"/>
      <c r="U346" s="25"/>
      <c r="V346" s="25"/>
      <c r="W346" s="25"/>
      <c r="X346" s="25"/>
    </row>
    <row r="347" spans="1:24" x14ac:dyDescent="0.25">
      <c r="A347" s="31" t="s">
        <v>907</v>
      </c>
      <c r="B347" s="32"/>
      <c r="C347" s="50" t="str">
        <f>IF(B347="","",VLOOKUP(B347,'Product Master'!$B:$G,2,FALSE))</f>
        <v/>
      </c>
      <c r="D347" s="50" t="str">
        <f>IF(B347="","",VLOOKUP(B347,'Product Master'!$B:$G,3,FALSE))</f>
        <v/>
      </c>
      <c r="E347" s="50"/>
      <c r="F347" s="50">
        <f>SUMIF('Stock Purchase'!$D:$D,B347,'Stock Purchase'!$F:$F)</f>
        <v>0</v>
      </c>
      <c r="G347" s="50">
        <f>SUMIFS('Stock Adjustment'!$E:$E,'Stock Adjustment'!$B:$B,$A347,'Stock Adjustment'!$D:$D,"Customer Returned")</f>
        <v>0</v>
      </c>
      <c r="H347" s="50">
        <f>SUMIF('Daily Sales Entry'!$D:$D,B347,'Daily Sales Entry'!$G:$G)</f>
        <v>0</v>
      </c>
      <c r="I347" s="50">
        <f>SUMIFS('Stock Adjustment'!$E:$E,'Stock Adjustment'!$B:$B,$A347,'Stock Adjustment'!$D:$D,"Staff Consumption")</f>
        <v>0</v>
      </c>
      <c r="J347" s="50">
        <f>SUMIFS('Stock Adjustment'!$E:$E,'Stock Adjustment'!$B:$B,$A347,'Stock Adjustment'!$D:$D,"Damaged")</f>
        <v>0</v>
      </c>
      <c r="K347" s="50">
        <f>SUMIFS('Stock Adjustment'!$E:$E,'Stock Adjustment'!$B:$B,$A347,'Stock Adjustment'!$D:$D,"Expired")</f>
        <v>0</v>
      </c>
      <c r="L347" s="50">
        <f>SUMIFS('Stock Adjustment'!$E:$E,'Stock Adjustment'!$B:$B,$A347,'Stock Adjustment'!$D:$D,"Supplier Returned")</f>
        <v>0</v>
      </c>
      <c r="M3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7" s="53" t="str">
        <f>IF(B347="","",VLOOKUP(B347,'Product Master'!$B:$G,4,FALSE))</f>
        <v/>
      </c>
      <c r="O347" s="53" t="str">
        <f>IF(B347="","",VLOOKUP(B347,'Product Master'!$B:$G,5,FALSE))</f>
        <v/>
      </c>
      <c r="P347" s="50" t="str">
        <f>IF(B347="","",VLOOKUP(B347,'Product Master'!$B:$I,7,FALSE))</f>
        <v/>
      </c>
      <c r="Q347" s="158"/>
      <c r="R347" s="58" t="str">
        <f t="shared" si="5"/>
        <v/>
      </c>
      <c r="S347" s="25"/>
      <c r="T347" s="25"/>
      <c r="U347" s="25"/>
      <c r="V347" s="25"/>
      <c r="W347" s="25"/>
      <c r="X347" s="25"/>
    </row>
    <row r="348" spans="1:24" x14ac:dyDescent="0.25">
      <c r="A348" s="31" t="s">
        <v>908</v>
      </c>
      <c r="B348" s="32"/>
      <c r="C348" s="50" t="str">
        <f>IF(B348="","",VLOOKUP(B348,'Product Master'!$B:$G,2,FALSE))</f>
        <v/>
      </c>
      <c r="D348" s="50" t="str">
        <f>IF(B348="","",VLOOKUP(B348,'Product Master'!$B:$G,3,FALSE))</f>
        <v/>
      </c>
      <c r="E348" s="50"/>
      <c r="F348" s="50">
        <f>SUMIF('Stock Purchase'!$D:$D,B348,'Stock Purchase'!$F:$F)</f>
        <v>0</v>
      </c>
      <c r="G348" s="50">
        <f>SUMIFS('Stock Adjustment'!$E:$E,'Stock Adjustment'!$B:$B,$A348,'Stock Adjustment'!$D:$D,"Customer Returned")</f>
        <v>0</v>
      </c>
      <c r="H348" s="50">
        <f>SUMIF('Daily Sales Entry'!$D:$D,B348,'Daily Sales Entry'!$G:$G)</f>
        <v>0</v>
      </c>
      <c r="I348" s="50">
        <f>SUMIFS('Stock Adjustment'!$E:$E,'Stock Adjustment'!$B:$B,$A348,'Stock Adjustment'!$D:$D,"Staff Consumption")</f>
        <v>0</v>
      </c>
      <c r="J348" s="50">
        <f>SUMIFS('Stock Adjustment'!$E:$E,'Stock Adjustment'!$B:$B,$A348,'Stock Adjustment'!$D:$D,"Damaged")</f>
        <v>0</v>
      </c>
      <c r="K348" s="50">
        <f>SUMIFS('Stock Adjustment'!$E:$E,'Stock Adjustment'!$B:$B,$A348,'Stock Adjustment'!$D:$D,"Expired")</f>
        <v>0</v>
      </c>
      <c r="L348" s="50">
        <f>SUMIFS('Stock Adjustment'!$E:$E,'Stock Adjustment'!$B:$B,$A348,'Stock Adjustment'!$D:$D,"Supplier Returned")</f>
        <v>0</v>
      </c>
      <c r="M3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8" s="53" t="str">
        <f>IF(B348="","",VLOOKUP(B348,'Product Master'!$B:$G,4,FALSE))</f>
        <v/>
      </c>
      <c r="O348" s="53" t="str">
        <f>IF(B348="","",VLOOKUP(B348,'Product Master'!$B:$G,5,FALSE))</f>
        <v/>
      </c>
      <c r="P348" s="50" t="str">
        <f>IF(B348="","",VLOOKUP(B348,'Product Master'!$B:$I,7,FALSE))</f>
        <v/>
      </c>
      <c r="Q348" s="158"/>
      <c r="R348" s="58" t="str">
        <f t="shared" si="5"/>
        <v/>
      </c>
      <c r="S348" s="25"/>
      <c r="T348" s="25"/>
      <c r="U348" s="25"/>
      <c r="V348" s="25"/>
      <c r="W348" s="25"/>
      <c r="X348" s="25"/>
    </row>
    <row r="349" spans="1:24" x14ac:dyDescent="0.25">
      <c r="A349" s="31" t="s">
        <v>909</v>
      </c>
      <c r="B349" s="32"/>
      <c r="C349" s="50" t="str">
        <f>IF(B349="","",VLOOKUP(B349,'Product Master'!$B:$G,2,FALSE))</f>
        <v/>
      </c>
      <c r="D349" s="50" t="str">
        <f>IF(B349="","",VLOOKUP(B349,'Product Master'!$B:$G,3,FALSE))</f>
        <v/>
      </c>
      <c r="E349" s="50"/>
      <c r="F349" s="50">
        <f>SUMIF('Stock Purchase'!$D:$D,B349,'Stock Purchase'!$F:$F)</f>
        <v>0</v>
      </c>
      <c r="G349" s="50">
        <f>SUMIFS('Stock Adjustment'!$E:$E,'Stock Adjustment'!$B:$B,$A349,'Stock Adjustment'!$D:$D,"Customer Returned")</f>
        <v>0</v>
      </c>
      <c r="H349" s="50">
        <f>SUMIF('Daily Sales Entry'!$D:$D,B349,'Daily Sales Entry'!$G:$G)</f>
        <v>0</v>
      </c>
      <c r="I349" s="50">
        <f>SUMIFS('Stock Adjustment'!$E:$E,'Stock Adjustment'!$B:$B,$A349,'Stock Adjustment'!$D:$D,"Staff Consumption")</f>
        <v>0</v>
      </c>
      <c r="J349" s="50">
        <f>SUMIFS('Stock Adjustment'!$E:$E,'Stock Adjustment'!$B:$B,$A349,'Stock Adjustment'!$D:$D,"Damaged")</f>
        <v>0</v>
      </c>
      <c r="K349" s="50">
        <f>SUMIFS('Stock Adjustment'!$E:$E,'Stock Adjustment'!$B:$B,$A349,'Stock Adjustment'!$D:$D,"Expired")</f>
        <v>0</v>
      </c>
      <c r="L349" s="50">
        <f>SUMIFS('Stock Adjustment'!$E:$E,'Stock Adjustment'!$B:$B,$A349,'Stock Adjustment'!$D:$D,"Supplier Returned")</f>
        <v>0</v>
      </c>
      <c r="M3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49" s="53" t="str">
        <f>IF(B349="","",VLOOKUP(B349,'Product Master'!$B:$G,4,FALSE))</f>
        <v/>
      </c>
      <c r="O349" s="53" t="str">
        <f>IF(B349="","",VLOOKUP(B349,'Product Master'!$B:$G,5,FALSE))</f>
        <v/>
      </c>
      <c r="P349" s="50" t="str">
        <f>IF(B349="","",VLOOKUP(B349,'Product Master'!$B:$I,7,FALSE))</f>
        <v/>
      </c>
      <c r="Q349" s="158"/>
      <c r="R349" s="58" t="str">
        <f t="shared" si="5"/>
        <v/>
      </c>
      <c r="S349" s="25"/>
      <c r="T349" s="25"/>
      <c r="U349" s="25"/>
      <c r="V349" s="25"/>
      <c r="W349" s="25"/>
      <c r="X349" s="25"/>
    </row>
    <row r="350" spans="1:24" x14ac:dyDescent="0.25">
      <c r="A350" s="31" t="s">
        <v>910</v>
      </c>
      <c r="B350" s="32"/>
      <c r="C350" s="50" t="str">
        <f>IF(B350="","",VLOOKUP(B350,'Product Master'!$B:$G,2,FALSE))</f>
        <v/>
      </c>
      <c r="D350" s="50" t="str">
        <f>IF(B350="","",VLOOKUP(B350,'Product Master'!$B:$G,3,FALSE))</f>
        <v/>
      </c>
      <c r="E350" s="50"/>
      <c r="F350" s="50">
        <f>SUMIF('Stock Purchase'!$D:$D,B350,'Stock Purchase'!$F:$F)</f>
        <v>0</v>
      </c>
      <c r="G350" s="50">
        <f>SUMIFS('Stock Adjustment'!$E:$E,'Stock Adjustment'!$B:$B,$A350,'Stock Adjustment'!$D:$D,"Customer Returned")</f>
        <v>0</v>
      </c>
      <c r="H350" s="50">
        <f>SUMIF('Daily Sales Entry'!$D:$D,B350,'Daily Sales Entry'!$G:$G)</f>
        <v>0</v>
      </c>
      <c r="I350" s="50">
        <f>SUMIFS('Stock Adjustment'!$E:$E,'Stock Adjustment'!$B:$B,$A350,'Stock Adjustment'!$D:$D,"Staff Consumption")</f>
        <v>0</v>
      </c>
      <c r="J350" s="50">
        <f>SUMIFS('Stock Adjustment'!$E:$E,'Stock Adjustment'!$B:$B,$A350,'Stock Adjustment'!$D:$D,"Damaged")</f>
        <v>0</v>
      </c>
      <c r="K350" s="50">
        <f>SUMIFS('Stock Adjustment'!$E:$E,'Stock Adjustment'!$B:$B,$A350,'Stock Adjustment'!$D:$D,"Expired")</f>
        <v>0</v>
      </c>
      <c r="L350" s="50">
        <f>SUMIFS('Stock Adjustment'!$E:$E,'Stock Adjustment'!$B:$B,$A350,'Stock Adjustment'!$D:$D,"Supplier Returned")</f>
        <v>0</v>
      </c>
      <c r="M3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0" s="53" t="str">
        <f>IF(B350="","",VLOOKUP(B350,'Product Master'!$B:$G,4,FALSE))</f>
        <v/>
      </c>
      <c r="O350" s="53" t="str">
        <f>IF(B350="","",VLOOKUP(B350,'Product Master'!$B:$G,5,FALSE))</f>
        <v/>
      </c>
      <c r="P350" s="50" t="str">
        <f>IF(B350="","",VLOOKUP(B350,'Product Master'!$B:$I,7,FALSE))</f>
        <v/>
      </c>
      <c r="Q350" s="158"/>
      <c r="R350" s="58" t="str">
        <f t="shared" si="5"/>
        <v/>
      </c>
      <c r="S350" s="25"/>
      <c r="T350" s="25"/>
      <c r="U350" s="25"/>
      <c r="V350" s="25"/>
      <c r="W350" s="25"/>
      <c r="X350" s="25"/>
    </row>
    <row r="351" spans="1:24" x14ac:dyDescent="0.25">
      <c r="A351" s="31" t="s">
        <v>911</v>
      </c>
      <c r="B351" s="32"/>
      <c r="C351" s="50" t="str">
        <f>IF(B351="","",VLOOKUP(B351,'Product Master'!$B:$G,2,FALSE))</f>
        <v/>
      </c>
      <c r="D351" s="50" t="str">
        <f>IF(B351="","",VLOOKUP(B351,'Product Master'!$B:$G,3,FALSE))</f>
        <v/>
      </c>
      <c r="E351" s="50"/>
      <c r="F351" s="50">
        <f>SUMIF('Stock Purchase'!$D:$D,B351,'Stock Purchase'!$F:$F)</f>
        <v>0</v>
      </c>
      <c r="G351" s="50">
        <f>SUMIFS('Stock Adjustment'!$E:$E,'Stock Adjustment'!$B:$B,$A351,'Stock Adjustment'!$D:$D,"Customer Returned")</f>
        <v>0</v>
      </c>
      <c r="H351" s="50">
        <f>SUMIF('Daily Sales Entry'!$D:$D,B351,'Daily Sales Entry'!$G:$G)</f>
        <v>0</v>
      </c>
      <c r="I351" s="50">
        <f>SUMIFS('Stock Adjustment'!$E:$E,'Stock Adjustment'!$B:$B,$A351,'Stock Adjustment'!$D:$D,"Staff Consumption")</f>
        <v>0</v>
      </c>
      <c r="J351" s="50">
        <f>SUMIFS('Stock Adjustment'!$E:$E,'Stock Adjustment'!$B:$B,$A351,'Stock Adjustment'!$D:$D,"Damaged")</f>
        <v>0</v>
      </c>
      <c r="K351" s="50">
        <f>SUMIFS('Stock Adjustment'!$E:$E,'Stock Adjustment'!$B:$B,$A351,'Stock Adjustment'!$D:$D,"Expired")</f>
        <v>0</v>
      </c>
      <c r="L351" s="50">
        <f>SUMIFS('Stock Adjustment'!$E:$E,'Stock Adjustment'!$B:$B,$A351,'Stock Adjustment'!$D:$D,"Supplier Returned")</f>
        <v>0</v>
      </c>
      <c r="M3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1" s="53" t="str">
        <f>IF(B351="","",VLOOKUP(B351,'Product Master'!$B:$G,4,FALSE))</f>
        <v/>
      </c>
      <c r="O351" s="53" t="str">
        <f>IF(B351="","",VLOOKUP(B351,'Product Master'!$B:$G,5,FALSE))</f>
        <v/>
      </c>
      <c r="P351" s="50" t="str">
        <f>IF(B351="","",VLOOKUP(B351,'Product Master'!$B:$I,7,FALSE))</f>
        <v/>
      </c>
      <c r="Q351" s="158"/>
      <c r="R351" s="58" t="str">
        <f t="shared" si="5"/>
        <v/>
      </c>
      <c r="S351" s="25"/>
      <c r="T351" s="25"/>
      <c r="U351" s="25"/>
      <c r="V351" s="25"/>
      <c r="W351" s="25"/>
      <c r="X351" s="25"/>
    </row>
    <row r="352" spans="1:24" x14ac:dyDescent="0.25">
      <c r="A352" s="31" t="s">
        <v>912</v>
      </c>
      <c r="B352" s="32"/>
      <c r="C352" s="50" t="str">
        <f>IF(B352="","",VLOOKUP(B352,'Product Master'!$B:$G,2,FALSE))</f>
        <v/>
      </c>
      <c r="D352" s="50" t="str">
        <f>IF(B352="","",VLOOKUP(B352,'Product Master'!$B:$G,3,FALSE))</f>
        <v/>
      </c>
      <c r="E352" s="50"/>
      <c r="F352" s="50">
        <f>SUMIF('Stock Purchase'!$D:$D,B352,'Stock Purchase'!$F:$F)</f>
        <v>0</v>
      </c>
      <c r="G352" s="50">
        <f>SUMIFS('Stock Adjustment'!$E:$E,'Stock Adjustment'!$B:$B,$A352,'Stock Adjustment'!$D:$D,"Customer Returned")</f>
        <v>0</v>
      </c>
      <c r="H352" s="50">
        <f>SUMIF('Daily Sales Entry'!$D:$D,B352,'Daily Sales Entry'!$G:$G)</f>
        <v>0</v>
      </c>
      <c r="I352" s="50">
        <f>SUMIFS('Stock Adjustment'!$E:$E,'Stock Adjustment'!$B:$B,$A352,'Stock Adjustment'!$D:$D,"Staff Consumption")</f>
        <v>0</v>
      </c>
      <c r="J352" s="50">
        <f>SUMIFS('Stock Adjustment'!$E:$E,'Stock Adjustment'!$B:$B,$A352,'Stock Adjustment'!$D:$D,"Damaged")</f>
        <v>0</v>
      </c>
      <c r="K352" s="50">
        <f>SUMIFS('Stock Adjustment'!$E:$E,'Stock Adjustment'!$B:$B,$A352,'Stock Adjustment'!$D:$D,"Expired")</f>
        <v>0</v>
      </c>
      <c r="L352" s="50">
        <f>SUMIFS('Stock Adjustment'!$E:$E,'Stock Adjustment'!$B:$B,$A352,'Stock Adjustment'!$D:$D,"Supplier Returned")</f>
        <v>0</v>
      </c>
      <c r="M3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2" s="53" t="str">
        <f>IF(B352="","",VLOOKUP(B352,'Product Master'!$B:$G,4,FALSE))</f>
        <v/>
      </c>
      <c r="O352" s="53" t="str">
        <f>IF(B352="","",VLOOKUP(B352,'Product Master'!$B:$G,5,FALSE))</f>
        <v/>
      </c>
      <c r="P352" s="50" t="str">
        <f>IF(B352="","",VLOOKUP(B352,'Product Master'!$B:$I,7,FALSE))</f>
        <v/>
      </c>
      <c r="Q352" s="158"/>
      <c r="R352" s="58" t="str">
        <f t="shared" si="5"/>
        <v/>
      </c>
      <c r="S352" s="25"/>
      <c r="T352" s="25"/>
      <c r="U352" s="25"/>
      <c r="V352" s="25"/>
      <c r="W352" s="25"/>
      <c r="X352" s="25"/>
    </row>
    <row r="353" spans="1:24" x14ac:dyDescent="0.25">
      <c r="A353" s="31" t="s">
        <v>913</v>
      </c>
      <c r="B353" s="32"/>
      <c r="C353" s="50" t="str">
        <f>IF(B353="","",VLOOKUP(B353,'Product Master'!$B:$G,2,FALSE))</f>
        <v/>
      </c>
      <c r="D353" s="50" t="str">
        <f>IF(B353="","",VLOOKUP(B353,'Product Master'!$B:$G,3,FALSE))</f>
        <v/>
      </c>
      <c r="E353" s="50"/>
      <c r="F353" s="50">
        <f>SUMIF('Stock Purchase'!$D:$D,B353,'Stock Purchase'!$F:$F)</f>
        <v>0</v>
      </c>
      <c r="G353" s="50">
        <f>SUMIFS('Stock Adjustment'!$E:$E,'Stock Adjustment'!$B:$B,$A353,'Stock Adjustment'!$D:$D,"Customer Returned")</f>
        <v>0</v>
      </c>
      <c r="H353" s="50">
        <f>SUMIF('Daily Sales Entry'!$D:$D,B353,'Daily Sales Entry'!$G:$G)</f>
        <v>0</v>
      </c>
      <c r="I353" s="50">
        <f>SUMIFS('Stock Adjustment'!$E:$E,'Stock Adjustment'!$B:$B,$A353,'Stock Adjustment'!$D:$D,"Staff Consumption")</f>
        <v>0</v>
      </c>
      <c r="J353" s="50">
        <f>SUMIFS('Stock Adjustment'!$E:$E,'Stock Adjustment'!$B:$B,$A353,'Stock Adjustment'!$D:$D,"Damaged")</f>
        <v>0</v>
      </c>
      <c r="K353" s="50">
        <f>SUMIFS('Stock Adjustment'!$E:$E,'Stock Adjustment'!$B:$B,$A353,'Stock Adjustment'!$D:$D,"Expired")</f>
        <v>0</v>
      </c>
      <c r="L353" s="50">
        <f>SUMIFS('Stock Adjustment'!$E:$E,'Stock Adjustment'!$B:$B,$A353,'Stock Adjustment'!$D:$D,"Supplier Returned")</f>
        <v>0</v>
      </c>
      <c r="M3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3" s="53" t="str">
        <f>IF(B353="","",VLOOKUP(B353,'Product Master'!$B:$G,4,FALSE))</f>
        <v/>
      </c>
      <c r="O353" s="53" t="str">
        <f>IF(B353="","",VLOOKUP(B353,'Product Master'!$B:$G,5,FALSE))</f>
        <v/>
      </c>
      <c r="P353" s="50" t="str">
        <f>IF(B353="","",VLOOKUP(B353,'Product Master'!$B:$I,7,FALSE))</f>
        <v/>
      </c>
      <c r="Q353" s="158"/>
      <c r="R353" s="58" t="str">
        <f t="shared" si="5"/>
        <v/>
      </c>
      <c r="S353" s="25"/>
      <c r="T353" s="25"/>
      <c r="U353" s="25"/>
      <c r="V353" s="25"/>
      <c r="W353" s="25"/>
      <c r="X353" s="25"/>
    </row>
    <row r="354" spans="1:24" x14ac:dyDescent="0.25">
      <c r="A354" s="31" t="s">
        <v>914</v>
      </c>
      <c r="B354" s="32"/>
      <c r="C354" s="50" t="str">
        <f>IF(B354="","",VLOOKUP(B354,'Product Master'!$B:$G,2,FALSE))</f>
        <v/>
      </c>
      <c r="D354" s="50" t="str">
        <f>IF(B354="","",VLOOKUP(B354,'Product Master'!$B:$G,3,FALSE))</f>
        <v/>
      </c>
      <c r="E354" s="50"/>
      <c r="F354" s="50">
        <f>SUMIF('Stock Purchase'!$D:$D,B354,'Stock Purchase'!$F:$F)</f>
        <v>0</v>
      </c>
      <c r="G354" s="50">
        <f>SUMIFS('Stock Adjustment'!$E:$E,'Stock Adjustment'!$B:$B,$A354,'Stock Adjustment'!$D:$D,"Customer Returned")</f>
        <v>0</v>
      </c>
      <c r="H354" s="50">
        <f>SUMIF('Daily Sales Entry'!$D:$D,B354,'Daily Sales Entry'!$G:$G)</f>
        <v>0</v>
      </c>
      <c r="I354" s="50">
        <f>SUMIFS('Stock Adjustment'!$E:$E,'Stock Adjustment'!$B:$B,$A354,'Stock Adjustment'!$D:$D,"Staff Consumption")</f>
        <v>0</v>
      </c>
      <c r="J354" s="50">
        <f>SUMIFS('Stock Adjustment'!$E:$E,'Stock Adjustment'!$B:$B,$A354,'Stock Adjustment'!$D:$D,"Damaged")</f>
        <v>0</v>
      </c>
      <c r="K354" s="50">
        <f>SUMIFS('Stock Adjustment'!$E:$E,'Stock Adjustment'!$B:$B,$A354,'Stock Adjustment'!$D:$D,"Expired")</f>
        <v>0</v>
      </c>
      <c r="L354" s="50">
        <f>SUMIFS('Stock Adjustment'!$E:$E,'Stock Adjustment'!$B:$B,$A354,'Stock Adjustment'!$D:$D,"Supplier Returned")</f>
        <v>0</v>
      </c>
      <c r="M3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4" s="53" t="str">
        <f>IF(B354="","",VLOOKUP(B354,'Product Master'!$B:$G,4,FALSE))</f>
        <v/>
      </c>
      <c r="O354" s="53" t="str">
        <f>IF(B354="","",VLOOKUP(B354,'Product Master'!$B:$G,5,FALSE))</f>
        <v/>
      </c>
      <c r="P354" s="50" t="str">
        <f>IF(B354="","",VLOOKUP(B354,'Product Master'!$B:$I,7,FALSE))</f>
        <v/>
      </c>
      <c r="Q354" s="158"/>
      <c r="R354" s="58" t="str">
        <f t="shared" si="5"/>
        <v/>
      </c>
      <c r="S354" s="25"/>
      <c r="T354" s="25"/>
      <c r="U354" s="25"/>
      <c r="V354" s="25"/>
      <c r="W354" s="25"/>
      <c r="X354" s="25"/>
    </row>
    <row r="355" spans="1:24" x14ac:dyDescent="0.25">
      <c r="A355" s="31" t="s">
        <v>915</v>
      </c>
      <c r="B355" s="32"/>
      <c r="C355" s="50" t="str">
        <f>IF(B355="","",VLOOKUP(B355,'Product Master'!$B:$G,2,FALSE))</f>
        <v/>
      </c>
      <c r="D355" s="50" t="str">
        <f>IF(B355="","",VLOOKUP(B355,'Product Master'!$B:$G,3,FALSE))</f>
        <v/>
      </c>
      <c r="E355" s="50"/>
      <c r="F355" s="50">
        <f>SUMIF('Stock Purchase'!$D:$D,B355,'Stock Purchase'!$F:$F)</f>
        <v>0</v>
      </c>
      <c r="G355" s="50">
        <f>SUMIFS('Stock Adjustment'!$E:$E,'Stock Adjustment'!$B:$B,$A355,'Stock Adjustment'!$D:$D,"Customer Returned")</f>
        <v>0</v>
      </c>
      <c r="H355" s="50">
        <f>SUMIF('Daily Sales Entry'!$D:$D,B355,'Daily Sales Entry'!$G:$G)</f>
        <v>0</v>
      </c>
      <c r="I355" s="50">
        <f>SUMIFS('Stock Adjustment'!$E:$E,'Stock Adjustment'!$B:$B,$A355,'Stock Adjustment'!$D:$D,"Staff Consumption")</f>
        <v>0</v>
      </c>
      <c r="J355" s="50">
        <f>SUMIFS('Stock Adjustment'!$E:$E,'Stock Adjustment'!$B:$B,$A355,'Stock Adjustment'!$D:$D,"Damaged")</f>
        <v>0</v>
      </c>
      <c r="K355" s="50">
        <f>SUMIFS('Stock Adjustment'!$E:$E,'Stock Adjustment'!$B:$B,$A355,'Stock Adjustment'!$D:$D,"Expired")</f>
        <v>0</v>
      </c>
      <c r="L355" s="50">
        <f>SUMIFS('Stock Adjustment'!$E:$E,'Stock Adjustment'!$B:$B,$A355,'Stock Adjustment'!$D:$D,"Supplier Returned")</f>
        <v>0</v>
      </c>
      <c r="M3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5" s="53" t="str">
        <f>IF(B355="","",VLOOKUP(B355,'Product Master'!$B:$G,4,FALSE))</f>
        <v/>
      </c>
      <c r="O355" s="53" t="str">
        <f>IF(B355="","",VLOOKUP(B355,'Product Master'!$B:$G,5,FALSE))</f>
        <v/>
      </c>
      <c r="P355" s="50" t="str">
        <f>IF(B355="","",VLOOKUP(B355,'Product Master'!$B:$I,7,FALSE))</f>
        <v/>
      </c>
      <c r="Q355" s="158"/>
      <c r="R355" s="58" t="str">
        <f t="shared" si="5"/>
        <v/>
      </c>
      <c r="S355" s="25"/>
      <c r="T355" s="25"/>
      <c r="U355" s="25"/>
      <c r="V355" s="25"/>
      <c r="W355" s="25"/>
      <c r="X355" s="25"/>
    </row>
    <row r="356" spans="1:24" x14ac:dyDescent="0.25">
      <c r="A356" s="31" t="s">
        <v>916</v>
      </c>
      <c r="B356" s="32"/>
      <c r="C356" s="50" t="str">
        <f>IF(B356="","",VLOOKUP(B356,'Product Master'!$B:$G,2,FALSE))</f>
        <v/>
      </c>
      <c r="D356" s="50" t="str">
        <f>IF(B356="","",VLOOKUP(B356,'Product Master'!$B:$G,3,FALSE))</f>
        <v/>
      </c>
      <c r="E356" s="50"/>
      <c r="F356" s="50">
        <f>SUMIF('Stock Purchase'!$D:$D,B356,'Stock Purchase'!$F:$F)</f>
        <v>0</v>
      </c>
      <c r="G356" s="50">
        <f>SUMIFS('Stock Adjustment'!$E:$E,'Stock Adjustment'!$B:$B,$A356,'Stock Adjustment'!$D:$D,"Customer Returned")</f>
        <v>0</v>
      </c>
      <c r="H356" s="50">
        <f>SUMIF('Daily Sales Entry'!$D:$D,B356,'Daily Sales Entry'!$G:$G)</f>
        <v>0</v>
      </c>
      <c r="I356" s="50">
        <f>SUMIFS('Stock Adjustment'!$E:$E,'Stock Adjustment'!$B:$B,$A356,'Stock Adjustment'!$D:$D,"Staff Consumption")</f>
        <v>0</v>
      </c>
      <c r="J356" s="50">
        <f>SUMIFS('Stock Adjustment'!$E:$E,'Stock Adjustment'!$B:$B,$A356,'Stock Adjustment'!$D:$D,"Damaged")</f>
        <v>0</v>
      </c>
      <c r="K356" s="50">
        <f>SUMIFS('Stock Adjustment'!$E:$E,'Stock Adjustment'!$B:$B,$A356,'Stock Adjustment'!$D:$D,"Expired")</f>
        <v>0</v>
      </c>
      <c r="L356" s="50">
        <f>SUMIFS('Stock Adjustment'!$E:$E,'Stock Adjustment'!$B:$B,$A356,'Stock Adjustment'!$D:$D,"Supplier Returned")</f>
        <v>0</v>
      </c>
      <c r="M3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6" s="53" t="str">
        <f>IF(B356="","",VLOOKUP(B356,'Product Master'!$B:$G,4,FALSE))</f>
        <v/>
      </c>
      <c r="O356" s="53" t="str">
        <f>IF(B356="","",VLOOKUP(B356,'Product Master'!$B:$G,5,FALSE))</f>
        <v/>
      </c>
      <c r="P356" s="50" t="str">
        <f>IF(B356="","",VLOOKUP(B356,'Product Master'!$B:$I,7,FALSE))</f>
        <v/>
      </c>
      <c r="Q356" s="158"/>
      <c r="R356" s="58" t="str">
        <f t="shared" si="5"/>
        <v/>
      </c>
      <c r="S356" s="25"/>
      <c r="T356" s="25"/>
      <c r="U356" s="25"/>
      <c r="V356" s="25"/>
      <c r="W356" s="25"/>
      <c r="X356" s="25"/>
    </row>
    <row r="357" spans="1:24" x14ac:dyDescent="0.25">
      <c r="A357" s="31" t="s">
        <v>917</v>
      </c>
      <c r="B357" s="32"/>
      <c r="C357" s="50" t="str">
        <f>IF(B357="","",VLOOKUP(B357,'Product Master'!$B:$G,2,FALSE))</f>
        <v/>
      </c>
      <c r="D357" s="50" t="str">
        <f>IF(B357="","",VLOOKUP(B357,'Product Master'!$B:$G,3,FALSE))</f>
        <v/>
      </c>
      <c r="E357" s="50"/>
      <c r="F357" s="50">
        <f>SUMIF('Stock Purchase'!$D:$D,B357,'Stock Purchase'!$F:$F)</f>
        <v>0</v>
      </c>
      <c r="G357" s="50">
        <f>SUMIFS('Stock Adjustment'!$E:$E,'Stock Adjustment'!$B:$B,$A357,'Stock Adjustment'!$D:$D,"Customer Returned")</f>
        <v>0</v>
      </c>
      <c r="H357" s="50">
        <f>SUMIF('Daily Sales Entry'!$D:$D,B357,'Daily Sales Entry'!$G:$G)</f>
        <v>0</v>
      </c>
      <c r="I357" s="50">
        <f>SUMIFS('Stock Adjustment'!$E:$E,'Stock Adjustment'!$B:$B,$A357,'Stock Adjustment'!$D:$D,"Staff Consumption")</f>
        <v>0</v>
      </c>
      <c r="J357" s="50">
        <f>SUMIFS('Stock Adjustment'!$E:$E,'Stock Adjustment'!$B:$B,$A357,'Stock Adjustment'!$D:$D,"Damaged")</f>
        <v>0</v>
      </c>
      <c r="K357" s="50">
        <f>SUMIFS('Stock Adjustment'!$E:$E,'Stock Adjustment'!$B:$B,$A357,'Stock Adjustment'!$D:$D,"Expired")</f>
        <v>0</v>
      </c>
      <c r="L357" s="50">
        <f>SUMIFS('Stock Adjustment'!$E:$E,'Stock Adjustment'!$B:$B,$A357,'Stock Adjustment'!$D:$D,"Supplier Returned")</f>
        <v>0</v>
      </c>
      <c r="M3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7" s="53" t="str">
        <f>IF(B357="","",VLOOKUP(B357,'Product Master'!$B:$G,4,FALSE))</f>
        <v/>
      </c>
      <c r="O357" s="53" t="str">
        <f>IF(B357="","",VLOOKUP(B357,'Product Master'!$B:$G,5,FALSE))</f>
        <v/>
      </c>
      <c r="P357" s="50" t="str">
        <f>IF(B357="","",VLOOKUP(B357,'Product Master'!$B:$I,7,FALSE))</f>
        <v/>
      </c>
      <c r="Q357" s="158"/>
      <c r="R357" s="58" t="str">
        <f t="shared" si="5"/>
        <v/>
      </c>
      <c r="S357" s="25"/>
      <c r="T357" s="25"/>
      <c r="U357" s="25"/>
      <c r="V357" s="25"/>
      <c r="W357" s="25"/>
      <c r="X357" s="25"/>
    </row>
    <row r="358" spans="1:24" x14ac:dyDescent="0.25">
      <c r="A358" s="31" t="s">
        <v>918</v>
      </c>
      <c r="B358" s="32"/>
      <c r="C358" s="50" t="str">
        <f>IF(B358="","",VLOOKUP(B358,'Product Master'!$B:$G,2,FALSE))</f>
        <v/>
      </c>
      <c r="D358" s="50" t="str">
        <f>IF(B358="","",VLOOKUP(B358,'Product Master'!$B:$G,3,FALSE))</f>
        <v/>
      </c>
      <c r="E358" s="50"/>
      <c r="F358" s="50">
        <f>SUMIF('Stock Purchase'!$D:$D,B358,'Stock Purchase'!$F:$F)</f>
        <v>0</v>
      </c>
      <c r="G358" s="50">
        <f>SUMIFS('Stock Adjustment'!$E:$E,'Stock Adjustment'!$B:$B,$A358,'Stock Adjustment'!$D:$D,"Customer Returned")</f>
        <v>0</v>
      </c>
      <c r="H358" s="50">
        <f>SUMIF('Daily Sales Entry'!$D:$D,B358,'Daily Sales Entry'!$G:$G)</f>
        <v>0</v>
      </c>
      <c r="I358" s="50">
        <f>SUMIFS('Stock Adjustment'!$E:$E,'Stock Adjustment'!$B:$B,$A358,'Stock Adjustment'!$D:$D,"Staff Consumption")</f>
        <v>0</v>
      </c>
      <c r="J358" s="50">
        <f>SUMIFS('Stock Adjustment'!$E:$E,'Stock Adjustment'!$B:$B,$A358,'Stock Adjustment'!$D:$D,"Damaged")</f>
        <v>0</v>
      </c>
      <c r="K358" s="50">
        <f>SUMIFS('Stock Adjustment'!$E:$E,'Stock Adjustment'!$B:$B,$A358,'Stock Adjustment'!$D:$D,"Expired")</f>
        <v>0</v>
      </c>
      <c r="L358" s="50">
        <f>SUMIFS('Stock Adjustment'!$E:$E,'Stock Adjustment'!$B:$B,$A358,'Stock Adjustment'!$D:$D,"Supplier Returned")</f>
        <v>0</v>
      </c>
      <c r="M3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8" s="53" t="str">
        <f>IF(B358="","",VLOOKUP(B358,'Product Master'!$B:$G,4,FALSE))</f>
        <v/>
      </c>
      <c r="O358" s="53" t="str">
        <f>IF(B358="","",VLOOKUP(B358,'Product Master'!$B:$G,5,FALSE))</f>
        <v/>
      </c>
      <c r="P358" s="50" t="str">
        <f>IF(B358="","",VLOOKUP(B358,'Product Master'!$B:$I,7,FALSE))</f>
        <v/>
      </c>
      <c r="Q358" s="158"/>
      <c r="R358" s="58" t="str">
        <f t="shared" si="5"/>
        <v/>
      </c>
      <c r="S358" s="25"/>
      <c r="T358" s="25"/>
      <c r="U358" s="25"/>
      <c r="V358" s="25"/>
      <c r="W358" s="25"/>
      <c r="X358" s="25"/>
    </row>
    <row r="359" spans="1:24" x14ac:dyDescent="0.25">
      <c r="A359" s="31" t="s">
        <v>919</v>
      </c>
      <c r="B359" s="32"/>
      <c r="C359" s="50" t="str">
        <f>IF(B359="","",VLOOKUP(B359,'Product Master'!$B:$G,2,FALSE))</f>
        <v/>
      </c>
      <c r="D359" s="50" t="str">
        <f>IF(B359="","",VLOOKUP(B359,'Product Master'!$B:$G,3,FALSE))</f>
        <v/>
      </c>
      <c r="E359" s="50"/>
      <c r="F359" s="50">
        <f>SUMIF('Stock Purchase'!$D:$D,B359,'Stock Purchase'!$F:$F)</f>
        <v>0</v>
      </c>
      <c r="G359" s="50">
        <f>SUMIFS('Stock Adjustment'!$E:$E,'Stock Adjustment'!$B:$B,$A359,'Stock Adjustment'!$D:$D,"Customer Returned")</f>
        <v>0</v>
      </c>
      <c r="H359" s="50">
        <f>SUMIF('Daily Sales Entry'!$D:$D,B359,'Daily Sales Entry'!$G:$G)</f>
        <v>0</v>
      </c>
      <c r="I359" s="50">
        <f>SUMIFS('Stock Adjustment'!$E:$E,'Stock Adjustment'!$B:$B,$A359,'Stock Adjustment'!$D:$D,"Staff Consumption")</f>
        <v>0</v>
      </c>
      <c r="J359" s="50">
        <f>SUMIFS('Stock Adjustment'!$E:$E,'Stock Adjustment'!$B:$B,$A359,'Stock Adjustment'!$D:$D,"Damaged")</f>
        <v>0</v>
      </c>
      <c r="K359" s="50">
        <f>SUMIFS('Stock Adjustment'!$E:$E,'Stock Adjustment'!$B:$B,$A359,'Stock Adjustment'!$D:$D,"Expired")</f>
        <v>0</v>
      </c>
      <c r="L359" s="50">
        <f>SUMIFS('Stock Adjustment'!$E:$E,'Stock Adjustment'!$B:$B,$A359,'Stock Adjustment'!$D:$D,"Supplier Returned")</f>
        <v>0</v>
      </c>
      <c r="M3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59" s="53" t="str">
        <f>IF(B359="","",VLOOKUP(B359,'Product Master'!$B:$G,4,FALSE))</f>
        <v/>
      </c>
      <c r="O359" s="53" t="str">
        <f>IF(B359="","",VLOOKUP(B359,'Product Master'!$B:$G,5,FALSE))</f>
        <v/>
      </c>
      <c r="P359" s="50" t="str">
        <f>IF(B359="","",VLOOKUP(B359,'Product Master'!$B:$I,7,FALSE))</f>
        <v/>
      </c>
      <c r="Q359" s="158"/>
      <c r="R359" s="58" t="str">
        <f t="shared" si="5"/>
        <v/>
      </c>
      <c r="S359" s="25"/>
      <c r="T359" s="25"/>
      <c r="U359" s="25"/>
      <c r="V359" s="25"/>
      <c r="W359" s="25"/>
      <c r="X359" s="25"/>
    </row>
    <row r="360" spans="1:24" x14ac:dyDescent="0.25">
      <c r="A360" s="31" t="s">
        <v>920</v>
      </c>
      <c r="B360" s="32"/>
      <c r="C360" s="50" t="str">
        <f>IF(B360="","",VLOOKUP(B360,'Product Master'!$B:$G,2,FALSE))</f>
        <v/>
      </c>
      <c r="D360" s="50" t="str">
        <f>IF(B360="","",VLOOKUP(B360,'Product Master'!$B:$G,3,FALSE))</f>
        <v/>
      </c>
      <c r="E360" s="50"/>
      <c r="F360" s="50">
        <f>SUMIF('Stock Purchase'!$D:$D,B360,'Stock Purchase'!$F:$F)</f>
        <v>0</v>
      </c>
      <c r="G360" s="50">
        <f>SUMIFS('Stock Adjustment'!$E:$E,'Stock Adjustment'!$B:$B,$A360,'Stock Adjustment'!$D:$D,"Customer Returned")</f>
        <v>0</v>
      </c>
      <c r="H360" s="50">
        <f>SUMIF('Daily Sales Entry'!$D:$D,B360,'Daily Sales Entry'!$G:$G)</f>
        <v>0</v>
      </c>
      <c r="I360" s="50">
        <f>SUMIFS('Stock Adjustment'!$E:$E,'Stock Adjustment'!$B:$B,$A360,'Stock Adjustment'!$D:$D,"Staff Consumption")</f>
        <v>0</v>
      </c>
      <c r="J360" s="50">
        <f>SUMIFS('Stock Adjustment'!$E:$E,'Stock Adjustment'!$B:$B,$A360,'Stock Adjustment'!$D:$D,"Damaged")</f>
        <v>0</v>
      </c>
      <c r="K360" s="50">
        <f>SUMIFS('Stock Adjustment'!$E:$E,'Stock Adjustment'!$B:$B,$A360,'Stock Adjustment'!$D:$D,"Expired")</f>
        <v>0</v>
      </c>
      <c r="L360" s="50">
        <f>SUMIFS('Stock Adjustment'!$E:$E,'Stock Adjustment'!$B:$B,$A360,'Stock Adjustment'!$D:$D,"Supplier Returned")</f>
        <v>0</v>
      </c>
      <c r="M3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0" s="53" t="str">
        <f>IF(B360="","",VLOOKUP(B360,'Product Master'!$B:$G,4,FALSE))</f>
        <v/>
      </c>
      <c r="O360" s="53" t="str">
        <f>IF(B360="","",VLOOKUP(B360,'Product Master'!$B:$G,5,FALSE))</f>
        <v/>
      </c>
      <c r="P360" s="50" t="str">
        <f>IF(B360="","",VLOOKUP(B360,'Product Master'!$B:$I,7,FALSE))</f>
        <v/>
      </c>
      <c r="Q360" s="158"/>
      <c r="R360" s="58" t="str">
        <f t="shared" si="5"/>
        <v/>
      </c>
      <c r="S360" s="25"/>
      <c r="T360" s="25"/>
      <c r="U360" s="25"/>
      <c r="V360" s="25"/>
      <c r="W360" s="25"/>
      <c r="X360" s="25"/>
    </row>
    <row r="361" spans="1:24" x14ac:dyDescent="0.25">
      <c r="A361" s="31" t="s">
        <v>921</v>
      </c>
      <c r="B361" s="32"/>
      <c r="C361" s="50" t="str">
        <f>IF(B361="","",VLOOKUP(B361,'Product Master'!$B:$G,2,FALSE))</f>
        <v/>
      </c>
      <c r="D361" s="50" t="str">
        <f>IF(B361="","",VLOOKUP(B361,'Product Master'!$B:$G,3,FALSE))</f>
        <v/>
      </c>
      <c r="E361" s="50"/>
      <c r="F361" s="50">
        <f>SUMIF('Stock Purchase'!$D:$D,B361,'Stock Purchase'!$F:$F)</f>
        <v>0</v>
      </c>
      <c r="G361" s="50">
        <f>SUMIFS('Stock Adjustment'!$E:$E,'Stock Adjustment'!$B:$B,$A361,'Stock Adjustment'!$D:$D,"Customer Returned")</f>
        <v>0</v>
      </c>
      <c r="H361" s="50">
        <f>SUMIF('Daily Sales Entry'!$D:$D,B361,'Daily Sales Entry'!$G:$G)</f>
        <v>0</v>
      </c>
      <c r="I361" s="50">
        <f>SUMIFS('Stock Adjustment'!$E:$E,'Stock Adjustment'!$B:$B,$A361,'Stock Adjustment'!$D:$D,"Staff Consumption")</f>
        <v>0</v>
      </c>
      <c r="J361" s="50">
        <f>SUMIFS('Stock Adjustment'!$E:$E,'Stock Adjustment'!$B:$B,$A361,'Stock Adjustment'!$D:$D,"Damaged")</f>
        <v>0</v>
      </c>
      <c r="K361" s="50">
        <f>SUMIFS('Stock Adjustment'!$E:$E,'Stock Adjustment'!$B:$B,$A361,'Stock Adjustment'!$D:$D,"Expired")</f>
        <v>0</v>
      </c>
      <c r="L361" s="50">
        <f>SUMIFS('Stock Adjustment'!$E:$E,'Stock Adjustment'!$B:$B,$A361,'Stock Adjustment'!$D:$D,"Supplier Returned")</f>
        <v>0</v>
      </c>
      <c r="M3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1" s="53" t="str">
        <f>IF(B361="","",VLOOKUP(B361,'Product Master'!$B:$G,4,FALSE))</f>
        <v/>
      </c>
      <c r="O361" s="53" t="str">
        <f>IF(B361="","",VLOOKUP(B361,'Product Master'!$B:$G,5,FALSE))</f>
        <v/>
      </c>
      <c r="P361" s="50" t="str">
        <f>IF(B361="","",VLOOKUP(B361,'Product Master'!$B:$I,7,FALSE))</f>
        <v/>
      </c>
      <c r="Q361" s="158"/>
      <c r="R361" s="58" t="str">
        <f t="shared" si="5"/>
        <v/>
      </c>
      <c r="S361" s="25"/>
      <c r="T361" s="25"/>
      <c r="U361" s="25"/>
      <c r="V361" s="25"/>
      <c r="W361" s="25"/>
      <c r="X361" s="25"/>
    </row>
    <row r="362" spans="1:24" x14ac:dyDescent="0.25">
      <c r="A362" s="31" t="s">
        <v>922</v>
      </c>
      <c r="B362" s="32"/>
      <c r="C362" s="50" t="str">
        <f>IF(B362="","",VLOOKUP(B362,'Product Master'!$B:$G,2,FALSE))</f>
        <v/>
      </c>
      <c r="D362" s="50" t="str">
        <f>IF(B362="","",VLOOKUP(B362,'Product Master'!$B:$G,3,FALSE))</f>
        <v/>
      </c>
      <c r="E362" s="50"/>
      <c r="F362" s="50">
        <f>SUMIF('Stock Purchase'!$D:$D,B362,'Stock Purchase'!$F:$F)</f>
        <v>0</v>
      </c>
      <c r="G362" s="50">
        <f>SUMIFS('Stock Adjustment'!$E:$E,'Stock Adjustment'!$B:$B,$A362,'Stock Adjustment'!$D:$D,"Customer Returned")</f>
        <v>0</v>
      </c>
      <c r="H362" s="50">
        <f>SUMIF('Daily Sales Entry'!$D:$D,B362,'Daily Sales Entry'!$G:$G)</f>
        <v>0</v>
      </c>
      <c r="I362" s="50">
        <f>SUMIFS('Stock Adjustment'!$E:$E,'Stock Adjustment'!$B:$B,$A362,'Stock Adjustment'!$D:$D,"Staff Consumption")</f>
        <v>0</v>
      </c>
      <c r="J362" s="50">
        <f>SUMIFS('Stock Adjustment'!$E:$E,'Stock Adjustment'!$B:$B,$A362,'Stock Adjustment'!$D:$D,"Damaged")</f>
        <v>0</v>
      </c>
      <c r="K362" s="50">
        <f>SUMIFS('Stock Adjustment'!$E:$E,'Stock Adjustment'!$B:$B,$A362,'Stock Adjustment'!$D:$D,"Expired")</f>
        <v>0</v>
      </c>
      <c r="L362" s="50">
        <f>SUMIFS('Stock Adjustment'!$E:$E,'Stock Adjustment'!$B:$B,$A362,'Stock Adjustment'!$D:$D,"Supplier Returned")</f>
        <v>0</v>
      </c>
      <c r="M3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2" s="53" t="str">
        <f>IF(B362="","",VLOOKUP(B362,'Product Master'!$B:$G,4,FALSE))</f>
        <v/>
      </c>
      <c r="O362" s="53" t="str">
        <f>IF(B362="","",VLOOKUP(B362,'Product Master'!$B:$G,5,FALSE))</f>
        <v/>
      </c>
      <c r="P362" s="50" t="str">
        <f>IF(B362="","",VLOOKUP(B362,'Product Master'!$B:$I,7,FALSE))</f>
        <v/>
      </c>
      <c r="Q362" s="158"/>
      <c r="R362" s="58" t="str">
        <f t="shared" si="5"/>
        <v/>
      </c>
      <c r="S362" s="25"/>
      <c r="T362" s="25"/>
      <c r="U362" s="25"/>
      <c r="V362" s="25"/>
      <c r="W362" s="25"/>
      <c r="X362" s="25"/>
    </row>
    <row r="363" spans="1:24" x14ac:dyDescent="0.25">
      <c r="A363" s="31" t="s">
        <v>923</v>
      </c>
      <c r="B363" s="32"/>
      <c r="C363" s="50" t="str">
        <f>IF(B363="","",VLOOKUP(B363,'Product Master'!$B:$G,2,FALSE))</f>
        <v/>
      </c>
      <c r="D363" s="50" t="str">
        <f>IF(B363="","",VLOOKUP(B363,'Product Master'!$B:$G,3,FALSE))</f>
        <v/>
      </c>
      <c r="E363" s="50"/>
      <c r="F363" s="50">
        <f>SUMIF('Stock Purchase'!$D:$D,B363,'Stock Purchase'!$F:$F)</f>
        <v>0</v>
      </c>
      <c r="G363" s="50">
        <f>SUMIFS('Stock Adjustment'!$E:$E,'Stock Adjustment'!$B:$B,$A363,'Stock Adjustment'!$D:$D,"Customer Returned")</f>
        <v>0</v>
      </c>
      <c r="H363" s="50">
        <f>SUMIF('Daily Sales Entry'!$D:$D,B363,'Daily Sales Entry'!$G:$G)</f>
        <v>0</v>
      </c>
      <c r="I363" s="50">
        <f>SUMIFS('Stock Adjustment'!$E:$E,'Stock Adjustment'!$B:$B,$A363,'Stock Adjustment'!$D:$D,"Staff Consumption")</f>
        <v>0</v>
      </c>
      <c r="J363" s="50">
        <f>SUMIFS('Stock Adjustment'!$E:$E,'Stock Adjustment'!$B:$B,$A363,'Stock Adjustment'!$D:$D,"Damaged")</f>
        <v>0</v>
      </c>
      <c r="K363" s="50">
        <f>SUMIFS('Stock Adjustment'!$E:$E,'Stock Adjustment'!$B:$B,$A363,'Stock Adjustment'!$D:$D,"Expired")</f>
        <v>0</v>
      </c>
      <c r="L363" s="50">
        <f>SUMIFS('Stock Adjustment'!$E:$E,'Stock Adjustment'!$B:$B,$A363,'Stock Adjustment'!$D:$D,"Supplier Returned")</f>
        <v>0</v>
      </c>
      <c r="M3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3" s="53" t="str">
        <f>IF(B363="","",VLOOKUP(B363,'Product Master'!$B:$G,4,FALSE))</f>
        <v/>
      </c>
      <c r="O363" s="53" t="str">
        <f>IF(B363="","",VLOOKUP(B363,'Product Master'!$B:$G,5,FALSE))</f>
        <v/>
      </c>
      <c r="P363" s="50" t="str">
        <f>IF(B363="","",VLOOKUP(B363,'Product Master'!$B:$I,7,FALSE))</f>
        <v/>
      </c>
      <c r="Q363" s="158"/>
      <c r="R363" s="58" t="str">
        <f t="shared" si="5"/>
        <v/>
      </c>
      <c r="S363" s="25"/>
      <c r="T363" s="25"/>
      <c r="U363" s="25"/>
      <c r="V363" s="25"/>
      <c r="W363" s="25"/>
      <c r="X363" s="25"/>
    </row>
    <row r="364" spans="1:24" x14ac:dyDescent="0.25">
      <c r="A364" s="31" t="s">
        <v>924</v>
      </c>
      <c r="B364" s="32"/>
      <c r="C364" s="50" t="str">
        <f>IF(B364="","",VLOOKUP(B364,'Product Master'!$B:$G,2,FALSE))</f>
        <v/>
      </c>
      <c r="D364" s="50" t="str">
        <f>IF(B364="","",VLOOKUP(B364,'Product Master'!$B:$G,3,FALSE))</f>
        <v/>
      </c>
      <c r="E364" s="50"/>
      <c r="F364" s="50">
        <f>SUMIF('Stock Purchase'!$D:$D,B364,'Stock Purchase'!$F:$F)</f>
        <v>0</v>
      </c>
      <c r="G364" s="50">
        <f>SUMIFS('Stock Adjustment'!$E:$E,'Stock Adjustment'!$B:$B,$A364,'Stock Adjustment'!$D:$D,"Customer Returned")</f>
        <v>0</v>
      </c>
      <c r="H364" s="50">
        <f>SUMIF('Daily Sales Entry'!$D:$D,B364,'Daily Sales Entry'!$G:$G)</f>
        <v>0</v>
      </c>
      <c r="I364" s="50">
        <f>SUMIFS('Stock Adjustment'!$E:$E,'Stock Adjustment'!$B:$B,$A364,'Stock Adjustment'!$D:$D,"Staff Consumption")</f>
        <v>0</v>
      </c>
      <c r="J364" s="50">
        <f>SUMIFS('Stock Adjustment'!$E:$E,'Stock Adjustment'!$B:$B,$A364,'Stock Adjustment'!$D:$D,"Damaged")</f>
        <v>0</v>
      </c>
      <c r="K364" s="50">
        <f>SUMIFS('Stock Adjustment'!$E:$E,'Stock Adjustment'!$B:$B,$A364,'Stock Adjustment'!$D:$D,"Expired")</f>
        <v>0</v>
      </c>
      <c r="L364" s="50">
        <f>SUMIFS('Stock Adjustment'!$E:$E,'Stock Adjustment'!$B:$B,$A364,'Stock Adjustment'!$D:$D,"Supplier Returned")</f>
        <v>0</v>
      </c>
      <c r="M3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4" s="53" t="str">
        <f>IF(B364="","",VLOOKUP(B364,'Product Master'!$B:$G,4,FALSE))</f>
        <v/>
      </c>
      <c r="O364" s="53" t="str">
        <f>IF(B364="","",VLOOKUP(B364,'Product Master'!$B:$G,5,FALSE))</f>
        <v/>
      </c>
      <c r="P364" s="50" t="str">
        <f>IF(B364="","",VLOOKUP(B364,'Product Master'!$B:$I,7,FALSE))</f>
        <v/>
      </c>
      <c r="Q364" s="158"/>
      <c r="R364" s="58" t="str">
        <f t="shared" si="5"/>
        <v/>
      </c>
      <c r="S364" s="25"/>
      <c r="T364" s="25"/>
      <c r="U364" s="25"/>
      <c r="V364" s="25"/>
      <c r="W364" s="25"/>
      <c r="X364" s="25"/>
    </row>
    <row r="365" spans="1:24" x14ac:dyDescent="0.25">
      <c r="A365" s="31" t="s">
        <v>925</v>
      </c>
      <c r="B365" s="32"/>
      <c r="C365" s="50" t="str">
        <f>IF(B365="","",VLOOKUP(B365,'Product Master'!$B:$G,2,FALSE))</f>
        <v/>
      </c>
      <c r="D365" s="50" t="str">
        <f>IF(B365="","",VLOOKUP(B365,'Product Master'!$B:$G,3,FALSE))</f>
        <v/>
      </c>
      <c r="E365" s="50"/>
      <c r="F365" s="50">
        <f>SUMIF('Stock Purchase'!$D:$D,B365,'Stock Purchase'!$F:$F)</f>
        <v>0</v>
      </c>
      <c r="G365" s="50">
        <f>SUMIFS('Stock Adjustment'!$E:$E,'Stock Adjustment'!$B:$B,$A365,'Stock Adjustment'!$D:$D,"Customer Returned")</f>
        <v>0</v>
      </c>
      <c r="H365" s="50">
        <f>SUMIF('Daily Sales Entry'!$D:$D,B365,'Daily Sales Entry'!$G:$G)</f>
        <v>0</v>
      </c>
      <c r="I365" s="50">
        <f>SUMIFS('Stock Adjustment'!$E:$E,'Stock Adjustment'!$B:$B,$A365,'Stock Adjustment'!$D:$D,"Staff Consumption")</f>
        <v>0</v>
      </c>
      <c r="J365" s="50">
        <f>SUMIFS('Stock Adjustment'!$E:$E,'Stock Adjustment'!$B:$B,$A365,'Stock Adjustment'!$D:$D,"Damaged")</f>
        <v>0</v>
      </c>
      <c r="K365" s="50">
        <f>SUMIFS('Stock Adjustment'!$E:$E,'Stock Adjustment'!$B:$B,$A365,'Stock Adjustment'!$D:$D,"Expired")</f>
        <v>0</v>
      </c>
      <c r="L365" s="50">
        <f>SUMIFS('Stock Adjustment'!$E:$E,'Stock Adjustment'!$B:$B,$A365,'Stock Adjustment'!$D:$D,"Supplier Returned")</f>
        <v>0</v>
      </c>
      <c r="M3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5" s="53" t="str">
        <f>IF(B365="","",VLOOKUP(B365,'Product Master'!$B:$G,4,FALSE))</f>
        <v/>
      </c>
      <c r="O365" s="53" t="str">
        <f>IF(B365="","",VLOOKUP(B365,'Product Master'!$B:$G,5,FALSE))</f>
        <v/>
      </c>
      <c r="P365" s="50" t="str">
        <f>IF(B365="","",VLOOKUP(B365,'Product Master'!$B:$I,7,FALSE))</f>
        <v/>
      </c>
      <c r="Q365" s="158"/>
      <c r="R365" s="58" t="str">
        <f t="shared" si="5"/>
        <v/>
      </c>
      <c r="S365" s="25"/>
      <c r="T365" s="25"/>
      <c r="U365" s="25"/>
      <c r="V365" s="25"/>
      <c r="W365" s="25"/>
      <c r="X365" s="25"/>
    </row>
    <row r="366" spans="1:24" x14ac:dyDescent="0.25">
      <c r="A366" s="31" t="s">
        <v>926</v>
      </c>
      <c r="B366" s="32"/>
      <c r="C366" s="50" t="str">
        <f>IF(B366="","",VLOOKUP(B366,'Product Master'!$B:$G,2,FALSE))</f>
        <v/>
      </c>
      <c r="D366" s="50" t="str">
        <f>IF(B366="","",VLOOKUP(B366,'Product Master'!$B:$G,3,FALSE))</f>
        <v/>
      </c>
      <c r="E366" s="50"/>
      <c r="F366" s="50">
        <f>SUMIF('Stock Purchase'!$D:$D,B366,'Stock Purchase'!$F:$F)</f>
        <v>0</v>
      </c>
      <c r="G366" s="50">
        <f>SUMIFS('Stock Adjustment'!$E:$E,'Stock Adjustment'!$B:$B,$A366,'Stock Adjustment'!$D:$D,"Customer Returned")</f>
        <v>0</v>
      </c>
      <c r="H366" s="50">
        <f>SUMIF('Daily Sales Entry'!$D:$D,B366,'Daily Sales Entry'!$G:$G)</f>
        <v>0</v>
      </c>
      <c r="I366" s="50">
        <f>SUMIFS('Stock Adjustment'!$E:$E,'Stock Adjustment'!$B:$B,$A366,'Stock Adjustment'!$D:$D,"Staff Consumption")</f>
        <v>0</v>
      </c>
      <c r="J366" s="50">
        <f>SUMIFS('Stock Adjustment'!$E:$E,'Stock Adjustment'!$B:$B,$A366,'Stock Adjustment'!$D:$D,"Damaged")</f>
        <v>0</v>
      </c>
      <c r="K366" s="50">
        <f>SUMIFS('Stock Adjustment'!$E:$E,'Stock Adjustment'!$B:$B,$A366,'Stock Adjustment'!$D:$D,"Expired")</f>
        <v>0</v>
      </c>
      <c r="L366" s="50">
        <f>SUMIFS('Stock Adjustment'!$E:$E,'Stock Adjustment'!$B:$B,$A366,'Stock Adjustment'!$D:$D,"Supplier Returned")</f>
        <v>0</v>
      </c>
      <c r="M3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6" s="53" t="str">
        <f>IF(B366="","",VLOOKUP(B366,'Product Master'!$B:$G,4,FALSE))</f>
        <v/>
      </c>
      <c r="O366" s="53" t="str">
        <f>IF(B366="","",VLOOKUP(B366,'Product Master'!$B:$G,5,FALSE))</f>
        <v/>
      </c>
      <c r="P366" s="50" t="str">
        <f>IF(B366="","",VLOOKUP(B366,'Product Master'!$B:$I,7,FALSE))</f>
        <v/>
      </c>
      <c r="Q366" s="158"/>
      <c r="R366" s="58" t="str">
        <f t="shared" si="5"/>
        <v/>
      </c>
      <c r="S366" s="25"/>
      <c r="T366" s="25"/>
      <c r="U366" s="25"/>
      <c r="V366" s="25"/>
      <c r="W366" s="25"/>
      <c r="X366" s="25"/>
    </row>
    <row r="367" spans="1:24" x14ac:dyDescent="0.25">
      <c r="A367" s="31" t="s">
        <v>927</v>
      </c>
      <c r="B367" s="32"/>
      <c r="C367" s="50" t="str">
        <f>IF(B367="","",VLOOKUP(B367,'Product Master'!$B:$G,2,FALSE))</f>
        <v/>
      </c>
      <c r="D367" s="50" t="str">
        <f>IF(B367="","",VLOOKUP(B367,'Product Master'!$B:$G,3,FALSE))</f>
        <v/>
      </c>
      <c r="E367" s="50"/>
      <c r="F367" s="50">
        <f>SUMIF('Stock Purchase'!$D:$D,B367,'Stock Purchase'!$F:$F)</f>
        <v>0</v>
      </c>
      <c r="G367" s="50">
        <f>SUMIFS('Stock Adjustment'!$E:$E,'Stock Adjustment'!$B:$B,$A367,'Stock Adjustment'!$D:$D,"Customer Returned")</f>
        <v>0</v>
      </c>
      <c r="H367" s="50">
        <f>SUMIF('Daily Sales Entry'!$D:$D,B367,'Daily Sales Entry'!$G:$G)</f>
        <v>0</v>
      </c>
      <c r="I367" s="50">
        <f>SUMIFS('Stock Adjustment'!$E:$E,'Stock Adjustment'!$B:$B,$A367,'Stock Adjustment'!$D:$D,"Staff Consumption")</f>
        <v>0</v>
      </c>
      <c r="J367" s="50">
        <f>SUMIFS('Stock Adjustment'!$E:$E,'Stock Adjustment'!$B:$B,$A367,'Stock Adjustment'!$D:$D,"Damaged")</f>
        <v>0</v>
      </c>
      <c r="K367" s="50">
        <f>SUMIFS('Stock Adjustment'!$E:$E,'Stock Adjustment'!$B:$B,$A367,'Stock Adjustment'!$D:$D,"Expired")</f>
        <v>0</v>
      </c>
      <c r="L367" s="50">
        <f>SUMIFS('Stock Adjustment'!$E:$E,'Stock Adjustment'!$B:$B,$A367,'Stock Adjustment'!$D:$D,"Supplier Returned")</f>
        <v>0</v>
      </c>
      <c r="M3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7" s="53" t="str">
        <f>IF(B367="","",VLOOKUP(B367,'Product Master'!$B:$G,4,FALSE))</f>
        <v/>
      </c>
      <c r="O367" s="53" t="str">
        <f>IF(B367="","",VLOOKUP(B367,'Product Master'!$B:$G,5,FALSE))</f>
        <v/>
      </c>
      <c r="P367" s="50" t="str">
        <f>IF(B367="","",VLOOKUP(B367,'Product Master'!$B:$I,7,FALSE))</f>
        <v/>
      </c>
      <c r="Q367" s="158"/>
      <c r="R367" s="58" t="str">
        <f t="shared" si="5"/>
        <v/>
      </c>
      <c r="S367" s="25"/>
      <c r="T367" s="25"/>
      <c r="U367" s="25"/>
      <c r="V367" s="25"/>
      <c r="W367" s="25"/>
      <c r="X367" s="25"/>
    </row>
    <row r="368" spans="1:24" x14ac:dyDescent="0.25">
      <c r="A368" s="31" t="s">
        <v>928</v>
      </c>
      <c r="B368" s="32"/>
      <c r="C368" s="50" t="str">
        <f>IF(B368="","",VLOOKUP(B368,'Product Master'!$B:$G,2,FALSE))</f>
        <v/>
      </c>
      <c r="D368" s="50" t="str">
        <f>IF(B368="","",VLOOKUP(B368,'Product Master'!$B:$G,3,FALSE))</f>
        <v/>
      </c>
      <c r="E368" s="50"/>
      <c r="F368" s="50">
        <f>SUMIF('Stock Purchase'!$D:$D,B368,'Stock Purchase'!$F:$F)</f>
        <v>0</v>
      </c>
      <c r="G368" s="50">
        <f>SUMIFS('Stock Adjustment'!$E:$E,'Stock Adjustment'!$B:$B,$A368,'Stock Adjustment'!$D:$D,"Customer Returned")</f>
        <v>0</v>
      </c>
      <c r="H368" s="50">
        <f>SUMIF('Daily Sales Entry'!$D:$D,B368,'Daily Sales Entry'!$G:$G)</f>
        <v>0</v>
      </c>
      <c r="I368" s="50">
        <f>SUMIFS('Stock Adjustment'!$E:$E,'Stock Adjustment'!$B:$B,$A368,'Stock Adjustment'!$D:$D,"Staff Consumption")</f>
        <v>0</v>
      </c>
      <c r="J368" s="50">
        <f>SUMIFS('Stock Adjustment'!$E:$E,'Stock Adjustment'!$B:$B,$A368,'Stock Adjustment'!$D:$D,"Damaged")</f>
        <v>0</v>
      </c>
      <c r="K368" s="50">
        <f>SUMIFS('Stock Adjustment'!$E:$E,'Stock Adjustment'!$B:$B,$A368,'Stock Adjustment'!$D:$D,"Expired")</f>
        <v>0</v>
      </c>
      <c r="L368" s="50">
        <f>SUMIFS('Stock Adjustment'!$E:$E,'Stock Adjustment'!$B:$B,$A368,'Stock Adjustment'!$D:$D,"Supplier Returned")</f>
        <v>0</v>
      </c>
      <c r="M3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8" s="53" t="str">
        <f>IF(B368="","",VLOOKUP(B368,'Product Master'!$B:$G,4,FALSE))</f>
        <v/>
      </c>
      <c r="O368" s="53" t="str">
        <f>IF(B368="","",VLOOKUP(B368,'Product Master'!$B:$G,5,FALSE))</f>
        <v/>
      </c>
      <c r="P368" s="50" t="str">
        <f>IF(B368="","",VLOOKUP(B368,'Product Master'!$B:$I,7,FALSE))</f>
        <v/>
      </c>
      <c r="Q368" s="158"/>
      <c r="R368" s="58" t="str">
        <f t="shared" si="5"/>
        <v/>
      </c>
      <c r="S368" s="25"/>
      <c r="T368" s="25"/>
      <c r="U368" s="25"/>
      <c r="V368" s="25"/>
      <c r="W368" s="25"/>
      <c r="X368" s="25"/>
    </row>
    <row r="369" spans="1:24" x14ac:dyDescent="0.25">
      <c r="A369" s="31" t="s">
        <v>929</v>
      </c>
      <c r="B369" s="32"/>
      <c r="C369" s="50" t="str">
        <f>IF(B369="","",VLOOKUP(B369,'Product Master'!$B:$G,2,FALSE))</f>
        <v/>
      </c>
      <c r="D369" s="50" t="str">
        <f>IF(B369="","",VLOOKUP(B369,'Product Master'!$B:$G,3,FALSE))</f>
        <v/>
      </c>
      <c r="E369" s="50"/>
      <c r="F369" s="50">
        <f>SUMIF('Stock Purchase'!$D:$D,B369,'Stock Purchase'!$F:$F)</f>
        <v>0</v>
      </c>
      <c r="G369" s="50">
        <f>SUMIFS('Stock Adjustment'!$E:$E,'Stock Adjustment'!$B:$B,$A369,'Stock Adjustment'!$D:$D,"Customer Returned")</f>
        <v>0</v>
      </c>
      <c r="H369" s="50">
        <f>SUMIF('Daily Sales Entry'!$D:$D,B369,'Daily Sales Entry'!$G:$G)</f>
        <v>0</v>
      </c>
      <c r="I369" s="50">
        <f>SUMIFS('Stock Adjustment'!$E:$E,'Stock Adjustment'!$B:$B,$A369,'Stock Adjustment'!$D:$D,"Staff Consumption")</f>
        <v>0</v>
      </c>
      <c r="J369" s="50">
        <f>SUMIFS('Stock Adjustment'!$E:$E,'Stock Adjustment'!$B:$B,$A369,'Stock Adjustment'!$D:$D,"Damaged")</f>
        <v>0</v>
      </c>
      <c r="K369" s="50">
        <f>SUMIFS('Stock Adjustment'!$E:$E,'Stock Adjustment'!$B:$B,$A369,'Stock Adjustment'!$D:$D,"Expired")</f>
        <v>0</v>
      </c>
      <c r="L369" s="50">
        <f>SUMIFS('Stock Adjustment'!$E:$E,'Stock Adjustment'!$B:$B,$A369,'Stock Adjustment'!$D:$D,"Supplier Returned")</f>
        <v>0</v>
      </c>
      <c r="M3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69" s="53" t="str">
        <f>IF(B369="","",VLOOKUP(B369,'Product Master'!$B:$G,4,FALSE))</f>
        <v/>
      </c>
      <c r="O369" s="53" t="str">
        <f>IF(B369="","",VLOOKUP(B369,'Product Master'!$B:$G,5,FALSE))</f>
        <v/>
      </c>
      <c r="P369" s="50" t="str">
        <f>IF(B369="","",VLOOKUP(B369,'Product Master'!$B:$I,7,FALSE))</f>
        <v/>
      </c>
      <c r="Q369" s="158"/>
      <c r="R369" s="58" t="str">
        <f t="shared" si="5"/>
        <v/>
      </c>
      <c r="S369" s="25"/>
      <c r="T369" s="25"/>
      <c r="U369" s="25"/>
      <c r="V369" s="25"/>
      <c r="W369" s="25"/>
      <c r="X369" s="25"/>
    </row>
    <row r="370" spans="1:24" x14ac:dyDescent="0.25">
      <c r="A370" s="31" t="s">
        <v>930</v>
      </c>
      <c r="B370" s="32"/>
      <c r="C370" s="50" t="str">
        <f>IF(B370="","",VLOOKUP(B370,'Product Master'!$B:$G,2,FALSE))</f>
        <v/>
      </c>
      <c r="D370" s="50" t="str">
        <f>IF(B370="","",VLOOKUP(B370,'Product Master'!$B:$G,3,FALSE))</f>
        <v/>
      </c>
      <c r="E370" s="50"/>
      <c r="F370" s="50">
        <f>SUMIF('Stock Purchase'!$D:$D,B370,'Stock Purchase'!$F:$F)</f>
        <v>0</v>
      </c>
      <c r="G370" s="50">
        <f>SUMIFS('Stock Adjustment'!$E:$E,'Stock Adjustment'!$B:$B,$A370,'Stock Adjustment'!$D:$D,"Customer Returned")</f>
        <v>0</v>
      </c>
      <c r="H370" s="50">
        <f>SUMIF('Daily Sales Entry'!$D:$D,B370,'Daily Sales Entry'!$G:$G)</f>
        <v>0</v>
      </c>
      <c r="I370" s="50">
        <f>SUMIFS('Stock Adjustment'!$E:$E,'Stock Adjustment'!$B:$B,$A370,'Stock Adjustment'!$D:$D,"Staff Consumption")</f>
        <v>0</v>
      </c>
      <c r="J370" s="50">
        <f>SUMIFS('Stock Adjustment'!$E:$E,'Stock Adjustment'!$B:$B,$A370,'Stock Adjustment'!$D:$D,"Damaged")</f>
        <v>0</v>
      </c>
      <c r="K370" s="50">
        <f>SUMIFS('Stock Adjustment'!$E:$E,'Stock Adjustment'!$B:$B,$A370,'Stock Adjustment'!$D:$D,"Expired")</f>
        <v>0</v>
      </c>
      <c r="L370" s="50">
        <f>SUMIFS('Stock Adjustment'!$E:$E,'Stock Adjustment'!$B:$B,$A370,'Stock Adjustment'!$D:$D,"Supplier Returned")</f>
        <v>0</v>
      </c>
      <c r="M3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0" s="53" t="str">
        <f>IF(B370="","",VLOOKUP(B370,'Product Master'!$B:$G,4,FALSE))</f>
        <v/>
      </c>
      <c r="O370" s="53" t="str">
        <f>IF(B370="","",VLOOKUP(B370,'Product Master'!$B:$G,5,FALSE))</f>
        <v/>
      </c>
      <c r="P370" s="50" t="str">
        <f>IF(B370="","",VLOOKUP(B370,'Product Master'!$B:$I,7,FALSE))</f>
        <v/>
      </c>
      <c r="Q370" s="158"/>
      <c r="R370" s="58" t="str">
        <f t="shared" si="5"/>
        <v/>
      </c>
      <c r="S370" s="25"/>
      <c r="T370" s="25"/>
      <c r="U370" s="25"/>
      <c r="V370" s="25"/>
      <c r="W370" s="25"/>
      <c r="X370" s="25"/>
    </row>
    <row r="371" spans="1:24" x14ac:dyDescent="0.25">
      <c r="A371" s="31" t="s">
        <v>931</v>
      </c>
      <c r="B371" s="32"/>
      <c r="C371" s="50" t="str">
        <f>IF(B371="","",VLOOKUP(B371,'Product Master'!$B:$G,2,FALSE))</f>
        <v/>
      </c>
      <c r="D371" s="50" t="str">
        <f>IF(B371="","",VLOOKUP(B371,'Product Master'!$B:$G,3,FALSE))</f>
        <v/>
      </c>
      <c r="E371" s="50"/>
      <c r="F371" s="50">
        <f>SUMIF('Stock Purchase'!$D:$D,B371,'Stock Purchase'!$F:$F)</f>
        <v>0</v>
      </c>
      <c r="G371" s="50">
        <f>SUMIFS('Stock Adjustment'!$E:$E,'Stock Adjustment'!$B:$B,$A371,'Stock Adjustment'!$D:$D,"Customer Returned")</f>
        <v>0</v>
      </c>
      <c r="H371" s="50">
        <f>SUMIF('Daily Sales Entry'!$D:$D,B371,'Daily Sales Entry'!$G:$G)</f>
        <v>0</v>
      </c>
      <c r="I371" s="50">
        <f>SUMIFS('Stock Adjustment'!$E:$E,'Stock Adjustment'!$B:$B,$A371,'Stock Adjustment'!$D:$D,"Staff Consumption")</f>
        <v>0</v>
      </c>
      <c r="J371" s="50">
        <f>SUMIFS('Stock Adjustment'!$E:$E,'Stock Adjustment'!$B:$B,$A371,'Stock Adjustment'!$D:$D,"Damaged")</f>
        <v>0</v>
      </c>
      <c r="K371" s="50">
        <f>SUMIFS('Stock Adjustment'!$E:$E,'Stock Adjustment'!$B:$B,$A371,'Stock Adjustment'!$D:$D,"Expired")</f>
        <v>0</v>
      </c>
      <c r="L371" s="50">
        <f>SUMIFS('Stock Adjustment'!$E:$E,'Stock Adjustment'!$B:$B,$A371,'Stock Adjustment'!$D:$D,"Supplier Returned")</f>
        <v>0</v>
      </c>
      <c r="M3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1" s="53" t="str">
        <f>IF(B371="","",VLOOKUP(B371,'Product Master'!$B:$G,4,FALSE))</f>
        <v/>
      </c>
      <c r="O371" s="53" t="str">
        <f>IF(B371="","",VLOOKUP(B371,'Product Master'!$B:$G,5,FALSE))</f>
        <v/>
      </c>
      <c r="P371" s="50" t="str">
        <f>IF(B371="","",VLOOKUP(B371,'Product Master'!$B:$I,7,FALSE))</f>
        <v/>
      </c>
      <c r="Q371" s="158"/>
      <c r="R371" s="58" t="str">
        <f t="shared" si="5"/>
        <v/>
      </c>
      <c r="S371" s="25"/>
      <c r="T371" s="25"/>
      <c r="U371" s="25"/>
      <c r="V371" s="25"/>
      <c r="W371" s="25"/>
      <c r="X371" s="25"/>
    </row>
    <row r="372" spans="1:24" x14ac:dyDescent="0.25">
      <c r="A372" s="31" t="s">
        <v>932</v>
      </c>
      <c r="B372" s="32"/>
      <c r="C372" s="50" t="str">
        <f>IF(B372="","",VLOOKUP(B372,'Product Master'!$B:$G,2,FALSE))</f>
        <v/>
      </c>
      <c r="D372" s="50" t="str">
        <f>IF(B372="","",VLOOKUP(B372,'Product Master'!$B:$G,3,FALSE))</f>
        <v/>
      </c>
      <c r="E372" s="50"/>
      <c r="F372" s="50">
        <f>SUMIF('Stock Purchase'!$D:$D,B372,'Stock Purchase'!$F:$F)</f>
        <v>0</v>
      </c>
      <c r="G372" s="50">
        <f>SUMIFS('Stock Adjustment'!$E:$E,'Stock Adjustment'!$B:$B,$A372,'Stock Adjustment'!$D:$D,"Customer Returned")</f>
        <v>0</v>
      </c>
      <c r="H372" s="50">
        <f>SUMIF('Daily Sales Entry'!$D:$D,B372,'Daily Sales Entry'!$G:$G)</f>
        <v>0</v>
      </c>
      <c r="I372" s="50">
        <f>SUMIFS('Stock Adjustment'!$E:$E,'Stock Adjustment'!$B:$B,$A372,'Stock Adjustment'!$D:$D,"Staff Consumption")</f>
        <v>0</v>
      </c>
      <c r="J372" s="50">
        <f>SUMIFS('Stock Adjustment'!$E:$E,'Stock Adjustment'!$B:$B,$A372,'Stock Adjustment'!$D:$D,"Damaged")</f>
        <v>0</v>
      </c>
      <c r="K372" s="50">
        <f>SUMIFS('Stock Adjustment'!$E:$E,'Stock Adjustment'!$B:$B,$A372,'Stock Adjustment'!$D:$D,"Expired")</f>
        <v>0</v>
      </c>
      <c r="L372" s="50">
        <f>SUMIFS('Stock Adjustment'!$E:$E,'Stock Adjustment'!$B:$B,$A372,'Stock Adjustment'!$D:$D,"Supplier Returned")</f>
        <v>0</v>
      </c>
      <c r="M3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2" s="53" t="str">
        <f>IF(B372="","",VLOOKUP(B372,'Product Master'!$B:$G,4,FALSE))</f>
        <v/>
      </c>
      <c r="O372" s="53" t="str">
        <f>IF(B372="","",VLOOKUP(B372,'Product Master'!$B:$G,5,FALSE))</f>
        <v/>
      </c>
      <c r="P372" s="50" t="str">
        <f>IF(B372="","",VLOOKUP(B372,'Product Master'!$B:$I,7,FALSE))</f>
        <v/>
      </c>
      <c r="Q372" s="158"/>
      <c r="R372" s="58" t="str">
        <f t="shared" si="5"/>
        <v/>
      </c>
      <c r="S372" s="25"/>
      <c r="T372" s="25"/>
      <c r="U372" s="25"/>
      <c r="V372" s="25"/>
      <c r="W372" s="25"/>
      <c r="X372" s="25"/>
    </row>
    <row r="373" spans="1:24" x14ac:dyDescent="0.25">
      <c r="A373" s="31" t="s">
        <v>933</v>
      </c>
      <c r="B373" s="32"/>
      <c r="C373" s="50" t="str">
        <f>IF(B373="","",VLOOKUP(B373,'Product Master'!$B:$G,2,FALSE))</f>
        <v/>
      </c>
      <c r="D373" s="50" t="str">
        <f>IF(B373="","",VLOOKUP(B373,'Product Master'!$B:$G,3,FALSE))</f>
        <v/>
      </c>
      <c r="E373" s="50"/>
      <c r="F373" s="50">
        <f>SUMIF('Stock Purchase'!$D:$D,B373,'Stock Purchase'!$F:$F)</f>
        <v>0</v>
      </c>
      <c r="G373" s="50">
        <f>SUMIFS('Stock Adjustment'!$E:$E,'Stock Adjustment'!$B:$B,$A373,'Stock Adjustment'!$D:$D,"Customer Returned")</f>
        <v>0</v>
      </c>
      <c r="H373" s="50">
        <f>SUMIF('Daily Sales Entry'!$D:$D,B373,'Daily Sales Entry'!$G:$G)</f>
        <v>0</v>
      </c>
      <c r="I373" s="50">
        <f>SUMIFS('Stock Adjustment'!$E:$E,'Stock Adjustment'!$B:$B,$A373,'Stock Adjustment'!$D:$D,"Staff Consumption")</f>
        <v>0</v>
      </c>
      <c r="J373" s="50">
        <f>SUMIFS('Stock Adjustment'!$E:$E,'Stock Adjustment'!$B:$B,$A373,'Stock Adjustment'!$D:$D,"Damaged")</f>
        <v>0</v>
      </c>
      <c r="K373" s="50">
        <f>SUMIFS('Stock Adjustment'!$E:$E,'Stock Adjustment'!$B:$B,$A373,'Stock Adjustment'!$D:$D,"Expired")</f>
        <v>0</v>
      </c>
      <c r="L373" s="50">
        <f>SUMIFS('Stock Adjustment'!$E:$E,'Stock Adjustment'!$B:$B,$A373,'Stock Adjustment'!$D:$D,"Supplier Returned")</f>
        <v>0</v>
      </c>
      <c r="M3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3" s="53" t="str">
        <f>IF(B373="","",VLOOKUP(B373,'Product Master'!$B:$G,4,FALSE))</f>
        <v/>
      </c>
      <c r="O373" s="53" t="str">
        <f>IF(B373="","",VLOOKUP(B373,'Product Master'!$B:$G,5,FALSE))</f>
        <v/>
      </c>
      <c r="P373" s="50" t="str">
        <f>IF(B373="","",VLOOKUP(B373,'Product Master'!$B:$I,7,FALSE))</f>
        <v/>
      </c>
      <c r="Q373" s="158"/>
      <c r="R373" s="58" t="str">
        <f t="shared" si="5"/>
        <v/>
      </c>
      <c r="S373" s="25"/>
      <c r="T373" s="25"/>
      <c r="U373" s="25"/>
      <c r="V373" s="25"/>
      <c r="W373" s="25"/>
      <c r="X373" s="25"/>
    </row>
    <row r="374" spans="1:24" x14ac:dyDescent="0.25">
      <c r="A374" s="31" t="s">
        <v>934</v>
      </c>
      <c r="B374" s="32"/>
      <c r="C374" s="50" t="str">
        <f>IF(B374="","",VLOOKUP(B374,'Product Master'!$B:$G,2,FALSE))</f>
        <v/>
      </c>
      <c r="D374" s="50" t="str">
        <f>IF(B374="","",VLOOKUP(B374,'Product Master'!$B:$G,3,FALSE))</f>
        <v/>
      </c>
      <c r="E374" s="50"/>
      <c r="F374" s="50">
        <f>SUMIF('Stock Purchase'!$D:$D,B374,'Stock Purchase'!$F:$F)</f>
        <v>0</v>
      </c>
      <c r="G374" s="50">
        <f>SUMIFS('Stock Adjustment'!$E:$E,'Stock Adjustment'!$B:$B,$A374,'Stock Adjustment'!$D:$D,"Customer Returned")</f>
        <v>0</v>
      </c>
      <c r="H374" s="50">
        <f>SUMIF('Daily Sales Entry'!$D:$D,B374,'Daily Sales Entry'!$G:$G)</f>
        <v>0</v>
      </c>
      <c r="I374" s="50">
        <f>SUMIFS('Stock Adjustment'!$E:$E,'Stock Adjustment'!$B:$B,$A374,'Stock Adjustment'!$D:$D,"Staff Consumption")</f>
        <v>0</v>
      </c>
      <c r="J374" s="50">
        <f>SUMIFS('Stock Adjustment'!$E:$E,'Stock Adjustment'!$B:$B,$A374,'Stock Adjustment'!$D:$D,"Damaged")</f>
        <v>0</v>
      </c>
      <c r="K374" s="50">
        <f>SUMIFS('Stock Adjustment'!$E:$E,'Stock Adjustment'!$B:$B,$A374,'Stock Adjustment'!$D:$D,"Expired")</f>
        <v>0</v>
      </c>
      <c r="L374" s="50">
        <f>SUMIFS('Stock Adjustment'!$E:$E,'Stock Adjustment'!$B:$B,$A374,'Stock Adjustment'!$D:$D,"Supplier Returned")</f>
        <v>0</v>
      </c>
      <c r="M3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4" s="53" t="str">
        <f>IF(B374="","",VLOOKUP(B374,'Product Master'!$B:$G,4,FALSE))</f>
        <v/>
      </c>
      <c r="O374" s="53" t="str">
        <f>IF(B374="","",VLOOKUP(B374,'Product Master'!$B:$G,5,FALSE))</f>
        <v/>
      </c>
      <c r="P374" s="50" t="str">
        <f>IF(B374="","",VLOOKUP(B374,'Product Master'!$B:$I,7,FALSE))</f>
        <v/>
      </c>
      <c r="Q374" s="158"/>
      <c r="R374" s="58" t="str">
        <f t="shared" si="5"/>
        <v/>
      </c>
      <c r="S374" s="25"/>
      <c r="T374" s="25"/>
      <c r="U374" s="25"/>
      <c r="V374" s="25"/>
      <c r="W374" s="25"/>
      <c r="X374" s="25"/>
    </row>
    <row r="375" spans="1:24" x14ac:dyDescent="0.25">
      <c r="A375" s="31" t="s">
        <v>935</v>
      </c>
      <c r="B375" s="32"/>
      <c r="C375" s="50" t="str">
        <f>IF(B375="","",VLOOKUP(B375,'Product Master'!$B:$G,2,FALSE))</f>
        <v/>
      </c>
      <c r="D375" s="50" t="str">
        <f>IF(B375="","",VLOOKUP(B375,'Product Master'!$B:$G,3,FALSE))</f>
        <v/>
      </c>
      <c r="E375" s="50"/>
      <c r="F375" s="50">
        <f>SUMIF('Stock Purchase'!$D:$D,B375,'Stock Purchase'!$F:$F)</f>
        <v>0</v>
      </c>
      <c r="G375" s="50">
        <f>SUMIFS('Stock Adjustment'!$E:$E,'Stock Adjustment'!$B:$B,$A375,'Stock Adjustment'!$D:$D,"Customer Returned")</f>
        <v>0</v>
      </c>
      <c r="H375" s="50">
        <f>SUMIF('Daily Sales Entry'!$D:$D,B375,'Daily Sales Entry'!$G:$G)</f>
        <v>0</v>
      </c>
      <c r="I375" s="50">
        <f>SUMIFS('Stock Adjustment'!$E:$E,'Stock Adjustment'!$B:$B,$A375,'Stock Adjustment'!$D:$D,"Staff Consumption")</f>
        <v>0</v>
      </c>
      <c r="J375" s="50">
        <f>SUMIFS('Stock Adjustment'!$E:$E,'Stock Adjustment'!$B:$B,$A375,'Stock Adjustment'!$D:$D,"Damaged")</f>
        <v>0</v>
      </c>
      <c r="K375" s="50">
        <f>SUMIFS('Stock Adjustment'!$E:$E,'Stock Adjustment'!$B:$B,$A375,'Stock Adjustment'!$D:$D,"Expired")</f>
        <v>0</v>
      </c>
      <c r="L375" s="50">
        <f>SUMIFS('Stock Adjustment'!$E:$E,'Stock Adjustment'!$B:$B,$A375,'Stock Adjustment'!$D:$D,"Supplier Returned")</f>
        <v>0</v>
      </c>
      <c r="M3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5" s="53" t="str">
        <f>IF(B375="","",VLOOKUP(B375,'Product Master'!$B:$G,4,FALSE))</f>
        <v/>
      </c>
      <c r="O375" s="53" t="str">
        <f>IF(B375="","",VLOOKUP(B375,'Product Master'!$B:$G,5,FALSE))</f>
        <v/>
      </c>
      <c r="P375" s="50" t="str">
        <f>IF(B375="","",VLOOKUP(B375,'Product Master'!$B:$I,7,FALSE))</f>
        <v/>
      </c>
      <c r="Q375" s="158"/>
      <c r="R375" s="58" t="str">
        <f t="shared" si="5"/>
        <v/>
      </c>
      <c r="S375" s="25"/>
      <c r="T375" s="25"/>
      <c r="U375" s="25"/>
      <c r="V375" s="25"/>
      <c r="W375" s="25"/>
      <c r="X375" s="25"/>
    </row>
    <row r="376" spans="1:24" x14ac:dyDescent="0.25">
      <c r="A376" s="31" t="s">
        <v>936</v>
      </c>
      <c r="B376" s="32"/>
      <c r="C376" s="50" t="str">
        <f>IF(B376="","",VLOOKUP(B376,'Product Master'!$B:$G,2,FALSE))</f>
        <v/>
      </c>
      <c r="D376" s="50" t="str">
        <f>IF(B376="","",VLOOKUP(B376,'Product Master'!$B:$G,3,FALSE))</f>
        <v/>
      </c>
      <c r="E376" s="50"/>
      <c r="F376" s="50">
        <f>SUMIF('Stock Purchase'!$D:$D,B376,'Stock Purchase'!$F:$F)</f>
        <v>0</v>
      </c>
      <c r="G376" s="50">
        <f>SUMIFS('Stock Adjustment'!$E:$E,'Stock Adjustment'!$B:$B,$A376,'Stock Adjustment'!$D:$D,"Customer Returned")</f>
        <v>0</v>
      </c>
      <c r="H376" s="50">
        <f>SUMIF('Daily Sales Entry'!$D:$D,B376,'Daily Sales Entry'!$G:$G)</f>
        <v>0</v>
      </c>
      <c r="I376" s="50">
        <f>SUMIFS('Stock Adjustment'!$E:$E,'Stock Adjustment'!$B:$B,$A376,'Stock Adjustment'!$D:$D,"Staff Consumption")</f>
        <v>0</v>
      </c>
      <c r="J376" s="50">
        <f>SUMIFS('Stock Adjustment'!$E:$E,'Stock Adjustment'!$B:$B,$A376,'Stock Adjustment'!$D:$D,"Damaged")</f>
        <v>0</v>
      </c>
      <c r="K376" s="50">
        <f>SUMIFS('Stock Adjustment'!$E:$E,'Stock Adjustment'!$B:$B,$A376,'Stock Adjustment'!$D:$D,"Expired")</f>
        <v>0</v>
      </c>
      <c r="L376" s="50">
        <f>SUMIFS('Stock Adjustment'!$E:$E,'Stock Adjustment'!$B:$B,$A376,'Stock Adjustment'!$D:$D,"Supplier Returned")</f>
        <v>0</v>
      </c>
      <c r="M3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6" s="53" t="str">
        <f>IF(B376="","",VLOOKUP(B376,'Product Master'!$B:$G,4,FALSE))</f>
        <v/>
      </c>
      <c r="O376" s="53" t="str">
        <f>IF(B376="","",VLOOKUP(B376,'Product Master'!$B:$G,5,FALSE))</f>
        <v/>
      </c>
      <c r="P376" s="50" t="str">
        <f>IF(B376="","",VLOOKUP(B376,'Product Master'!$B:$I,7,FALSE))</f>
        <v/>
      </c>
      <c r="Q376" s="158"/>
      <c r="R376" s="58" t="str">
        <f t="shared" si="5"/>
        <v/>
      </c>
      <c r="S376" s="25"/>
      <c r="T376" s="25"/>
      <c r="U376" s="25"/>
      <c r="V376" s="25"/>
      <c r="W376" s="25"/>
      <c r="X376" s="25"/>
    </row>
    <row r="377" spans="1:24" x14ac:dyDescent="0.25">
      <c r="A377" s="31" t="s">
        <v>937</v>
      </c>
      <c r="B377" s="32"/>
      <c r="C377" s="50" t="str">
        <f>IF(B377="","",VLOOKUP(B377,'Product Master'!$B:$G,2,FALSE))</f>
        <v/>
      </c>
      <c r="D377" s="50" t="str">
        <f>IF(B377="","",VLOOKUP(B377,'Product Master'!$B:$G,3,FALSE))</f>
        <v/>
      </c>
      <c r="E377" s="50"/>
      <c r="F377" s="50">
        <f>SUMIF('Stock Purchase'!$D:$D,B377,'Stock Purchase'!$F:$F)</f>
        <v>0</v>
      </c>
      <c r="G377" s="50">
        <f>SUMIFS('Stock Adjustment'!$E:$E,'Stock Adjustment'!$B:$B,$A377,'Stock Adjustment'!$D:$D,"Customer Returned")</f>
        <v>0</v>
      </c>
      <c r="H377" s="50">
        <f>SUMIF('Daily Sales Entry'!$D:$D,B377,'Daily Sales Entry'!$G:$G)</f>
        <v>0</v>
      </c>
      <c r="I377" s="50">
        <f>SUMIFS('Stock Adjustment'!$E:$E,'Stock Adjustment'!$B:$B,$A377,'Stock Adjustment'!$D:$D,"Staff Consumption")</f>
        <v>0</v>
      </c>
      <c r="J377" s="50">
        <f>SUMIFS('Stock Adjustment'!$E:$E,'Stock Adjustment'!$B:$B,$A377,'Stock Adjustment'!$D:$D,"Damaged")</f>
        <v>0</v>
      </c>
      <c r="K377" s="50">
        <f>SUMIFS('Stock Adjustment'!$E:$E,'Stock Adjustment'!$B:$B,$A377,'Stock Adjustment'!$D:$D,"Expired")</f>
        <v>0</v>
      </c>
      <c r="L377" s="50">
        <f>SUMIFS('Stock Adjustment'!$E:$E,'Stock Adjustment'!$B:$B,$A377,'Stock Adjustment'!$D:$D,"Supplier Returned")</f>
        <v>0</v>
      </c>
      <c r="M3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7" s="53" t="str">
        <f>IF(B377="","",VLOOKUP(B377,'Product Master'!$B:$G,4,FALSE))</f>
        <v/>
      </c>
      <c r="O377" s="53" t="str">
        <f>IF(B377="","",VLOOKUP(B377,'Product Master'!$B:$G,5,FALSE))</f>
        <v/>
      </c>
      <c r="P377" s="50" t="str">
        <f>IF(B377="","",VLOOKUP(B377,'Product Master'!$B:$I,7,FALSE))</f>
        <v/>
      </c>
      <c r="Q377" s="158"/>
      <c r="R377" s="58" t="str">
        <f t="shared" si="5"/>
        <v/>
      </c>
      <c r="S377" s="25"/>
      <c r="T377" s="25"/>
      <c r="U377" s="25"/>
      <c r="V377" s="25"/>
      <c r="W377" s="25"/>
      <c r="X377" s="25"/>
    </row>
    <row r="378" spans="1:24" x14ac:dyDescent="0.25">
      <c r="A378" s="31" t="s">
        <v>938</v>
      </c>
      <c r="B378" s="32"/>
      <c r="C378" s="50" t="str">
        <f>IF(B378="","",VLOOKUP(B378,'Product Master'!$B:$G,2,FALSE))</f>
        <v/>
      </c>
      <c r="D378" s="50" t="str">
        <f>IF(B378="","",VLOOKUP(B378,'Product Master'!$B:$G,3,FALSE))</f>
        <v/>
      </c>
      <c r="E378" s="50"/>
      <c r="F378" s="50">
        <f>SUMIF('Stock Purchase'!$D:$D,B378,'Stock Purchase'!$F:$F)</f>
        <v>0</v>
      </c>
      <c r="G378" s="50">
        <f>SUMIFS('Stock Adjustment'!$E:$E,'Stock Adjustment'!$B:$B,$A378,'Stock Adjustment'!$D:$D,"Customer Returned")</f>
        <v>0</v>
      </c>
      <c r="H378" s="50">
        <f>SUMIF('Daily Sales Entry'!$D:$D,B378,'Daily Sales Entry'!$G:$G)</f>
        <v>0</v>
      </c>
      <c r="I378" s="50">
        <f>SUMIFS('Stock Adjustment'!$E:$E,'Stock Adjustment'!$B:$B,$A378,'Stock Adjustment'!$D:$D,"Staff Consumption")</f>
        <v>0</v>
      </c>
      <c r="J378" s="50">
        <f>SUMIFS('Stock Adjustment'!$E:$E,'Stock Adjustment'!$B:$B,$A378,'Stock Adjustment'!$D:$D,"Damaged")</f>
        <v>0</v>
      </c>
      <c r="K378" s="50">
        <f>SUMIFS('Stock Adjustment'!$E:$E,'Stock Adjustment'!$B:$B,$A378,'Stock Adjustment'!$D:$D,"Expired")</f>
        <v>0</v>
      </c>
      <c r="L378" s="50">
        <f>SUMIFS('Stock Adjustment'!$E:$E,'Stock Adjustment'!$B:$B,$A378,'Stock Adjustment'!$D:$D,"Supplier Returned")</f>
        <v>0</v>
      </c>
      <c r="M3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8" s="53" t="str">
        <f>IF(B378="","",VLOOKUP(B378,'Product Master'!$B:$G,4,FALSE))</f>
        <v/>
      </c>
      <c r="O378" s="53" t="str">
        <f>IF(B378="","",VLOOKUP(B378,'Product Master'!$B:$G,5,FALSE))</f>
        <v/>
      </c>
      <c r="P378" s="50" t="str">
        <f>IF(B378="","",VLOOKUP(B378,'Product Master'!$B:$I,7,FALSE))</f>
        <v/>
      </c>
      <c r="Q378" s="158"/>
      <c r="R378" s="58" t="str">
        <f t="shared" si="5"/>
        <v/>
      </c>
      <c r="S378" s="25"/>
      <c r="T378" s="25"/>
      <c r="U378" s="25"/>
      <c r="V378" s="25"/>
      <c r="W378" s="25"/>
      <c r="X378" s="25"/>
    </row>
    <row r="379" spans="1:24" x14ac:dyDescent="0.25">
      <c r="A379" s="31" t="s">
        <v>939</v>
      </c>
      <c r="B379" s="32"/>
      <c r="C379" s="50" t="str">
        <f>IF(B379="","",VLOOKUP(B379,'Product Master'!$B:$G,2,FALSE))</f>
        <v/>
      </c>
      <c r="D379" s="50" t="str">
        <f>IF(B379="","",VLOOKUP(B379,'Product Master'!$B:$G,3,FALSE))</f>
        <v/>
      </c>
      <c r="E379" s="50"/>
      <c r="F379" s="50">
        <f>SUMIF('Stock Purchase'!$D:$D,B379,'Stock Purchase'!$F:$F)</f>
        <v>0</v>
      </c>
      <c r="G379" s="50">
        <f>SUMIFS('Stock Adjustment'!$E:$E,'Stock Adjustment'!$B:$B,$A379,'Stock Adjustment'!$D:$D,"Customer Returned")</f>
        <v>0</v>
      </c>
      <c r="H379" s="50">
        <f>SUMIF('Daily Sales Entry'!$D:$D,B379,'Daily Sales Entry'!$G:$G)</f>
        <v>0</v>
      </c>
      <c r="I379" s="50">
        <f>SUMIFS('Stock Adjustment'!$E:$E,'Stock Adjustment'!$B:$B,$A379,'Stock Adjustment'!$D:$D,"Staff Consumption")</f>
        <v>0</v>
      </c>
      <c r="J379" s="50">
        <f>SUMIFS('Stock Adjustment'!$E:$E,'Stock Adjustment'!$B:$B,$A379,'Stock Adjustment'!$D:$D,"Damaged")</f>
        <v>0</v>
      </c>
      <c r="K379" s="50">
        <f>SUMIFS('Stock Adjustment'!$E:$E,'Stock Adjustment'!$B:$B,$A379,'Stock Adjustment'!$D:$D,"Expired")</f>
        <v>0</v>
      </c>
      <c r="L379" s="50">
        <f>SUMIFS('Stock Adjustment'!$E:$E,'Stock Adjustment'!$B:$B,$A379,'Stock Adjustment'!$D:$D,"Supplier Returned")</f>
        <v>0</v>
      </c>
      <c r="M3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79" s="53" t="str">
        <f>IF(B379="","",VLOOKUP(B379,'Product Master'!$B:$G,4,FALSE))</f>
        <v/>
      </c>
      <c r="O379" s="53" t="str">
        <f>IF(B379="","",VLOOKUP(B379,'Product Master'!$B:$G,5,FALSE))</f>
        <v/>
      </c>
      <c r="P379" s="50" t="str">
        <f>IF(B379="","",VLOOKUP(B379,'Product Master'!$B:$I,7,FALSE))</f>
        <v/>
      </c>
      <c r="Q379" s="158"/>
      <c r="R379" s="58" t="str">
        <f t="shared" si="5"/>
        <v/>
      </c>
      <c r="S379" s="25"/>
      <c r="T379" s="25"/>
      <c r="U379" s="25"/>
      <c r="V379" s="25"/>
      <c r="W379" s="25"/>
      <c r="X379" s="25"/>
    </row>
    <row r="380" spans="1:24" x14ac:dyDescent="0.25">
      <c r="A380" s="31" t="s">
        <v>940</v>
      </c>
      <c r="B380" s="32"/>
      <c r="C380" s="50" t="str">
        <f>IF(B380="","",VLOOKUP(B380,'Product Master'!$B:$G,2,FALSE))</f>
        <v/>
      </c>
      <c r="D380" s="50" t="str">
        <f>IF(B380="","",VLOOKUP(B380,'Product Master'!$B:$G,3,FALSE))</f>
        <v/>
      </c>
      <c r="E380" s="50"/>
      <c r="F380" s="50">
        <f>SUMIF('Stock Purchase'!$D:$D,B380,'Stock Purchase'!$F:$F)</f>
        <v>0</v>
      </c>
      <c r="G380" s="50">
        <f>SUMIFS('Stock Adjustment'!$E:$E,'Stock Adjustment'!$B:$B,$A380,'Stock Adjustment'!$D:$D,"Customer Returned")</f>
        <v>0</v>
      </c>
      <c r="H380" s="50">
        <f>SUMIF('Daily Sales Entry'!$D:$D,B380,'Daily Sales Entry'!$G:$G)</f>
        <v>0</v>
      </c>
      <c r="I380" s="50">
        <f>SUMIFS('Stock Adjustment'!$E:$E,'Stock Adjustment'!$B:$B,$A380,'Stock Adjustment'!$D:$D,"Staff Consumption")</f>
        <v>0</v>
      </c>
      <c r="J380" s="50">
        <f>SUMIFS('Stock Adjustment'!$E:$E,'Stock Adjustment'!$B:$B,$A380,'Stock Adjustment'!$D:$D,"Damaged")</f>
        <v>0</v>
      </c>
      <c r="K380" s="50">
        <f>SUMIFS('Stock Adjustment'!$E:$E,'Stock Adjustment'!$B:$B,$A380,'Stock Adjustment'!$D:$D,"Expired")</f>
        <v>0</v>
      </c>
      <c r="L380" s="50">
        <f>SUMIFS('Stock Adjustment'!$E:$E,'Stock Adjustment'!$B:$B,$A380,'Stock Adjustment'!$D:$D,"Supplier Returned")</f>
        <v>0</v>
      </c>
      <c r="M3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0" s="53" t="str">
        <f>IF(B380="","",VLOOKUP(B380,'Product Master'!$B:$G,4,FALSE))</f>
        <v/>
      </c>
      <c r="O380" s="53" t="str">
        <f>IF(B380="","",VLOOKUP(B380,'Product Master'!$B:$G,5,FALSE))</f>
        <v/>
      </c>
      <c r="P380" s="50" t="str">
        <f>IF(B380="","",VLOOKUP(B380,'Product Master'!$B:$I,7,FALSE))</f>
        <v/>
      </c>
      <c r="Q380" s="158"/>
      <c r="R380" s="58" t="str">
        <f t="shared" si="5"/>
        <v/>
      </c>
      <c r="S380" s="25"/>
      <c r="T380" s="25"/>
      <c r="U380" s="25"/>
      <c r="V380" s="25"/>
      <c r="W380" s="25"/>
      <c r="X380" s="25"/>
    </row>
    <row r="381" spans="1:24" x14ac:dyDescent="0.25">
      <c r="A381" s="31" t="s">
        <v>941</v>
      </c>
      <c r="B381" s="32"/>
      <c r="C381" s="50" t="str">
        <f>IF(B381="","",VLOOKUP(B381,'Product Master'!$B:$G,2,FALSE))</f>
        <v/>
      </c>
      <c r="D381" s="50" t="str">
        <f>IF(B381="","",VLOOKUP(B381,'Product Master'!$B:$G,3,FALSE))</f>
        <v/>
      </c>
      <c r="E381" s="50"/>
      <c r="F381" s="50">
        <f>SUMIF('Stock Purchase'!$D:$D,B381,'Stock Purchase'!$F:$F)</f>
        <v>0</v>
      </c>
      <c r="G381" s="50">
        <f>SUMIFS('Stock Adjustment'!$E:$E,'Stock Adjustment'!$B:$B,$A381,'Stock Adjustment'!$D:$D,"Customer Returned")</f>
        <v>0</v>
      </c>
      <c r="H381" s="50">
        <f>SUMIF('Daily Sales Entry'!$D:$D,B381,'Daily Sales Entry'!$G:$G)</f>
        <v>0</v>
      </c>
      <c r="I381" s="50">
        <f>SUMIFS('Stock Adjustment'!$E:$E,'Stock Adjustment'!$B:$B,$A381,'Stock Adjustment'!$D:$D,"Staff Consumption")</f>
        <v>0</v>
      </c>
      <c r="J381" s="50">
        <f>SUMIFS('Stock Adjustment'!$E:$E,'Stock Adjustment'!$B:$B,$A381,'Stock Adjustment'!$D:$D,"Damaged")</f>
        <v>0</v>
      </c>
      <c r="K381" s="50">
        <f>SUMIFS('Stock Adjustment'!$E:$E,'Stock Adjustment'!$B:$B,$A381,'Stock Adjustment'!$D:$D,"Expired")</f>
        <v>0</v>
      </c>
      <c r="L381" s="50">
        <f>SUMIFS('Stock Adjustment'!$E:$E,'Stock Adjustment'!$B:$B,$A381,'Stock Adjustment'!$D:$D,"Supplier Returned")</f>
        <v>0</v>
      </c>
      <c r="M3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1" s="53" t="str">
        <f>IF(B381="","",VLOOKUP(B381,'Product Master'!$B:$G,4,FALSE))</f>
        <v/>
      </c>
      <c r="O381" s="53" t="str">
        <f>IF(B381="","",VLOOKUP(B381,'Product Master'!$B:$G,5,FALSE))</f>
        <v/>
      </c>
      <c r="P381" s="50" t="str">
        <f>IF(B381="","",VLOOKUP(B381,'Product Master'!$B:$I,7,FALSE))</f>
        <v/>
      </c>
      <c r="Q381" s="158"/>
      <c r="R381" s="58" t="str">
        <f t="shared" si="5"/>
        <v/>
      </c>
      <c r="S381" s="25"/>
      <c r="T381" s="25"/>
      <c r="U381" s="25"/>
      <c r="V381" s="25"/>
      <c r="W381" s="25"/>
      <c r="X381" s="25"/>
    </row>
    <row r="382" spans="1:24" x14ac:dyDescent="0.25">
      <c r="A382" s="31" t="s">
        <v>942</v>
      </c>
      <c r="B382" s="32"/>
      <c r="C382" s="50" t="str">
        <f>IF(B382="","",VLOOKUP(B382,'Product Master'!$B:$G,2,FALSE))</f>
        <v/>
      </c>
      <c r="D382" s="50" t="str">
        <f>IF(B382="","",VLOOKUP(B382,'Product Master'!$B:$G,3,FALSE))</f>
        <v/>
      </c>
      <c r="E382" s="50"/>
      <c r="F382" s="50">
        <f>SUMIF('Stock Purchase'!$D:$D,B382,'Stock Purchase'!$F:$F)</f>
        <v>0</v>
      </c>
      <c r="G382" s="50">
        <f>SUMIFS('Stock Adjustment'!$E:$E,'Stock Adjustment'!$B:$B,$A382,'Stock Adjustment'!$D:$D,"Customer Returned")</f>
        <v>0</v>
      </c>
      <c r="H382" s="50">
        <f>SUMIF('Daily Sales Entry'!$D:$D,B382,'Daily Sales Entry'!$G:$G)</f>
        <v>0</v>
      </c>
      <c r="I382" s="50">
        <f>SUMIFS('Stock Adjustment'!$E:$E,'Stock Adjustment'!$B:$B,$A382,'Stock Adjustment'!$D:$D,"Staff Consumption")</f>
        <v>0</v>
      </c>
      <c r="J382" s="50">
        <f>SUMIFS('Stock Adjustment'!$E:$E,'Stock Adjustment'!$B:$B,$A382,'Stock Adjustment'!$D:$D,"Damaged")</f>
        <v>0</v>
      </c>
      <c r="K382" s="50">
        <f>SUMIFS('Stock Adjustment'!$E:$E,'Stock Adjustment'!$B:$B,$A382,'Stock Adjustment'!$D:$D,"Expired")</f>
        <v>0</v>
      </c>
      <c r="L382" s="50">
        <f>SUMIFS('Stock Adjustment'!$E:$E,'Stock Adjustment'!$B:$B,$A382,'Stock Adjustment'!$D:$D,"Supplier Returned")</f>
        <v>0</v>
      </c>
      <c r="M3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2" s="53" t="str">
        <f>IF(B382="","",VLOOKUP(B382,'Product Master'!$B:$G,4,FALSE))</f>
        <v/>
      </c>
      <c r="O382" s="53" t="str">
        <f>IF(B382="","",VLOOKUP(B382,'Product Master'!$B:$G,5,FALSE))</f>
        <v/>
      </c>
      <c r="P382" s="50" t="str">
        <f>IF(B382="","",VLOOKUP(B382,'Product Master'!$B:$I,7,FALSE))</f>
        <v/>
      </c>
      <c r="Q382" s="158"/>
      <c r="R382" s="58" t="str">
        <f t="shared" si="5"/>
        <v/>
      </c>
      <c r="S382" s="25"/>
      <c r="T382" s="25"/>
      <c r="U382" s="25"/>
      <c r="V382" s="25"/>
      <c r="W382" s="25"/>
      <c r="X382" s="25"/>
    </row>
    <row r="383" spans="1:24" x14ac:dyDescent="0.25">
      <c r="A383" s="31" t="s">
        <v>943</v>
      </c>
      <c r="B383" s="32"/>
      <c r="C383" s="50" t="str">
        <f>IF(B383="","",VLOOKUP(B383,'Product Master'!$B:$G,2,FALSE))</f>
        <v/>
      </c>
      <c r="D383" s="50" t="str">
        <f>IF(B383="","",VLOOKUP(B383,'Product Master'!$B:$G,3,FALSE))</f>
        <v/>
      </c>
      <c r="E383" s="50"/>
      <c r="F383" s="50">
        <f>SUMIF('Stock Purchase'!$D:$D,B383,'Stock Purchase'!$F:$F)</f>
        <v>0</v>
      </c>
      <c r="G383" s="50">
        <f>SUMIFS('Stock Adjustment'!$E:$E,'Stock Adjustment'!$B:$B,$A383,'Stock Adjustment'!$D:$D,"Customer Returned")</f>
        <v>0</v>
      </c>
      <c r="H383" s="50">
        <f>SUMIF('Daily Sales Entry'!$D:$D,B383,'Daily Sales Entry'!$G:$G)</f>
        <v>0</v>
      </c>
      <c r="I383" s="50">
        <f>SUMIFS('Stock Adjustment'!$E:$E,'Stock Adjustment'!$B:$B,$A383,'Stock Adjustment'!$D:$D,"Staff Consumption")</f>
        <v>0</v>
      </c>
      <c r="J383" s="50">
        <f>SUMIFS('Stock Adjustment'!$E:$E,'Stock Adjustment'!$B:$B,$A383,'Stock Adjustment'!$D:$D,"Damaged")</f>
        <v>0</v>
      </c>
      <c r="K383" s="50">
        <f>SUMIFS('Stock Adjustment'!$E:$E,'Stock Adjustment'!$B:$B,$A383,'Stock Adjustment'!$D:$D,"Expired")</f>
        <v>0</v>
      </c>
      <c r="L383" s="50">
        <f>SUMIFS('Stock Adjustment'!$E:$E,'Stock Adjustment'!$B:$B,$A383,'Stock Adjustment'!$D:$D,"Supplier Returned")</f>
        <v>0</v>
      </c>
      <c r="M3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3" s="53" t="str">
        <f>IF(B383="","",VLOOKUP(B383,'Product Master'!$B:$G,4,FALSE))</f>
        <v/>
      </c>
      <c r="O383" s="53" t="str">
        <f>IF(B383="","",VLOOKUP(B383,'Product Master'!$B:$G,5,FALSE))</f>
        <v/>
      </c>
      <c r="P383" s="50" t="str">
        <f>IF(B383="","",VLOOKUP(B383,'Product Master'!$B:$I,7,FALSE))</f>
        <v/>
      </c>
      <c r="Q383" s="158"/>
      <c r="R383" s="58" t="str">
        <f t="shared" si="5"/>
        <v/>
      </c>
      <c r="S383" s="25"/>
      <c r="T383" s="25"/>
      <c r="U383" s="25"/>
      <c r="V383" s="25"/>
      <c r="W383" s="25"/>
      <c r="X383" s="25"/>
    </row>
    <row r="384" spans="1:24" x14ac:dyDescent="0.25">
      <c r="A384" s="31" t="s">
        <v>944</v>
      </c>
      <c r="B384" s="32"/>
      <c r="C384" s="50" t="str">
        <f>IF(B384="","",VLOOKUP(B384,'Product Master'!$B:$G,2,FALSE))</f>
        <v/>
      </c>
      <c r="D384" s="50" t="str">
        <f>IF(B384="","",VLOOKUP(B384,'Product Master'!$B:$G,3,FALSE))</f>
        <v/>
      </c>
      <c r="E384" s="50"/>
      <c r="F384" s="50">
        <f>SUMIF('Stock Purchase'!$D:$D,B384,'Stock Purchase'!$F:$F)</f>
        <v>0</v>
      </c>
      <c r="G384" s="50">
        <f>SUMIFS('Stock Adjustment'!$E:$E,'Stock Adjustment'!$B:$B,$A384,'Stock Adjustment'!$D:$D,"Customer Returned")</f>
        <v>0</v>
      </c>
      <c r="H384" s="50">
        <f>SUMIF('Daily Sales Entry'!$D:$D,B384,'Daily Sales Entry'!$G:$G)</f>
        <v>0</v>
      </c>
      <c r="I384" s="50">
        <f>SUMIFS('Stock Adjustment'!$E:$E,'Stock Adjustment'!$B:$B,$A384,'Stock Adjustment'!$D:$D,"Staff Consumption")</f>
        <v>0</v>
      </c>
      <c r="J384" s="50">
        <f>SUMIFS('Stock Adjustment'!$E:$E,'Stock Adjustment'!$B:$B,$A384,'Stock Adjustment'!$D:$D,"Damaged")</f>
        <v>0</v>
      </c>
      <c r="K384" s="50">
        <f>SUMIFS('Stock Adjustment'!$E:$E,'Stock Adjustment'!$B:$B,$A384,'Stock Adjustment'!$D:$D,"Expired")</f>
        <v>0</v>
      </c>
      <c r="L384" s="50">
        <f>SUMIFS('Stock Adjustment'!$E:$E,'Stock Adjustment'!$B:$B,$A384,'Stock Adjustment'!$D:$D,"Supplier Returned")</f>
        <v>0</v>
      </c>
      <c r="M3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4" s="53" t="str">
        <f>IF(B384="","",VLOOKUP(B384,'Product Master'!$B:$G,4,FALSE))</f>
        <v/>
      </c>
      <c r="O384" s="53" t="str">
        <f>IF(B384="","",VLOOKUP(B384,'Product Master'!$B:$G,5,FALSE))</f>
        <v/>
      </c>
      <c r="P384" s="50" t="str">
        <f>IF(B384="","",VLOOKUP(B384,'Product Master'!$B:$I,7,FALSE))</f>
        <v/>
      </c>
      <c r="Q384" s="158"/>
      <c r="R384" s="58" t="str">
        <f t="shared" si="5"/>
        <v/>
      </c>
      <c r="S384" s="25"/>
      <c r="T384" s="25"/>
      <c r="U384" s="25"/>
      <c r="V384" s="25"/>
      <c r="W384" s="25"/>
      <c r="X384" s="25"/>
    </row>
    <row r="385" spans="1:24" x14ac:dyDescent="0.25">
      <c r="A385" s="31" t="s">
        <v>945</v>
      </c>
      <c r="B385" s="32"/>
      <c r="C385" s="50" t="str">
        <f>IF(B385="","",VLOOKUP(B385,'Product Master'!$B:$G,2,FALSE))</f>
        <v/>
      </c>
      <c r="D385" s="50" t="str">
        <f>IF(B385="","",VLOOKUP(B385,'Product Master'!$B:$G,3,FALSE))</f>
        <v/>
      </c>
      <c r="E385" s="50"/>
      <c r="F385" s="50">
        <f>SUMIF('Stock Purchase'!$D:$D,B385,'Stock Purchase'!$F:$F)</f>
        <v>0</v>
      </c>
      <c r="G385" s="50">
        <f>SUMIFS('Stock Adjustment'!$E:$E,'Stock Adjustment'!$B:$B,$A385,'Stock Adjustment'!$D:$D,"Customer Returned")</f>
        <v>0</v>
      </c>
      <c r="H385" s="50">
        <f>SUMIF('Daily Sales Entry'!$D:$D,B385,'Daily Sales Entry'!$G:$G)</f>
        <v>0</v>
      </c>
      <c r="I385" s="50">
        <f>SUMIFS('Stock Adjustment'!$E:$E,'Stock Adjustment'!$B:$B,$A385,'Stock Adjustment'!$D:$D,"Staff Consumption")</f>
        <v>0</v>
      </c>
      <c r="J385" s="50">
        <f>SUMIFS('Stock Adjustment'!$E:$E,'Stock Adjustment'!$B:$B,$A385,'Stock Adjustment'!$D:$D,"Damaged")</f>
        <v>0</v>
      </c>
      <c r="K385" s="50">
        <f>SUMIFS('Stock Adjustment'!$E:$E,'Stock Adjustment'!$B:$B,$A385,'Stock Adjustment'!$D:$D,"Expired")</f>
        <v>0</v>
      </c>
      <c r="L385" s="50">
        <f>SUMIFS('Stock Adjustment'!$E:$E,'Stock Adjustment'!$B:$B,$A385,'Stock Adjustment'!$D:$D,"Supplier Returned")</f>
        <v>0</v>
      </c>
      <c r="M3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5" s="53" t="str">
        <f>IF(B385="","",VLOOKUP(B385,'Product Master'!$B:$G,4,FALSE))</f>
        <v/>
      </c>
      <c r="O385" s="53" t="str">
        <f>IF(B385="","",VLOOKUP(B385,'Product Master'!$B:$G,5,FALSE))</f>
        <v/>
      </c>
      <c r="P385" s="50" t="str">
        <f>IF(B385="","",VLOOKUP(B385,'Product Master'!$B:$I,7,FALSE))</f>
        <v/>
      </c>
      <c r="Q385" s="158"/>
      <c r="R385" s="58" t="str">
        <f t="shared" si="5"/>
        <v/>
      </c>
      <c r="S385" s="25"/>
      <c r="T385" s="25"/>
      <c r="U385" s="25"/>
      <c r="V385" s="25"/>
      <c r="W385" s="25"/>
      <c r="X385" s="25"/>
    </row>
    <row r="386" spans="1:24" x14ac:dyDescent="0.25">
      <c r="A386" s="31" t="s">
        <v>946</v>
      </c>
      <c r="B386" s="32"/>
      <c r="C386" s="50" t="str">
        <f>IF(B386="","",VLOOKUP(B386,'Product Master'!$B:$G,2,FALSE))</f>
        <v/>
      </c>
      <c r="D386" s="50" t="str">
        <f>IF(B386="","",VLOOKUP(B386,'Product Master'!$B:$G,3,FALSE))</f>
        <v/>
      </c>
      <c r="E386" s="50"/>
      <c r="F386" s="50">
        <f>SUMIF('Stock Purchase'!$D:$D,B386,'Stock Purchase'!$F:$F)</f>
        <v>0</v>
      </c>
      <c r="G386" s="50">
        <f>SUMIFS('Stock Adjustment'!$E:$E,'Stock Adjustment'!$B:$B,$A386,'Stock Adjustment'!$D:$D,"Customer Returned")</f>
        <v>0</v>
      </c>
      <c r="H386" s="50">
        <f>SUMIF('Daily Sales Entry'!$D:$D,B386,'Daily Sales Entry'!$G:$G)</f>
        <v>0</v>
      </c>
      <c r="I386" s="50">
        <f>SUMIFS('Stock Adjustment'!$E:$E,'Stock Adjustment'!$B:$B,$A386,'Stock Adjustment'!$D:$D,"Staff Consumption")</f>
        <v>0</v>
      </c>
      <c r="J386" s="50">
        <f>SUMIFS('Stock Adjustment'!$E:$E,'Stock Adjustment'!$B:$B,$A386,'Stock Adjustment'!$D:$D,"Damaged")</f>
        <v>0</v>
      </c>
      <c r="K386" s="50">
        <f>SUMIFS('Stock Adjustment'!$E:$E,'Stock Adjustment'!$B:$B,$A386,'Stock Adjustment'!$D:$D,"Expired")</f>
        <v>0</v>
      </c>
      <c r="L386" s="50">
        <f>SUMIFS('Stock Adjustment'!$E:$E,'Stock Adjustment'!$B:$B,$A386,'Stock Adjustment'!$D:$D,"Supplier Returned")</f>
        <v>0</v>
      </c>
      <c r="M3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6" s="53" t="str">
        <f>IF(B386="","",VLOOKUP(B386,'Product Master'!$B:$G,4,FALSE))</f>
        <v/>
      </c>
      <c r="O386" s="53" t="str">
        <f>IF(B386="","",VLOOKUP(B386,'Product Master'!$B:$G,5,FALSE))</f>
        <v/>
      </c>
      <c r="P386" s="50" t="str">
        <f>IF(B386="","",VLOOKUP(B386,'Product Master'!$B:$I,7,FALSE))</f>
        <v/>
      </c>
      <c r="Q386" s="158"/>
      <c r="R386" s="58" t="str">
        <f t="shared" ref="R386:R449" si="6">IF(B386="","",IF(M386=0,"Out of Stock",IF(M386&lt;=10,"Low Stock","In Stock")))</f>
        <v/>
      </c>
      <c r="S386" s="25"/>
      <c r="T386" s="25"/>
      <c r="U386" s="25"/>
      <c r="V386" s="25"/>
      <c r="W386" s="25"/>
      <c r="X386" s="25"/>
    </row>
    <row r="387" spans="1:24" x14ac:dyDescent="0.25">
      <c r="A387" s="31" t="s">
        <v>947</v>
      </c>
      <c r="B387" s="32"/>
      <c r="C387" s="50" t="str">
        <f>IF(B387="","",VLOOKUP(B387,'Product Master'!$B:$G,2,FALSE))</f>
        <v/>
      </c>
      <c r="D387" s="50" t="str">
        <f>IF(B387="","",VLOOKUP(B387,'Product Master'!$B:$G,3,FALSE))</f>
        <v/>
      </c>
      <c r="E387" s="50"/>
      <c r="F387" s="50">
        <f>SUMIF('Stock Purchase'!$D:$D,B387,'Stock Purchase'!$F:$F)</f>
        <v>0</v>
      </c>
      <c r="G387" s="50">
        <f>SUMIFS('Stock Adjustment'!$E:$E,'Stock Adjustment'!$B:$B,$A387,'Stock Adjustment'!$D:$D,"Customer Returned")</f>
        <v>0</v>
      </c>
      <c r="H387" s="50">
        <f>SUMIF('Daily Sales Entry'!$D:$D,B387,'Daily Sales Entry'!$G:$G)</f>
        <v>0</v>
      </c>
      <c r="I387" s="50">
        <f>SUMIFS('Stock Adjustment'!$E:$E,'Stock Adjustment'!$B:$B,$A387,'Stock Adjustment'!$D:$D,"Staff Consumption")</f>
        <v>0</v>
      </c>
      <c r="J387" s="50">
        <f>SUMIFS('Stock Adjustment'!$E:$E,'Stock Adjustment'!$B:$B,$A387,'Stock Adjustment'!$D:$D,"Damaged")</f>
        <v>0</v>
      </c>
      <c r="K387" s="50">
        <f>SUMIFS('Stock Adjustment'!$E:$E,'Stock Adjustment'!$B:$B,$A387,'Stock Adjustment'!$D:$D,"Expired")</f>
        <v>0</v>
      </c>
      <c r="L387" s="50">
        <f>SUMIFS('Stock Adjustment'!$E:$E,'Stock Adjustment'!$B:$B,$A387,'Stock Adjustment'!$D:$D,"Supplier Returned")</f>
        <v>0</v>
      </c>
      <c r="M3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7" s="53" t="str">
        <f>IF(B387="","",VLOOKUP(B387,'Product Master'!$B:$G,4,FALSE))</f>
        <v/>
      </c>
      <c r="O387" s="53" t="str">
        <f>IF(B387="","",VLOOKUP(B387,'Product Master'!$B:$G,5,FALSE))</f>
        <v/>
      </c>
      <c r="P387" s="50" t="str">
        <f>IF(B387="","",VLOOKUP(B387,'Product Master'!$B:$I,7,FALSE))</f>
        <v/>
      </c>
      <c r="Q387" s="158"/>
      <c r="R387" s="58" t="str">
        <f t="shared" si="6"/>
        <v/>
      </c>
      <c r="S387" s="25"/>
      <c r="T387" s="25"/>
      <c r="U387" s="25"/>
      <c r="V387" s="25"/>
      <c r="W387" s="25"/>
      <c r="X387" s="25"/>
    </row>
    <row r="388" spans="1:24" x14ac:dyDescent="0.25">
      <c r="A388" s="31" t="s">
        <v>948</v>
      </c>
      <c r="B388" s="32"/>
      <c r="C388" s="50" t="str">
        <f>IF(B388="","",VLOOKUP(B388,'Product Master'!$B:$G,2,FALSE))</f>
        <v/>
      </c>
      <c r="D388" s="50" t="str">
        <f>IF(B388="","",VLOOKUP(B388,'Product Master'!$B:$G,3,FALSE))</f>
        <v/>
      </c>
      <c r="E388" s="50"/>
      <c r="F388" s="50">
        <f>SUMIF('Stock Purchase'!$D:$D,B388,'Stock Purchase'!$F:$F)</f>
        <v>0</v>
      </c>
      <c r="G388" s="50">
        <f>SUMIFS('Stock Adjustment'!$E:$E,'Stock Adjustment'!$B:$B,$A388,'Stock Adjustment'!$D:$D,"Customer Returned")</f>
        <v>0</v>
      </c>
      <c r="H388" s="50">
        <f>SUMIF('Daily Sales Entry'!$D:$D,B388,'Daily Sales Entry'!$G:$G)</f>
        <v>0</v>
      </c>
      <c r="I388" s="50">
        <f>SUMIFS('Stock Adjustment'!$E:$E,'Stock Adjustment'!$B:$B,$A388,'Stock Adjustment'!$D:$D,"Staff Consumption")</f>
        <v>0</v>
      </c>
      <c r="J388" s="50">
        <f>SUMIFS('Stock Adjustment'!$E:$E,'Stock Adjustment'!$B:$B,$A388,'Stock Adjustment'!$D:$D,"Damaged")</f>
        <v>0</v>
      </c>
      <c r="K388" s="50">
        <f>SUMIFS('Stock Adjustment'!$E:$E,'Stock Adjustment'!$B:$B,$A388,'Stock Adjustment'!$D:$D,"Expired")</f>
        <v>0</v>
      </c>
      <c r="L388" s="50">
        <f>SUMIFS('Stock Adjustment'!$E:$E,'Stock Adjustment'!$B:$B,$A388,'Stock Adjustment'!$D:$D,"Supplier Returned")</f>
        <v>0</v>
      </c>
      <c r="M3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8" s="53" t="str">
        <f>IF(B388="","",VLOOKUP(B388,'Product Master'!$B:$G,4,FALSE))</f>
        <v/>
      </c>
      <c r="O388" s="53" t="str">
        <f>IF(B388="","",VLOOKUP(B388,'Product Master'!$B:$G,5,FALSE))</f>
        <v/>
      </c>
      <c r="P388" s="50" t="str">
        <f>IF(B388="","",VLOOKUP(B388,'Product Master'!$B:$I,7,FALSE))</f>
        <v/>
      </c>
      <c r="Q388" s="158"/>
      <c r="R388" s="58" t="str">
        <f t="shared" si="6"/>
        <v/>
      </c>
      <c r="S388" s="25"/>
      <c r="T388" s="25"/>
      <c r="U388" s="25"/>
      <c r="V388" s="25"/>
      <c r="W388" s="25"/>
      <c r="X388" s="25"/>
    </row>
    <row r="389" spans="1:24" x14ac:dyDescent="0.25">
      <c r="A389" s="31" t="s">
        <v>949</v>
      </c>
      <c r="B389" s="32"/>
      <c r="C389" s="50" t="str">
        <f>IF(B389="","",VLOOKUP(B389,'Product Master'!$B:$G,2,FALSE))</f>
        <v/>
      </c>
      <c r="D389" s="50" t="str">
        <f>IF(B389="","",VLOOKUP(B389,'Product Master'!$B:$G,3,FALSE))</f>
        <v/>
      </c>
      <c r="E389" s="50"/>
      <c r="F389" s="50">
        <f>SUMIF('Stock Purchase'!$D:$D,B389,'Stock Purchase'!$F:$F)</f>
        <v>0</v>
      </c>
      <c r="G389" s="50">
        <f>SUMIFS('Stock Adjustment'!$E:$E,'Stock Adjustment'!$B:$B,$A389,'Stock Adjustment'!$D:$D,"Customer Returned")</f>
        <v>0</v>
      </c>
      <c r="H389" s="50">
        <f>SUMIF('Daily Sales Entry'!$D:$D,B389,'Daily Sales Entry'!$G:$G)</f>
        <v>0</v>
      </c>
      <c r="I389" s="50">
        <f>SUMIFS('Stock Adjustment'!$E:$E,'Stock Adjustment'!$B:$B,$A389,'Stock Adjustment'!$D:$D,"Staff Consumption")</f>
        <v>0</v>
      </c>
      <c r="J389" s="50">
        <f>SUMIFS('Stock Adjustment'!$E:$E,'Stock Adjustment'!$B:$B,$A389,'Stock Adjustment'!$D:$D,"Damaged")</f>
        <v>0</v>
      </c>
      <c r="K389" s="50">
        <f>SUMIFS('Stock Adjustment'!$E:$E,'Stock Adjustment'!$B:$B,$A389,'Stock Adjustment'!$D:$D,"Expired")</f>
        <v>0</v>
      </c>
      <c r="L389" s="50">
        <f>SUMIFS('Stock Adjustment'!$E:$E,'Stock Adjustment'!$B:$B,$A389,'Stock Adjustment'!$D:$D,"Supplier Returned")</f>
        <v>0</v>
      </c>
      <c r="M3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89" s="53" t="str">
        <f>IF(B389="","",VLOOKUP(B389,'Product Master'!$B:$G,4,FALSE))</f>
        <v/>
      </c>
      <c r="O389" s="53" t="str">
        <f>IF(B389="","",VLOOKUP(B389,'Product Master'!$B:$G,5,FALSE))</f>
        <v/>
      </c>
      <c r="P389" s="50" t="str">
        <f>IF(B389="","",VLOOKUP(B389,'Product Master'!$B:$I,7,FALSE))</f>
        <v/>
      </c>
      <c r="Q389" s="158"/>
      <c r="R389" s="58" t="str">
        <f t="shared" si="6"/>
        <v/>
      </c>
      <c r="S389" s="25"/>
      <c r="T389" s="25"/>
      <c r="U389" s="25"/>
      <c r="V389" s="25"/>
      <c r="W389" s="25"/>
      <c r="X389" s="25"/>
    </row>
    <row r="390" spans="1:24" x14ac:dyDescent="0.25">
      <c r="A390" s="31" t="s">
        <v>950</v>
      </c>
      <c r="B390" s="32"/>
      <c r="C390" s="50" t="str">
        <f>IF(B390="","",VLOOKUP(B390,'Product Master'!$B:$G,2,FALSE))</f>
        <v/>
      </c>
      <c r="D390" s="50" t="str">
        <f>IF(B390="","",VLOOKUP(B390,'Product Master'!$B:$G,3,FALSE))</f>
        <v/>
      </c>
      <c r="E390" s="50"/>
      <c r="F390" s="50">
        <f>SUMIF('Stock Purchase'!$D:$D,B390,'Stock Purchase'!$F:$F)</f>
        <v>0</v>
      </c>
      <c r="G390" s="50">
        <f>SUMIFS('Stock Adjustment'!$E:$E,'Stock Adjustment'!$B:$B,$A390,'Stock Adjustment'!$D:$D,"Customer Returned")</f>
        <v>0</v>
      </c>
      <c r="H390" s="50">
        <f>SUMIF('Daily Sales Entry'!$D:$D,B390,'Daily Sales Entry'!$G:$G)</f>
        <v>0</v>
      </c>
      <c r="I390" s="50">
        <f>SUMIFS('Stock Adjustment'!$E:$E,'Stock Adjustment'!$B:$B,$A390,'Stock Adjustment'!$D:$D,"Staff Consumption")</f>
        <v>0</v>
      </c>
      <c r="J390" s="50">
        <f>SUMIFS('Stock Adjustment'!$E:$E,'Stock Adjustment'!$B:$B,$A390,'Stock Adjustment'!$D:$D,"Damaged")</f>
        <v>0</v>
      </c>
      <c r="K390" s="50">
        <f>SUMIFS('Stock Adjustment'!$E:$E,'Stock Adjustment'!$B:$B,$A390,'Stock Adjustment'!$D:$D,"Expired")</f>
        <v>0</v>
      </c>
      <c r="L390" s="50">
        <f>SUMIFS('Stock Adjustment'!$E:$E,'Stock Adjustment'!$B:$B,$A390,'Stock Adjustment'!$D:$D,"Supplier Returned")</f>
        <v>0</v>
      </c>
      <c r="M3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0" s="53" t="str">
        <f>IF(B390="","",VLOOKUP(B390,'Product Master'!$B:$G,4,FALSE))</f>
        <v/>
      </c>
      <c r="O390" s="53" t="str">
        <f>IF(B390="","",VLOOKUP(B390,'Product Master'!$B:$G,5,FALSE))</f>
        <v/>
      </c>
      <c r="P390" s="50" t="str">
        <f>IF(B390="","",VLOOKUP(B390,'Product Master'!$B:$I,7,FALSE))</f>
        <v/>
      </c>
      <c r="Q390" s="158"/>
      <c r="R390" s="58" t="str">
        <f t="shared" si="6"/>
        <v/>
      </c>
      <c r="S390" s="25"/>
      <c r="T390" s="25"/>
      <c r="U390" s="25"/>
      <c r="V390" s="25"/>
      <c r="W390" s="25"/>
      <c r="X390" s="25"/>
    </row>
    <row r="391" spans="1:24" x14ac:dyDescent="0.25">
      <c r="A391" s="31" t="s">
        <v>951</v>
      </c>
      <c r="B391" s="32"/>
      <c r="C391" s="50" t="str">
        <f>IF(B391="","",VLOOKUP(B391,'Product Master'!$B:$G,2,FALSE))</f>
        <v/>
      </c>
      <c r="D391" s="50" t="str">
        <f>IF(B391="","",VLOOKUP(B391,'Product Master'!$B:$G,3,FALSE))</f>
        <v/>
      </c>
      <c r="E391" s="50"/>
      <c r="F391" s="50">
        <f>SUMIF('Stock Purchase'!$D:$D,B391,'Stock Purchase'!$F:$F)</f>
        <v>0</v>
      </c>
      <c r="G391" s="50">
        <f>SUMIFS('Stock Adjustment'!$E:$E,'Stock Adjustment'!$B:$B,$A391,'Stock Adjustment'!$D:$D,"Customer Returned")</f>
        <v>0</v>
      </c>
      <c r="H391" s="50">
        <f>SUMIF('Daily Sales Entry'!$D:$D,B391,'Daily Sales Entry'!$G:$G)</f>
        <v>0</v>
      </c>
      <c r="I391" s="50">
        <f>SUMIFS('Stock Adjustment'!$E:$E,'Stock Adjustment'!$B:$B,$A391,'Stock Adjustment'!$D:$D,"Staff Consumption")</f>
        <v>0</v>
      </c>
      <c r="J391" s="50">
        <f>SUMIFS('Stock Adjustment'!$E:$E,'Stock Adjustment'!$B:$B,$A391,'Stock Adjustment'!$D:$D,"Damaged")</f>
        <v>0</v>
      </c>
      <c r="K391" s="50">
        <f>SUMIFS('Stock Adjustment'!$E:$E,'Stock Adjustment'!$B:$B,$A391,'Stock Adjustment'!$D:$D,"Expired")</f>
        <v>0</v>
      </c>
      <c r="L391" s="50">
        <f>SUMIFS('Stock Adjustment'!$E:$E,'Stock Adjustment'!$B:$B,$A391,'Stock Adjustment'!$D:$D,"Supplier Returned")</f>
        <v>0</v>
      </c>
      <c r="M3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1" s="53" t="str">
        <f>IF(B391="","",VLOOKUP(B391,'Product Master'!$B:$G,4,FALSE))</f>
        <v/>
      </c>
      <c r="O391" s="53" t="str">
        <f>IF(B391="","",VLOOKUP(B391,'Product Master'!$B:$G,5,FALSE))</f>
        <v/>
      </c>
      <c r="P391" s="50" t="str">
        <f>IF(B391="","",VLOOKUP(B391,'Product Master'!$B:$I,7,FALSE))</f>
        <v/>
      </c>
      <c r="Q391" s="158"/>
      <c r="R391" s="58" t="str">
        <f t="shared" si="6"/>
        <v/>
      </c>
      <c r="S391" s="25"/>
      <c r="T391" s="25"/>
      <c r="U391" s="25"/>
      <c r="V391" s="25"/>
      <c r="W391" s="25"/>
      <c r="X391" s="25"/>
    </row>
    <row r="392" spans="1:24" x14ac:dyDescent="0.25">
      <c r="A392" s="31" t="s">
        <v>952</v>
      </c>
      <c r="B392" s="32"/>
      <c r="C392" s="50" t="str">
        <f>IF(B392="","",VLOOKUP(B392,'Product Master'!$B:$G,2,FALSE))</f>
        <v/>
      </c>
      <c r="D392" s="50" t="str">
        <f>IF(B392="","",VLOOKUP(B392,'Product Master'!$B:$G,3,FALSE))</f>
        <v/>
      </c>
      <c r="E392" s="50"/>
      <c r="F392" s="50">
        <f>SUMIF('Stock Purchase'!$D:$D,B392,'Stock Purchase'!$F:$F)</f>
        <v>0</v>
      </c>
      <c r="G392" s="50">
        <f>SUMIFS('Stock Adjustment'!$E:$E,'Stock Adjustment'!$B:$B,$A392,'Stock Adjustment'!$D:$D,"Customer Returned")</f>
        <v>0</v>
      </c>
      <c r="H392" s="50">
        <f>SUMIF('Daily Sales Entry'!$D:$D,B392,'Daily Sales Entry'!$G:$G)</f>
        <v>0</v>
      </c>
      <c r="I392" s="50">
        <f>SUMIFS('Stock Adjustment'!$E:$E,'Stock Adjustment'!$B:$B,$A392,'Stock Adjustment'!$D:$D,"Staff Consumption")</f>
        <v>0</v>
      </c>
      <c r="J392" s="50">
        <f>SUMIFS('Stock Adjustment'!$E:$E,'Stock Adjustment'!$B:$B,$A392,'Stock Adjustment'!$D:$D,"Damaged")</f>
        <v>0</v>
      </c>
      <c r="K392" s="50">
        <f>SUMIFS('Stock Adjustment'!$E:$E,'Stock Adjustment'!$B:$B,$A392,'Stock Adjustment'!$D:$D,"Expired")</f>
        <v>0</v>
      </c>
      <c r="L392" s="50">
        <f>SUMIFS('Stock Adjustment'!$E:$E,'Stock Adjustment'!$B:$B,$A392,'Stock Adjustment'!$D:$D,"Supplier Returned")</f>
        <v>0</v>
      </c>
      <c r="M3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2" s="53" t="str">
        <f>IF(B392="","",VLOOKUP(B392,'Product Master'!$B:$G,4,FALSE))</f>
        <v/>
      </c>
      <c r="O392" s="53" t="str">
        <f>IF(B392="","",VLOOKUP(B392,'Product Master'!$B:$G,5,FALSE))</f>
        <v/>
      </c>
      <c r="P392" s="50" t="str">
        <f>IF(B392="","",VLOOKUP(B392,'Product Master'!$B:$I,7,FALSE))</f>
        <v/>
      </c>
      <c r="Q392" s="158"/>
      <c r="R392" s="58" t="str">
        <f t="shared" si="6"/>
        <v/>
      </c>
      <c r="S392" s="25"/>
      <c r="T392" s="25"/>
      <c r="U392" s="25"/>
      <c r="V392" s="25"/>
      <c r="W392" s="25"/>
      <c r="X392" s="25"/>
    </row>
    <row r="393" spans="1:24" x14ac:dyDescent="0.25">
      <c r="A393" s="31" t="s">
        <v>953</v>
      </c>
      <c r="B393" s="32"/>
      <c r="C393" s="50" t="str">
        <f>IF(B393="","",VLOOKUP(B393,'Product Master'!$B:$G,2,FALSE))</f>
        <v/>
      </c>
      <c r="D393" s="50" t="str">
        <f>IF(B393="","",VLOOKUP(B393,'Product Master'!$B:$G,3,FALSE))</f>
        <v/>
      </c>
      <c r="E393" s="50"/>
      <c r="F393" s="50">
        <f>SUMIF('Stock Purchase'!$D:$D,B393,'Stock Purchase'!$F:$F)</f>
        <v>0</v>
      </c>
      <c r="G393" s="50">
        <f>SUMIFS('Stock Adjustment'!$E:$E,'Stock Adjustment'!$B:$B,$A393,'Stock Adjustment'!$D:$D,"Customer Returned")</f>
        <v>0</v>
      </c>
      <c r="H393" s="50">
        <f>SUMIF('Daily Sales Entry'!$D:$D,B393,'Daily Sales Entry'!$G:$G)</f>
        <v>0</v>
      </c>
      <c r="I393" s="50">
        <f>SUMIFS('Stock Adjustment'!$E:$E,'Stock Adjustment'!$B:$B,$A393,'Stock Adjustment'!$D:$D,"Staff Consumption")</f>
        <v>0</v>
      </c>
      <c r="J393" s="50">
        <f>SUMIFS('Stock Adjustment'!$E:$E,'Stock Adjustment'!$B:$B,$A393,'Stock Adjustment'!$D:$D,"Damaged")</f>
        <v>0</v>
      </c>
      <c r="K393" s="50">
        <f>SUMIFS('Stock Adjustment'!$E:$E,'Stock Adjustment'!$B:$B,$A393,'Stock Adjustment'!$D:$D,"Expired")</f>
        <v>0</v>
      </c>
      <c r="L393" s="50">
        <f>SUMIFS('Stock Adjustment'!$E:$E,'Stock Adjustment'!$B:$B,$A393,'Stock Adjustment'!$D:$D,"Supplier Returned")</f>
        <v>0</v>
      </c>
      <c r="M3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3" s="53" t="str">
        <f>IF(B393="","",VLOOKUP(B393,'Product Master'!$B:$G,4,FALSE))</f>
        <v/>
      </c>
      <c r="O393" s="53" t="str">
        <f>IF(B393="","",VLOOKUP(B393,'Product Master'!$B:$G,5,FALSE))</f>
        <v/>
      </c>
      <c r="P393" s="50" t="str">
        <f>IF(B393="","",VLOOKUP(B393,'Product Master'!$B:$I,7,FALSE))</f>
        <v/>
      </c>
      <c r="Q393" s="158"/>
      <c r="R393" s="58" t="str">
        <f t="shared" si="6"/>
        <v/>
      </c>
      <c r="S393" s="25"/>
      <c r="T393" s="25"/>
      <c r="U393" s="25"/>
      <c r="V393" s="25"/>
      <c r="W393" s="25"/>
      <c r="X393" s="25"/>
    </row>
    <row r="394" spans="1:24" x14ac:dyDescent="0.25">
      <c r="A394" s="31" t="s">
        <v>954</v>
      </c>
      <c r="B394" s="32"/>
      <c r="C394" s="50" t="str">
        <f>IF(B394="","",VLOOKUP(B394,'Product Master'!$B:$G,2,FALSE))</f>
        <v/>
      </c>
      <c r="D394" s="50" t="str">
        <f>IF(B394="","",VLOOKUP(B394,'Product Master'!$B:$G,3,FALSE))</f>
        <v/>
      </c>
      <c r="E394" s="50"/>
      <c r="F394" s="50">
        <f>SUMIF('Stock Purchase'!$D:$D,B394,'Stock Purchase'!$F:$F)</f>
        <v>0</v>
      </c>
      <c r="G394" s="50">
        <f>SUMIFS('Stock Adjustment'!$E:$E,'Stock Adjustment'!$B:$B,$A394,'Stock Adjustment'!$D:$D,"Customer Returned")</f>
        <v>0</v>
      </c>
      <c r="H394" s="50">
        <f>SUMIF('Daily Sales Entry'!$D:$D,B394,'Daily Sales Entry'!$G:$G)</f>
        <v>0</v>
      </c>
      <c r="I394" s="50">
        <f>SUMIFS('Stock Adjustment'!$E:$E,'Stock Adjustment'!$B:$B,$A394,'Stock Adjustment'!$D:$D,"Staff Consumption")</f>
        <v>0</v>
      </c>
      <c r="J394" s="50">
        <f>SUMIFS('Stock Adjustment'!$E:$E,'Stock Adjustment'!$B:$B,$A394,'Stock Adjustment'!$D:$D,"Damaged")</f>
        <v>0</v>
      </c>
      <c r="K394" s="50">
        <f>SUMIFS('Stock Adjustment'!$E:$E,'Stock Adjustment'!$B:$B,$A394,'Stock Adjustment'!$D:$D,"Expired")</f>
        <v>0</v>
      </c>
      <c r="L394" s="50">
        <f>SUMIFS('Stock Adjustment'!$E:$E,'Stock Adjustment'!$B:$B,$A394,'Stock Adjustment'!$D:$D,"Supplier Returned")</f>
        <v>0</v>
      </c>
      <c r="M3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4" s="53" t="str">
        <f>IF(B394="","",VLOOKUP(B394,'Product Master'!$B:$G,4,FALSE))</f>
        <v/>
      </c>
      <c r="O394" s="53" t="str">
        <f>IF(B394="","",VLOOKUP(B394,'Product Master'!$B:$G,5,FALSE))</f>
        <v/>
      </c>
      <c r="P394" s="50" t="str">
        <f>IF(B394="","",VLOOKUP(B394,'Product Master'!$B:$I,7,FALSE))</f>
        <v/>
      </c>
      <c r="Q394" s="158"/>
      <c r="R394" s="58" t="str">
        <f t="shared" si="6"/>
        <v/>
      </c>
      <c r="S394" s="25"/>
      <c r="T394" s="25"/>
      <c r="U394" s="25"/>
      <c r="V394" s="25"/>
      <c r="W394" s="25"/>
      <c r="X394" s="25"/>
    </row>
    <row r="395" spans="1:24" x14ac:dyDescent="0.25">
      <c r="A395" s="31" t="s">
        <v>955</v>
      </c>
      <c r="B395" s="32"/>
      <c r="C395" s="50" t="str">
        <f>IF(B395="","",VLOOKUP(B395,'Product Master'!$B:$G,2,FALSE))</f>
        <v/>
      </c>
      <c r="D395" s="50" t="str">
        <f>IF(B395="","",VLOOKUP(B395,'Product Master'!$B:$G,3,FALSE))</f>
        <v/>
      </c>
      <c r="E395" s="50"/>
      <c r="F395" s="50">
        <f>SUMIF('Stock Purchase'!$D:$D,B395,'Stock Purchase'!$F:$F)</f>
        <v>0</v>
      </c>
      <c r="G395" s="50">
        <f>SUMIFS('Stock Adjustment'!$E:$E,'Stock Adjustment'!$B:$B,$A395,'Stock Adjustment'!$D:$D,"Customer Returned")</f>
        <v>0</v>
      </c>
      <c r="H395" s="50">
        <f>SUMIF('Daily Sales Entry'!$D:$D,B395,'Daily Sales Entry'!$G:$G)</f>
        <v>0</v>
      </c>
      <c r="I395" s="50">
        <f>SUMIFS('Stock Adjustment'!$E:$E,'Stock Adjustment'!$B:$B,$A395,'Stock Adjustment'!$D:$D,"Staff Consumption")</f>
        <v>0</v>
      </c>
      <c r="J395" s="50">
        <f>SUMIFS('Stock Adjustment'!$E:$E,'Stock Adjustment'!$B:$B,$A395,'Stock Adjustment'!$D:$D,"Damaged")</f>
        <v>0</v>
      </c>
      <c r="K395" s="50">
        <f>SUMIFS('Stock Adjustment'!$E:$E,'Stock Adjustment'!$B:$B,$A395,'Stock Adjustment'!$D:$D,"Expired")</f>
        <v>0</v>
      </c>
      <c r="L395" s="50">
        <f>SUMIFS('Stock Adjustment'!$E:$E,'Stock Adjustment'!$B:$B,$A395,'Stock Adjustment'!$D:$D,"Supplier Returned")</f>
        <v>0</v>
      </c>
      <c r="M3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5" s="53" t="str">
        <f>IF(B395="","",VLOOKUP(B395,'Product Master'!$B:$G,4,FALSE))</f>
        <v/>
      </c>
      <c r="O395" s="53" t="str">
        <f>IF(B395="","",VLOOKUP(B395,'Product Master'!$B:$G,5,FALSE))</f>
        <v/>
      </c>
      <c r="P395" s="50" t="str">
        <f>IF(B395="","",VLOOKUP(B395,'Product Master'!$B:$I,7,FALSE))</f>
        <v/>
      </c>
      <c r="Q395" s="158"/>
      <c r="R395" s="58" t="str">
        <f t="shared" si="6"/>
        <v/>
      </c>
      <c r="S395" s="25"/>
      <c r="T395" s="25"/>
      <c r="U395" s="25"/>
      <c r="V395" s="25"/>
      <c r="W395" s="25"/>
      <c r="X395" s="25"/>
    </row>
    <row r="396" spans="1:24" x14ac:dyDescent="0.25">
      <c r="A396" s="31" t="s">
        <v>956</v>
      </c>
      <c r="B396" s="32"/>
      <c r="C396" s="50" t="str">
        <f>IF(B396="","",VLOOKUP(B396,'Product Master'!$B:$G,2,FALSE))</f>
        <v/>
      </c>
      <c r="D396" s="50" t="str">
        <f>IF(B396="","",VLOOKUP(B396,'Product Master'!$B:$G,3,FALSE))</f>
        <v/>
      </c>
      <c r="E396" s="50"/>
      <c r="F396" s="50">
        <f>SUMIF('Stock Purchase'!$D:$D,B396,'Stock Purchase'!$F:$F)</f>
        <v>0</v>
      </c>
      <c r="G396" s="50">
        <f>SUMIFS('Stock Adjustment'!$E:$E,'Stock Adjustment'!$B:$B,$A396,'Stock Adjustment'!$D:$D,"Customer Returned")</f>
        <v>0</v>
      </c>
      <c r="H396" s="50">
        <f>SUMIF('Daily Sales Entry'!$D:$D,B396,'Daily Sales Entry'!$G:$G)</f>
        <v>0</v>
      </c>
      <c r="I396" s="50">
        <f>SUMIFS('Stock Adjustment'!$E:$E,'Stock Adjustment'!$B:$B,$A396,'Stock Adjustment'!$D:$D,"Staff Consumption")</f>
        <v>0</v>
      </c>
      <c r="J396" s="50">
        <f>SUMIFS('Stock Adjustment'!$E:$E,'Stock Adjustment'!$B:$B,$A396,'Stock Adjustment'!$D:$D,"Damaged")</f>
        <v>0</v>
      </c>
      <c r="K396" s="50">
        <f>SUMIFS('Stock Adjustment'!$E:$E,'Stock Adjustment'!$B:$B,$A396,'Stock Adjustment'!$D:$D,"Expired")</f>
        <v>0</v>
      </c>
      <c r="L396" s="50">
        <f>SUMIFS('Stock Adjustment'!$E:$E,'Stock Adjustment'!$B:$B,$A396,'Stock Adjustment'!$D:$D,"Supplier Returned")</f>
        <v>0</v>
      </c>
      <c r="M3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6" s="53" t="str">
        <f>IF(B396="","",VLOOKUP(B396,'Product Master'!$B:$G,4,FALSE))</f>
        <v/>
      </c>
      <c r="O396" s="53" t="str">
        <f>IF(B396="","",VLOOKUP(B396,'Product Master'!$B:$G,5,FALSE))</f>
        <v/>
      </c>
      <c r="P396" s="50" t="str">
        <f>IF(B396="","",VLOOKUP(B396,'Product Master'!$B:$I,7,FALSE))</f>
        <v/>
      </c>
      <c r="Q396" s="158"/>
      <c r="R396" s="58" t="str">
        <f t="shared" si="6"/>
        <v/>
      </c>
      <c r="S396" s="25"/>
      <c r="T396" s="25"/>
      <c r="U396" s="25"/>
      <c r="V396" s="25"/>
      <c r="W396" s="25"/>
      <c r="X396" s="25"/>
    </row>
    <row r="397" spans="1:24" x14ac:dyDescent="0.25">
      <c r="A397" s="31" t="s">
        <v>957</v>
      </c>
      <c r="B397" s="32"/>
      <c r="C397" s="50" t="str">
        <f>IF(B397="","",VLOOKUP(B397,'Product Master'!$B:$G,2,FALSE))</f>
        <v/>
      </c>
      <c r="D397" s="50" t="str">
        <f>IF(B397="","",VLOOKUP(B397,'Product Master'!$B:$G,3,FALSE))</f>
        <v/>
      </c>
      <c r="E397" s="50"/>
      <c r="F397" s="50">
        <f>SUMIF('Stock Purchase'!$D:$D,B397,'Stock Purchase'!$F:$F)</f>
        <v>0</v>
      </c>
      <c r="G397" s="50">
        <f>SUMIFS('Stock Adjustment'!$E:$E,'Stock Adjustment'!$B:$B,$A397,'Stock Adjustment'!$D:$D,"Customer Returned")</f>
        <v>0</v>
      </c>
      <c r="H397" s="50">
        <f>SUMIF('Daily Sales Entry'!$D:$D,B397,'Daily Sales Entry'!$G:$G)</f>
        <v>0</v>
      </c>
      <c r="I397" s="50">
        <f>SUMIFS('Stock Adjustment'!$E:$E,'Stock Adjustment'!$B:$B,$A397,'Stock Adjustment'!$D:$D,"Staff Consumption")</f>
        <v>0</v>
      </c>
      <c r="J397" s="50">
        <f>SUMIFS('Stock Adjustment'!$E:$E,'Stock Adjustment'!$B:$B,$A397,'Stock Adjustment'!$D:$D,"Damaged")</f>
        <v>0</v>
      </c>
      <c r="K397" s="50">
        <f>SUMIFS('Stock Adjustment'!$E:$E,'Stock Adjustment'!$B:$B,$A397,'Stock Adjustment'!$D:$D,"Expired")</f>
        <v>0</v>
      </c>
      <c r="L397" s="50">
        <f>SUMIFS('Stock Adjustment'!$E:$E,'Stock Adjustment'!$B:$B,$A397,'Stock Adjustment'!$D:$D,"Supplier Returned")</f>
        <v>0</v>
      </c>
      <c r="M3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7" s="53" t="str">
        <f>IF(B397="","",VLOOKUP(B397,'Product Master'!$B:$G,4,FALSE))</f>
        <v/>
      </c>
      <c r="O397" s="53" t="str">
        <f>IF(B397="","",VLOOKUP(B397,'Product Master'!$B:$G,5,FALSE))</f>
        <v/>
      </c>
      <c r="P397" s="50" t="str">
        <f>IF(B397="","",VLOOKUP(B397,'Product Master'!$B:$I,7,FALSE))</f>
        <v/>
      </c>
      <c r="Q397" s="158"/>
      <c r="R397" s="58" t="str">
        <f t="shared" si="6"/>
        <v/>
      </c>
      <c r="S397" s="25"/>
      <c r="T397" s="25"/>
      <c r="U397" s="25"/>
      <c r="V397" s="25"/>
      <c r="W397" s="25"/>
      <c r="X397" s="25"/>
    </row>
    <row r="398" spans="1:24" x14ac:dyDescent="0.25">
      <c r="A398" s="31" t="s">
        <v>958</v>
      </c>
      <c r="B398" s="32"/>
      <c r="C398" s="50" t="str">
        <f>IF(B398="","",VLOOKUP(B398,'Product Master'!$B:$G,2,FALSE))</f>
        <v/>
      </c>
      <c r="D398" s="50" t="str">
        <f>IF(B398="","",VLOOKUP(B398,'Product Master'!$B:$G,3,FALSE))</f>
        <v/>
      </c>
      <c r="E398" s="50"/>
      <c r="F398" s="50">
        <f>SUMIF('Stock Purchase'!$D:$D,B398,'Stock Purchase'!$F:$F)</f>
        <v>0</v>
      </c>
      <c r="G398" s="50">
        <f>SUMIFS('Stock Adjustment'!$E:$E,'Stock Adjustment'!$B:$B,$A398,'Stock Adjustment'!$D:$D,"Customer Returned")</f>
        <v>0</v>
      </c>
      <c r="H398" s="50">
        <f>SUMIF('Daily Sales Entry'!$D:$D,B398,'Daily Sales Entry'!$G:$G)</f>
        <v>0</v>
      </c>
      <c r="I398" s="50">
        <f>SUMIFS('Stock Adjustment'!$E:$E,'Stock Adjustment'!$B:$B,$A398,'Stock Adjustment'!$D:$D,"Staff Consumption")</f>
        <v>0</v>
      </c>
      <c r="J398" s="50">
        <f>SUMIFS('Stock Adjustment'!$E:$E,'Stock Adjustment'!$B:$B,$A398,'Stock Adjustment'!$D:$D,"Damaged")</f>
        <v>0</v>
      </c>
      <c r="K398" s="50">
        <f>SUMIFS('Stock Adjustment'!$E:$E,'Stock Adjustment'!$B:$B,$A398,'Stock Adjustment'!$D:$D,"Expired")</f>
        <v>0</v>
      </c>
      <c r="L398" s="50">
        <f>SUMIFS('Stock Adjustment'!$E:$E,'Stock Adjustment'!$B:$B,$A398,'Stock Adjustment'!$D:$D,"Supplier Returned")</f>
        <v>0</v>
      </c>
      <c r="M3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8" s="53" t="str">
        <f>IF(B398="","",VLOOKUP(B398,'Product Master'!$B:$G,4,FALSE))</f>
        <v/>
      </c>
      <c r="O398" s="53" t="str">
        <f>IF(B398="","",VLOOKUP(B398,'Product Master'!$B:$G,5,FALSE))</f>
        <v/>
      </c>
      <c r="P398" s="50" t="str">
        <f>IF(B398="","",VLOOKUP(B398,'Product Master'!$B:$I,7,FALSE))</f>
        <v/>
      </c>
      <c r="Q398" s="158"/>
      <c r="R398" s="58" t="str">
        <f t="shared" si="6"/>
        <v/>
      </c>
      <c r="S398" s="25"/>
      <c r="T398" s="25"/>
      <c r="U398" s="25"/>
      <c r="V398" s="25"/>
      <c r="W398" s="25"/>
      <c r="X398" s="25"/>
    </row>
    <row r="399" spans="1:24" x14ac:dyDescent="0.25">
      <c r="A399" s="31" t="s">
        <v>959</v>
      </c>
      <c r="B399" s="32"/>
      <c r="C399" s="50" t="str">
        <f>IF(B399="","",VLOOKUP(B399,'Product Master'!$B:$G,2,FALSE))</f>
        <v/>
      </c>
      <c r="D399" s="50" t="str">
        <f>IF(B399="","",VLOOKUP(B399,'Product Master'!$B:$G,3,FALSE))</f>
        <v/>
      </c>
      <c r="E399" s="50"/>
      <c r="F399" s="50">
        <f>SUMIF('Stock Purchase'!$D:$D,B399,'Stock Purchase'!$F:$F)</f>
        <v>0</v>
      </c>
      <c r="G399" s="50">
        <f>SUMIFS('Stock Adjustment'!$E:$E,'Stock Adjustment'!$B:$B,$A399,'Stock Adjustment'!$D:$D,"Customer Returned")</f>
        <v>0</v>
      </c>
      <c r="H399" s="50">
        <f>SUMIF('Daily Sales Entry'!$D:$D,B399,'Daily Sales Entry'!$G:$G)</f>
        <v>0</v>
      </c>
      <c r="I399" s="50">
        <f>SUMIFS('Stock Adjustment'!$E:$E,'Stock Adjustment'!$B:$B,$A399,'Stock Adjustment'!$D:$D,"Staff Consumption")</f>
        <v>0</v>
      </c>
      <c r="J399" s="50">
        <f>SUMIFS('Stock Adjustment'!$E:$E,'Stock Adjustment'!$B:$B,$A399,'Stock Adjustment'!$D:$D,"Damaged")</f>
        <v>0</v>
      </c>
      <c r="K399" s="50">
        <f>SUMIFS('Stock Adjustment'!$E:$E,'Stock Adjustment'!$B:$B,$A399,'Stock Adjustment'!$D:$D,"Expired")</f>
        <v>0</v>
      </c>
      <c r="L399" s="50">
        <f>SUMIFS('Stock Adjustment'!$E:$E,'Stock Adjustment'!$B:$B,$A399,'Stock Adjustment'!$D:$D,"Supplier Returned")</f>
        <v>0</v>
      </c>
      <c r="M3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399" s="53" t="str">
        <f>IF(B399="","",VLOOKUP(B399,'Product Master'!$B:$G,4,FALSE))</f>
        <v/>
      </c>
      <c r="O399" s="53" t="str">
        <f>IF(B399="","",VLOOKUP(B399,'Product Master'!$B:$G,5,FALSE))</f>
        <v/>
      </c>
      <c r="P399" s="50" t="str">
        <f>IF(B399="","",VLOOKUP(B399,'Product Master'!$B:$I,7,FALSE))</f>
        <v/>
      </c>
      <c r="Q399" s="158"/>
      <c r="R399" s="58" t="str">
        <f t="shared" si="6"/>
        <v/>
      </c>
      <c r="S399" s="25"/>
      <c r="T399" s="25"/>
      <c r="U399" s="25"/>
      <c r="V399" s="25"/>
      <c r="W399" s="25"/>
      <c r="X399" s="25"/>
    </row>
    <row r="400" spans="1:24" x14ac:dyDescent="0.25">
      <c r="A400" s="31" t="s">
        <v>960</v>
      </c>
      <c r="B400" s="32"/>
      <c r="C400" s="50" t="str">
        <f>IF(B400="","",VLOOKUP(B400,'Product Master'!$B:$G,2,FALSE))</f>
        <v/>
      </c>
      <c r="D400" s="50" t="str">
        <f>IF(B400="","",VLOOKUP(B400,'Product Master'!$B:$G,3,FALSE))</f>
        <v/>
      </c>
      <c r="E400" s="50"/>
      <c r="F400" s="50">
        <f>SUMIF('Stock Purchase'!$D:$D,B400,'Stock Purchase'!$F:$F)</f>
        <v>0</v>
      </c>
      <c r="G400" s="50">
        <f>SUMIFS('Stock Adjustment'!$E:$E,'Stock Adjustment'!$B:$B,$A400,'Stock Adjustment'!$D:$D,"Customer Returned")</f>
        <v>0</v>
      </c>
      <c r="H400" s="50">
        <f>SUMIF('Daily Sales Entry'!$D:$D,B400,'Daily Sales Entry'!$G:$G)</f>
        <v>0</v>
      </c>
      <c r="I400" s="50">
        <f>SUMIFS('Stock Adjustment'!$E:$E,'Stock Adjustment'!$B:$B,$A400,'Stock Adjustment'!$D:$D,"Staff Consumption")</f>
        <v>0</v>
      </c>
      <c r="J400" s="50">
        <f>SUMIFS('Stock Adjustment'!$E:$E,'Stock Adjustment'!$B:$B,$A400,'Stock Adjustment'!$D:$D,"Damaged")</f>
        <v>0</v>
      </c>
      <c r="K400" s="50">
        <f>SUMIFS('Stock Adjustment'!$E:$E,'Stock Adjustment'!$B:$B,$A400,'Stock Adjustment'!$D:$D,"Expired")</f>
        <v>0</v>
      </c>
      <c r="L400" s="50">
        <f>SUMIFS('Stock Adjustment'!$E:$E,'Stock Adjustment'!$B:$B,$A400,'Stock Adjustment'!$D:$D,"Supplier Returned")</f>
        <v>0</v>
      </c>
      <c r="M4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0" s="53" t="str">
        <f>IF(B400="","",VLOOKUP(B400,'Product Master'!$B:$G,4,FALSE))</f>
        <v/>
      </c>
      <c r="O400" s="53" t="str">
        <f>IF(B400="","",VLOOKUP(B400,'Product Master'!$B:$G,5,FALSE))</f>
        <v/>
      </c>
      <c r="P400" s="50" t="str">
        <f>IF(B400="","",VLOOKUP(B400,'Product Master'!$B:$I,7,FALSE))</f>
        <v/>
      </c>
      <c r="Q400" s="158"/>
      <c r="R400" s="58" t="str">
        <f t="shared" si="6"/>
        <v/>
      </c>
      <c r="S400" s="25"/>
      <c r="T400" s="25"/>
      <c r="U400" s="25"/>
      <c r="V400" s="25"/>
      <c r="W400" s="25"/>
      <c r="X400" s="25"/>
    </row>
    <row r="401" spans="1:24" x14ac:dyDescent="0.25">
      <c r="A401" s="31" t="s">
        <v>961</v>
      </c>
      <c r="B401" s="32"/>
      <c r="C401" s="50" t="str">
        <f>IF(B401="","",VLOOKUP(B401,'Product Master'!$B:$G,2,FALSE))</f>
        <v/>
      </c>
      <c r="D401" s="50" t="str">
        <f>IF(B401="","",VLOOKUP(B401,'Product Master'!$B:$G,3,FALSE))</f>
        <v/>
      </c>
      <c r="E401" s="50"/>
      <c r="F401" s="50">
        <f>SUMIF('Stock Purchase'!$D:$D,B401,'Stock Purchase'!$F:$F)</f>
        <v>0</v>
      </c>
      <c r="G401" s="50">
        <f>SUMIFS('Stock Adjustment'!$E:$E,'Stock Adjustment'!$B:$B,$A401,'Stock Adjustment'!$D:$D,"Customer Returned")</f>
        <v>0</v>
      </c>
      <c r="H401" s="50">
        <f>SUMIF('Daily Sales Entry'!$D:$D,B401,'Daily Sales Entry'!$G:$G)</f>
        <v>0</v>
      </c>
      <c r="I401" s="50">
        <f>SUMIFS('Stock Adjustment'!$E:$E,'Stock Adjustment'!$B:$B,$A401,'Stock Adjustment'!$D:$D,"Staff Consumption")</f>
        <v>0</v>
      </c>
      <c r="J401" s="50">
        <f>SUMIFS('Stock Adjustment'!$E:$E,'Stock Adjustment'!$B:$B,$A401,'Stock Adjustment'!$D:$D,"Damaged")</f>
        <v>0</v>
      </c>
      <c r="K401" s="50">
        <f>SUMIFS('Stock Adjustment'!$E:$E,'Stock Adjustment'!$B:$B,$A401,'Stock Adjustment'!$D:$D,"Expired")</f>
        <v>0</v>
      </c>
      <c r="L401" s="50">
        <f>SUMIFS('Stock Adjustment'!$E:$E,'Stock Adjustment'!$B:$B,$A401,'Stock Adjustment'!$D:$D,"Supplier Returned")</f>
        <v>0</v>
      </c>
      <c r="M4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1" s="53" t="str">
        <f>IF(B401="","",VLOOKUP(B401,'Product Master'!$B:$G,4,FALSE))</f>
        <v/>
      </c>
      <c r="O401" s="53" t="str">
        <f>IF(B401="","",VLOOKUP(B401,'Product Master'!$B:$G,5,FALSE))</f>
        <v/>
      </c>
      <c r="P401" s="50" t="str">
        <f>IF(B401="","",VLOOKUP(B401,'Product Master'!$B:$I,7,FALSE))</f>
        <v/>
      </c>
      <c r="Q401" s="158"/>
      <c r="R401" s="58" t="str">
        <f t="shared" si="6"/>
        <v/>
      </c>
      <c r="S401" s="25"/>
      <c r="T401" s="25"/>
      <c r="U401" s="25"/>
      <c r="V401" s="25"/>
      <c r="W401" s="25"/>
      <c r="X401" s="25"/>
    </row>
    <row r="402" spans="1:24" x14ac:dyDescent="0.25">
      <c r="A402" s="31" t="s">
        <v>962</v>
      </c>
      <c r="B402" s="32"/>
      <c r="C402" s="50" t="str">
        <f>IF(B402="","",VLOOKUP(B402,'Product Master'!$B:$G,2,FALSE))</f>
        <v/>
      </c>
      <c r="D402" s="50" t="str">
        <f>IF(B402="","",VLOOKUP(B402,'Product Master'!$B:$G,3,FALSE))</f>
        <v/>
      </c>
      <c r="E402" s="50"/>
      <c r="F402" s="50">
        <f>SUMIF('Stock Purchase'!$D:$D,B402,'Stock Purchase'!$F:$F)</f>
        <v>0</v>
      </c>
      <c r="G402" s="50">
        <f>SUMIFS('Stock Adjustment'!$E:$E,'Stock Adjustment'!$B:$B,$A402,'Stock Adjustment'!$D:$D,"Customer Returned")</f>
        <v>0</v>
      </c>
      <c r="H402" s="50">
        <f>SUMIF('Daily Sales Entry'!$D:$D,B402,'Daily Sales Entry'!$G:$G)</f>
        <v>0</v>
      </c>
      <c r="I402" s="50">
        <f>SUMIFS('Stock Adjustment'!$E:$E,'Stock Adjustment'!$B:$B,$A402,'Stock Adjustment'!$D:$D,"Staff Consumption")</f>
        <v>0</v>
      </c>
      <c r="J402" s="50">
        <f>SUMIFS('Stock Adjustment'!$E:$E,'Stock Adjustment'!$B:$B,$A402,'Stock Adjustment'!$D:$D,"Damaged")</f>
        <v>0</v>
      </c>
      <c r="K402" s="50">
        <f>SUMIFS('Stock Adjustment'!$E:$E,'Stock Adjustment'!$B:$B,$A402,'Stock Adjustment'!$D:$D,"Expired")</f>
        <v>0</v>
      </c>
      <c r="L402" s="50">
        <f>SUMIFS('Stock Adjustment'!$E:$E,'Stock Adjustment'!$B:$B,$A402,'Stock Adjustment'!$D:$D,"Supplier Returned")</f>
        <v>0</v>
      </c>
      <c r="M4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2" s="53" t="str">
        <f>IF(B402="","",VLOOKUP(B402,'Product Master'!$B:$G,4,FALSE))</f>
        <v/>
      </c>
      <c r="O402" s="53" t="str">
        <f>IF(B402="","",VLOOKUP(B402,'Product Master'!$B:$G,5,FALSE))</f>
        <v/>
      </c>
      <c r="P402" s="50" t="str">
        <f>IF(B402="","",VLOOKUP(B402,'Product Master'!$B:$I,7,FALSE))</f>
        <v/>
      </c>
      <c r="Q402" s="158"/>
      <c r="R402" s="58" t="str">
        <f t="shared" si="6"/>
        <v/>
      </c>
      <c r="S402" s="25"/>
      <c r="T402" s="25"/>
      <c r="U402" s="25"/>
      <c r="V402" s="25"/>
      <c r="W402" s="25"/>
      <c r="X402" s="25"/>
    </row>
    <row r="403" spans="1:24" x14ac:dyDescent="0.25">
      <c r="A403" s="31" t="s">
        <v>963</v>
      </c>
      <c r="B403" s="32"/>
      <c r="C403" s="50" t="str">
        <f>IF(B403="","",VLOOKUP(B403,'Product Master'!$B:$G,2,FALSE))</f>
        <v/>
      </c>
      <c r="D403" s="50" t="str">
        <f>IF(B403="","",VLOOKUP(B403,'Product Master'!$B:$G,3,FALSE))</f>
        <v/>
      </c>
      <c r="E403" s="50"/>
      <c r="F403" s="50">
        <f>SUMIF('Stock Purchase'!$D:$D,B403,'Stock Purchase'!$F:$F)</f>
        <v>0</v>
      </c>
      <c r="G403" s="50">
        <f>SUMIFS('Stock Adjustment'!$E:$E,'Stock Adjustment'!$B:$B,$A403,'Stock Adjustment'!$D:$D,"Customer Returned")</f>
        <v>0</v>
      </c>
      <c r="H403" s="50">
        <f>SUMIF('Daily Sales Entry'!$D:$D,B403,'Daily Sales Entry'!$G:$G)</f>
        <v>0</v>
      </c>
      <c r="I403" s="50">
        <f>SUMIFS('Stock Adjustment'!$E:$E,'Stock Adjustment'!$B:$B,$A403,'Stock Adjustment'!$D:$D,"Staff Consumption")</f>
        <v>0</v>
      </c>
      <c r="J403" s="50">
        <f>SUMIFS('Stock Adjustment'!$E:$E,'Stock Adjustment'!$B:$B,$A403,'Stock Adjustment'!$D:$D,"Damaged")</f>
        <v>0</v>
      </c>
      <c r="K403" s="50">
        <f>SUMIFS('Stock Adjustment'!$E:$E,'Stock Adjustment'!$B:$B,$A403,'Stock Adjustment'!$D:$D,"Expired")</f>
        <v>0</v>
      </c>
      <c r="L403" s="50">
        <f>SUMIFS('Stock Adjustment'!$E:$E,'Stock Adjustment'!$B:$B,$A403,'Stock Adjustment'!$D:$D,"Supplier Returned")</f>
        <v>0</v>
      </c>
      <c r="M4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3" s="53" t="str">
        <f>IF(B403="","",VLOOKUP(B403,'Product Master'!$B:$G,4,FALSE))</f>
        <v/>
      </c>
      <c r="O403" s="53" t="str">
        <f>IF(B403="","",VLOOKUP(B403,'Product Master'!$B:$G,5,FALSE))</f>
        <v/>
      </c>
      <c r="P403" s="50" t="str">
        <f>IF(B403="","",VLOOKUP(B403,'Product Master'!$B:$I,7,FALSE))</f>
        <v/>
      </c>
      <c r="Q403" s="158"/>
      <c r="R403" s="58" t="str">
        <f t="shared" si="6"/>
        <v/>
      </c>
      <c r="S403" s="25"/>
      <c r="T403" s="25"/>
      <c r="U403" s="25"/>
      <c r="V403" s="25"/>
      <c r="W403" s="25"/>
      <c r="X403" s="25"/>
    </row>
    <row r="404" spans="1:24" x14ac:dyDescent="0.25">
      <c r="A404" s="31" t="s">
        <v>964</v>
      </c>
      <c r="B404" s="32"/>
      <c r="C404" s="50" t="str">
        <f>IF(B404="","",VLOOKUP(B404,'Product Master'!$B:$G,2,FALSE))</f>
        <v/>
      </c>
      <c r="D404" s="50" t="str">
        <f>IF(B404="","",VLOOKUP(B404,'Product Master'!$B:$G,3,FALSE))</f>
        <v/>
      </c>
      <c r="E404" s="50"/>
      <c r="F404" s="50">
        <f>SUMIF('Stock Purchase'!$D:$D,B404,'Stock Purchase'!$F:$F)</f>
        <v>0</v>
      </c>
      <c r="G404" s="50">
        <f>SUMIFS('Stock Adjustment'!$E:$E,'Stock Adjustment'!$B:$B,$A404,'Stock Adjustment'!$D:$D,"Customer Returned")</f>
        <v>0</v>
      </c>
      <c r="H404" s="50">
        <f>SUMIF('Daily Sales Entry'!$D:$D,B404,'Daily Sales Entry'!$G:$G)</f>
        <v>0</v>
      </c>
      <c r="I404" s="50">
        <f>SUMIFS('Stock Adjustment'!$E:$E,'Stock Adjustment'!$B:$B,$A404,'Stock Adjustment'!$D:$D,"Staff Consumption")</f>
        <v>0</v>
      </c>
      <c r="J404" s="50">
        <f>SUMIFS('Stock Adjustment'!$E:$E,'Stock Adjustment'!$B:$B,$A404,'Stock Adjustment'!$D:$D,"Damaged")</f>
        <v>0</v>
      </c>
      <c r="K404" s="50">
        <f>SUMIFS('Stock Adjustment'!$E:$E,'Stock Adjustment'!$B:$B,$A404,'Stock Adjustment'!$D:$D,"Expired")</f>
        <v>0</v>
      </c>
      <c r="L404" s="50">
        <f>SUMIFS('Stock Adjustment'!$E:$E,'Stock Adjustment'!$B:$B,$A404,'Stock Adjustment'!$D:$D,"Supplier Returned")</f>
        <v>0</v>
      </c>
      <c r="M4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4" s="53" t="str">
        <f>IF(B404="","",VLOOKUP(B404,'Product Master'!$B:$G,4,FALSE))</f>
        <v/>
      </c>
      <c r="O404" s="53" t="str">
        <f>IF(B404="","",VLOOKUP(B404,'Product Master'!$B:$G,5,FALSE))</f>
        <v/>
      </c>
      <c r="P404" s="50" t="str">
        <f>IF(B404="","",VLOOKUP(B404,'Product Master'!$B:$I,7,FALSE))</f>
        <v/>
      </c>
      <c r="Q404" s="158"/>
      <c r="R404" s="58" t="str">
        <f t="shared" si="6"/>
        <v/>
      </c>
      <c r="S404" s="25"/>
      <c r="T404" s="25"/>
      <c r="U404" s="25"/>
      <c r="V404" s="25"/>
      <c r="W404" s="25"/>
      <c r="X404" s="25"/>
    </row>
    <row r="405" spans="1:24" x14ac:dyDescent="0.25">
      <c r="A405" s="31" t="s">
        <v>965</v>
      </c>
      <c r="B405" s="32"/>
      <c r="C405" s="50" t="str">
        <f>IF(B405="","",VLOOKUP(B405,'Product Master'!$B:$G,2,FALSE))</f>
        <v/>
      </c>
      <c r="D405" s="50" t="str">
        <f>IF(B405="","",VLOOKUP(B405,'Product Master'!$B:$G,3,FALSE))</f>
        <v/>
      </c>
      <c r="E405" s="50"/>
      <c r="F405" s="50">
        <f>SUMIF('Stock Purchase'!$D:$D,B405,'Stock Purchase'!$F:$F)</f>
        <v>0</v>
      </c>
      <c r="G405" s="50">
        <f>SUMIFS('Stock Adjustment'!$E:$E,'Stock Adjustment'!$B:$B,$A405,'Stock Adjustment'!$D:$D,"Customer Returned")</f>
        <v>0</v>
      </c>
      <c r="H405" s="50">
        <f>SUMIF('Daily Sales Entry'!$D:$D,B405,'Daily Sales Entry'!$G:$G)</f>
        <v>0</v>
      </c>
      <c r="I405" s="50">
        <f>SUMIFS('Stock Adjustment'!$E:$E,'Stock Adjustment'!$B:$B,$A405,'Stock Adjustment'!$D:$D,"Staff Consumption")</f>
        <v>0</v>
      </c>
      <c r="J405" s="50">
        <f>SUMIFS('Stock Adjustment'!$E:$E,'Stock Adjustment'!$B:$B,$A405,'Stock Adjustment'!$D:$D,"Damaged")</f>
        <v>0</v>
      </c>
      <c r="K405" s="50">
        <f>SUMIFS('Stock Adjustment'!$E:$E,'Stock Adjustment'!$B:$B,$A405,'Stock Adjustment'!$D:$D,"Expired")</f>
        <v>0</v>
      </c>
      <c r="L405" s="50">
        <f>SUMIFS('Stock Adjustment'!$E:$E,'Stock Adjustment'!$B:$B,$A405,'Stock Adjustment'!$D:$D,"Supplier Returned")</f>
        <v>0</v>
      </c>
      <c r="M4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5" s="53" t="str">
        <f>IF(B405="","",VLOOKUP(B405,'Product Master'!$B:$G,4,FALSE))</f>
        <v/>
      </c>
      <c r="O405" s="53" t="str">
        <f>IF(B405="","",VLOOKUP(B405,'Product Master'!$B:$G,5,FALSE))</f>
        <v/>
      </c>
      <c r="P405" s="50" t="str">
        <f>IF(B405="","",VLOOKUP(B405,'Product Master'!$B:$I,7,FALSE))</f>
        <v/>
      </c>
      <c r="Q405" s="158"/>
      <c r="R405" s="58" t="str">
        <f t="shared" si="6"/>
        <v/>
      </c>
      <c r="S405" s="25"/>
      <c r="T405" s="25"/>
      <c r="U405" s="25"/>
      <c r="V405" s="25"/>
      <c r="W405" s="25"/>
      <c r="X405" s="25"/>
    </row>
    <row r="406" spans="1:24" x14ac:dyDescent="0.25">
      <c r="A406" s="31" t="s">
        <v>966</v>
      </c>
      <c r="B406" s="32"/>
      <c r="C406" s="50" t="str">
        <f>IF(B406="","",VLOOKUP(B406,'Product Master'!$B:$G,2,FALSE))</f>
        <v/>
      </c>
      <c r="D406" s="50" t="str">
        <f>IF(B406="","",VLOOKUP(B406,'Product Master'!$B:$G,3,FALSE))</f>
        <v/>
      </c>
      <c r="E406" s="50"/>
      <c r="F406" s="50">
        <f>SUMIF('Stock Purchase'!$D:$D,B406,'Stock Purchase'!$F:$F)</f>
        <v>0</v>
      </c>
      <c r="G406" s="50">
        <f>SUMIFS('Stock Adjustment'!$E:$E,'Stock Adjustment'!$B:$B,$A406,'Stock Adjustment'!$D:$D,"Customer Returned")</f>
        <v>0</v>
      </c>
      <c r="H406" s="50">
        <f>SUMIF('Daily Sales Entry'!$D:$D,B406,'Daily Sales Entry'!$G:$G)</f>
        <v>0</v>
      </c>
      <c r="I406" s="50">
        <f>SUMIFS('Stock Adjustment'!$E:$E,'Stock Adjustment'!$B:$B,$A406,'Stock Adjustment'!$D:$D,"Staff Consumption")</f>
        <v>0</v>
      </c>
      <c r="J406" s="50">
        <f>SUMIFS('Stock Adjustment'!$E:$E,'Stock Adjustment'!$B:$B,$A406,'Stock Adjustment'!$D:$D,"Damaged")</f>
        <v>0</v>
      </c>
      <c r="K406" s="50">
        <f>SUMIFS('Stock Adjustment'!$E:$E,'Stock Adjustment'!$B:$B,$A406,'Stock Adjustment'!$D:$D,"Expired")</f>
        <v>0</v>
      </c>
      <c r="L406" s="50">
        <f>SUMIFS('Stock Adjustment'!$E:$E,'Stock Adjustment'!$B:$B,$A406,'Stock Adjustment'!$D:$D,"Supplier Returned")</f>
        <v>0</v>
      </c>
      <c r="M4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6" s="53" t="str">
        <f>IF(B406="","",VLOOKUP(B406,'Product Master'!$B:$G,4,FALSE))</f>
        <v/>
      </c>
      <c r="O406" s="53" t="str">
        <f>IF(B406="","",VLOOKUP(B406,'Product Master'!$B:$G,5,FALSE))</f>
        <v/>
      </c>
      <c r="P406" s="50" t="str">
        <f>IF(B406="","",VLOOKUP(B406,'Product Master'!$B:$I,7,FALSE))</f>
        <v/>
      </c>
      <c r="Q406" s="158"/>
      <c r="R406" s="58" t="str">
        <f t="shared" si="6"/>
        <v/>
      </c>
      <c r="S406" s="25"/>
      <c r="T406" s="25"/>
      <c r="U406" s="25"/>
      <c r="V406" s="25"/>
      <c r="W406" s="25"/>
      <c r="X406" s="25"/>
    </row>
    <row r="407" spans="1:24" x14ac:dyDescent="0.25">
      <c r="A407" s="31" t="s">
        <v>967</v>
      </c>
      <c r="B407" s="32"/>
      <c r="C407" s="50" t="str">
        <f>IF(B407="","",VLOOKUP(B407,'Product Master'!$B:$G,2,FALSE))</f>
        <v/>
      </c>
      <c r="D407" s="50" t="str">
        <f>IF(B407="","",VLOOKUP(B407,'Product Master'!$B:$G,3,FALSE))</f>
        <v/>
      </c>
      <c r="E407" s="50"/>
      <c r="F407" s="50">
        <f>SUMIF('Stock Purchase'!$D:$D,B407,'Stock Purchase'!$F:$F)</f>
        <v>0</v>
      </c>
      <c r="G407" s="50">
        <f>SUMIFS('Stock Adjustment'!$E:$E,'Stock Adjustment'!$B:$B,$A407,'Stock Adjustment'!$D:$D,"Customer Returned")</f>
        <v>0</v>
      </c>
      <c r="H407" s="50">
        <f>SUMIF('Daily Sales Entry'!$D:$D,B407,'Daily Sales Entry'!$G:$G)</f>
        <v>0</v>
      </c>
      <c r="I407" s="50">
        <f>SUMIFS('Stock Adjustment'!$E:$E,'Stock Adjustment'!$B:$B,$A407,'Stock Adjustment'!$D:$D,"Staff Consumption")</f>
        <v>0</v>
      </c>
      <c r="J407" s="50">
        <f>SUMIFS('Stock Adjustment'!$E:$E,'Stock Adjustment'!$B:$B,$A407,'Stock Adjustment'!$D:$D,"Damaged")</f>
        <v>0</v>
      </c>
      <c r="K407" s="50">
        <f>SUMIFS('Stock Adjustment'!$E:$E,'Stock Adjustment'!$B:$B,$A407,'Stock Adjustment'!$D:$D,"Expired")</f>
        <v>0</v>
      </c>
      <c r="L407" s="50">
        <f>SUMIFS('Stock Adjustment'!$E:$E,'Stock Adjustment'!$B:$B,$A407,'Stock Adjustment'!$D:$D,"Supplier Returned")</f>
        <v>0</v>
      </c>
      <c r="M4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7" s="53" t="str">
        <f>IF(B407="","",VLOOKUP(B407,'Product Master'!$B:$G,4,FALSE))</f>
        <v/>
      </c>
      <c r="O407" s="53" t="str">
        <f>IF(B407="","",VLOOKUP(B407,'Product Master'!$B:$G,5,FALSE))</f>
        <v/>
      </c>
      <c r="P407" s="50" t="str">
        <f>IF(B407="","",VLOOKUP(B407,'Product Master'!$B:$I,7,FALSE))</f>
        <v/>
      </c>
      <c r="Q407" s="158"/>
      <c r="R407" s="58" t="str">
        <f t="shared" si="6"/>
        <v/>
      </c>
      <c r="S407" s="25"/>
      <c r="T407" s="25"/>
      <c r="U407" s="25"/>
      <c r="V407" s="25"/>
      <c r="W407" s="25"/>
      <c r="X407" s="25"/>
    </row>
    <row r="408" spans="1:24" x14ac:dyDescent="0.25">
      <c r="A408" s="31" t="s">
        <v>968</v>
      </c>
      <c r="B408" s="32"/>
      <c r="C408" s="50" t="str">
        <f>IF(B408="","",VLOOKUP(B408,'Product Master'!$B:$G,2,FALSE))</f>
        <v/>
      </c>
      <c r="D408" s="50" t="str">
        <f>IF(B408="","",VLOOKUP(B408,'Product Master'!$B:$G,3,FALSE))</f>
        <v/>
      </c>
      <c r="E408" s="50"/>
      <c r="F408" s="50">
        <f>SUMIF('Stock Purchase'!$D:$D,B408,'Stock Purchase'!$F:$F)</f>
        <v>0</v>
      </c>
      <c r="G408" s="50">
        <f>SUMIFS('Stock Adjustment'!$E:$E,'Stock Adjustment'!$B:$B,$A408,'Stock Adjustment'!$D:$D,"Customer Returned")</f>
        <v>0</v>
      </c>
      <c r="H408" s="50">
        <f>SUMIF('Daily Sales Entry'!$D:$D,B408,'Daily Sales Entry'!$G:$G)</f>
        <v>0</v>
      </c>
      <c r="I408" s="50">
        <f>SUMIFS('Stock Adjustment'!$E:$E,'Stock Adjustment'!$B:$B,$A408,'Stock Adjustment'!$D:$D,"Staff Consumption")</f>
        <v>0</v>
      </c>
      <c r="J408" s="50">
        <f>SUMIFS('Stock Adjustment'!$E:$E,'Stock Adjustment'!$B:$B,$A408,'Stock Adjustment'!$D:$D,"Damaged")</f>
        <v>0</v>
      </c>
      <c r="K408" s="50">
        <f>SUMIFS('Stock Adjustment'!$E:$E,'Stock Adjustment'!$B:$B,$A408,'Stock Adjustment'!$D:$D,"Expired")</f>
        <v>0</v>
      </c>
      <c r="L408" s="50">
        <f>SUMIFS('Stock Adjustment'!$E:$E,'Stock Adjustment'!$B:$B,$A408,'Stock Adjustment'!$D:$D,"Supplier Returned")</f>
        <v>0</v>
      </c>
      <c r="M4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8" s="53" t="str">
        <f>IF(B408="","",VLOOKUP(B408,'Product Master'!$B:$G,4,FALSE))</f>
        <v/>
      </c>
      <c r="O408" s="53" t="str">
        <f>IF(B408="","",VLOOKUP(B408,'Product Master'!$B:$G,5,FALSE))</f>
        <v/>
      </c>
      <c r="P408" s="50" t="str">
        <f>IF(B408="","",VLOOKUP(B408,'Product Master'!$B:$I,7,FALSE))</f>
        <v/>
      </c>
      <c r="Q408" s="158"/>
      <c r="R408" s="58" t="str">
        <f t="shared" si="6"/>
        <v/>
      </c>
      <c r="S408" s="25"/>
      <c r="T408" s="25"/>
      <c r="U408" s="25"/>
      <c r="V408" s="25"/>
      <c r="W408" s="25"/>
      <c r="X408" s="25"/>
    </row>
    <row r="409" spans="1:24" x14ac:dyDescent="0.25">
      <c r="A409" s="31" t="s">
        <v>969</v>
      </c>
      <c r="B409" s="32"/>
      <c r="C409" s="50" t="str">
        <f>IF(B409="","",VLOOKUP(B409,'Product Master'!$B:$G,2,FALSE))</f>
        <v/>
      </c>
      <c r="D409" s="50" t="str">
        <f>IF(B409="","",VLOOKUP(B409,'Product Master'!$B:$G,3,FALSE))</f>
        <v/>
      </c>
      <c r="E409" s="50"/>
      <c r="F409" s="50">
        <f>SUMIF('Stock Purchase'!$D:$D,B409,'Stock Purchase'!$F:$F)</f>
        <v>0</v>
      </c>
      <c r="G409" s="50">
        <f>SUMIFS('Stock Adjustment'!$E:$E,'Stock Adjustment'!$B:$B,$A409,'Stock Adjustment'!$D:$D,"Customer Returned")</f>
        <v>0</v>
      </c>
      <c r="H409" s="50">
        <f>SUMIF('Daily Sales Entry'!$D:$D,B409,'Daily Sales Entry'!$G:$G)</f>
        <v>0</v>
      </c>
      <c r="I409" s="50">
        <f>SUMIFS('Stock Adjustment'!$E:$E,'Stock Adjustment'!$B:$B,$A409,'Stock Adjustment'!$D:$D,"Staff Consumption")</f>
        <v>0</v>
      </c>
      <c r="J409" s="50">
        <f>SUMIFS('Stock Adjustment'!$E:$E,'Stock Adjustment'!$B:$B,$A409,'Stock Adjustment'!$D:$D,"Damaged")</f>
        <v>0</v>
      </c>
      <c r="K409" s="50">
        <f>SUMIFS('Stock Adjustment'!$E:$E,'Stock Adjustment'!$B:$B,$A409,'Stock Adjustment'!$D:$D,"Expired")</f>
        <v>0</v>
      </c>
      <c r="L409" s="50">
        <f>SUMIFS('Stock Adjustment'!$E:$E,'Stock Adjustment'!$B:$B,$A409,'Stock Adjustment'!$D:$D,"Supplier Returned")</f>
        <v>0</v>
      </c>
      <c r="M4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09" s="53" t="str">
        <f>IF(B409="","",VLOOKUP(B409,'Product Master'!$B:$G,4,FALSE))</f>
        <v/>
      </c>
      <c r="O409" s="53" t="str">
        <f>IF(B409="","",VLOOKUP(B409,'Product Master'!$B:$G,5,FALSE))</f>
        <v/>
      </c>
      <c r="P409" s="50" t="str">
        <f>IF(B409="","",VLOOKUP(B409,'Product Master'!$B:$I,7,FALSE))</f>
        <v/>
      </c>
      <c r="Q409" s="158"/>
      <c r="R409" s="58" t="str">
        <f t="shared" si="6"/>
        <v/>
      </c>
      <c r="S409" s="25"/>
      <c r="T409" s="25"/>
      <c r="U409" s="25"/>
      <c r="V409" s="25"/>
      <c r="W409" s="25"/>
      <c r="X409" s="25"/>
    </row>
    <row r="410" spans="1:24" x14ac:dyDescent="0.25">
      <c r="A410" s="31" t="s">
        <v>970</v>
      </c>
      <c r="B410" s="32"/>
      <c r="C410" s="50" t="str">
        <f>IF(B410="","",VLOOKUP(B410,'Product Master'!$B:$G,2,FALSE))</f>
        <v/>
      </c>
      <c r="D410" s="50" t="str">
        <f>IF(B410="","",VLOOKUP(B410,'Product Master'!$B:$G,3,FALSE))</f>
        <v/>
      </c>
      <c r="E410" s="50"/>
      <c r="F410" s="50">
        <f>SUMIF('Stock Purchase'!$D:$D,B410,'Stock Purchase'!$F:$F)</f>
        <v>0</v>
      </c>
      <c r="G410" s="50">
        <f>SUMIFS('Stock Adjustment'!$E:$E,'Stock Adjustment'!$B:$B,$A410,'Stock Adjustment'!$D:$D,"Customer Returned")</f>
        <v>0</v>
      </c>
      <c r="H410" s="50">
        <f>SUMIF('Daily Sales Entry'!$D:$D,B410,'Daily Sales Entry'!$G:$G)</f>
        <v>0</v>
      </c>
      <c r="I410" s="50">
        <f>SUMIFS('Stock Adjustment'!$E:$E,'Stock Adjustment'!$B:$B,$A410,'Stock Adjustment'!$D:$D,"Staff Consumption")</f>
        <v>0</v>
      </c>
      <c r="J410" s="50">
        <f>SUMIFS('Stock Adjustment'!$E:$E,'Stock Adjustment'!$B:$B,$A410,'Stock Adjustment'!$D:$D,"Damaged")</f>
        <v>0</v>
      </c>
      <c r="K410" s="50">
        <f>SUMIFS('Stock Adjustment'!$E:$E,'Stock Adjustment'!$B:$B,$A410,'Stock Adjustment'!$D:$D,"Expired")</f>
        <v>0</v>
      </c>
      <c r="L410" s="50">
        <f>SUMIFS('Stock Adjustment'!$E:$E,'Stock Adjustment'!$B:$B,$A410,'Stock Adjustment'!$D:$D,"Supplier Returned")</f>
        <v>0</v>
      </c>
      <c r="M4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0" s="53" t="str">
        <f>IF(B410="","",VLOOKUP(B410,'Product Master'!$B:$G,4,FALSE))</f>
        <v/>
      </c>
      <c r="O410" s="53" t="str">
        <f>IF(B410="","",VLOOKUP(B410,'Product Master'!$B:$G,5,FALSE))</f>
        <v/>
      </c>
      <c r="P410" s="50" t="str">
        <f>IF(B410="","",VLOOKUP(B410,'Product Master'!$B:$I,7,FALSE))</f>
        <v/>
      </c>
      <c r="Q410" s="158"/>
      <c r="R410" s="58" t="str">
        <f t="shared" si="6"/>
        <v/>
      </c>
      <c r="S410" s="25"/>
      <c r="T410" s="25"/>
      <c r="U410" s="25"/>
      <c r="V410" s="25"/>
      <c r="W410" s="25"/>
      <c r="X410" s="25"/>
    </row>
    <row r="411" spans="1:24" x14ac:dyDescent="0.25">
      <c r="A411" s="31" t="s">
        <v>971</v>
      </c>
      <c r="B411" s="32"/>
      <c r="C411" s="50" t="str">
        <f>IF(B411="","",VLOOKUP(B411,'Product Master'!$B:$G,2,FALSE))</f>
        <v/>
      </c>
      <c r="D411" s="50" t="str">
        <f>IF(B411="","",VLOOKUP(B411,'Product Master'!$B:$G,3,FALSE))</f>
        <v/>
      </c>
      <c r="E411" s="50"/>
      <c r="F411" s="50">
        <f>SUMIF('Stock Purchase'!$D:$D,B411,'Stock Purchase'!$F:$F)</f>
        <v>0</v>
      </c>
      <c r="G411" s="50">
        <f>SUMIFS('Stock Adjustment'!$E:$E,'Stock Adjustment'!$B:$B,$A411,'Stock Adjustment'!$D:$D,"Customer Returned")</f>
        <v>0</v>
      </c>
      <c r="H411" s="50">
        <f>SUMIF('Daily Sales Entry'!$D:$D,B411,'Daily Sales Entry'!$G:$G)</f>
        <v>0</v>
      </c>
      <c r="I411" s="50">
        <f>SUMIFS('Stock Adjustment'!$E:$E,'Stock Adjustment'!$B:$B,$A411,'Stock Adjustment'!$D:$D,"Staff Consumption")</f>
        <v>0</v>
      </c>
      <c r="J411" s="50">
        <f>SUMIFS('Stock Adjustment'!$E:$E,'Stock Adjustment'!$B:$B,$A411,'Stock Adjustment'!$D:$D,"Damaged")</f>
        <v>0</v>
      </c>
      <c r="K411" s="50">
        <f>SUMIFS('Stock Adjustment'!$E:$E,'Stock Adjustment'!$B:$B,$A411,'Stock Adjustment'!$D:$D,"Expired")</f>
        <v>0</v>
      </c>
      <c r="L411" s="50">
        <f>SUMIFS('Stock Adjustment'!$E:$E,'Stock Adjustment'!$B:$B,$A411,'Stock Adjustment'!$D:$D,"Supplier Returned")</f>
        <v>0</v>
      </c>
      <c r="M4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1" s="53" t="str">
        <f>IF(B411="","",VLOOKUP(B411,'Product Master'!$B:$G,4,FALSE))</f>
        <v/>
      </c>
      <c r="O411" s="53" t="str">
        <f>IF(B411="","",VLOOKUP(B411,'Product Master'!$B:$G,5,FALSE))</f>
        <v/>
      </c>
      <c r="P411" s="50" t="str">
        <f>IF(B411="","",VLOOKUP(B411,'Product Master'!$B:$I,7,FALSE))</f>
        <v/>
      </c>
      <c r="Q411" s="158"/>
      <c r="R411" s="58" t="str">
        <f t="shared" si="6"/>
        <v/>
      </c>
      <c r="S411" s="25"/>
      <c r="T411" s="25"/>
      <c r="U411" s="25"/>
      <c r="V411" s="25"/>
      <c r="W411" s="25"/>
      <c r="X411" s="25"/>
    </row>
    <row r="412" spans="1:24" x14ac:dyDescent="0.25">
      <c r="A412" s="31" t="s">
        <v>972</v>
      </c>
      <c r="B412" s="32"/>
      <c r="C412" s="50" t="str">
        <f>IF(B412="","",VLOOKUP(B412,'Product Master'!$B:$G,2,FALSE))</f>
        <v/>
      </c>
      <c r="D412" s="50" t="str">
        <f>IF(B412="","",VLOOKUP(B412,'Product Master'!$B:$G,3,FALSE))</f>
        <v/>
      </c>
      <c r="E412" s="50"/>
      <c r="F412" s="50">
        <f>SUMIF('Stock Purchase'!$D:$D,B412,'Stock Purchase'!$F:$F)</f>
        <v>0</v>
      </c>
      <c r="G412" s="50">
        <f>SUMIFS('Stock Adjustment'!$E:$E,'Stock Adjustment'!$B:$B,$A412,'Stock Adjustment'!$D:$D,"Customer Returned")</f>
        <v>0</v>
      </c>
      <c r="H412" s="50">
        <f>SUMIF('Daily Sales Entry'!$D:$D,B412,'Daily Sales Entry'!$G:$G)</f>
        <v>0</v>
      </c>
      <c r="I412" s="50">
        <f>SUMIFS('Stock Adjustment'!$E:$E,'Stock Adjustment'!$B:$B,$A412,'Stock Adjustment'!$D:$D,"Staff Consumption")</f>
        <v>0</v>
      </c>
      <c r="J412" s="50">
        <f>SUMIFS('Stock Adjustment'!$E:$E,'Stock Adjustment'!$B:$B,$A412,'Stock Adjustment'!$D:$D,"Damaged")</f>
        <v>0</v>
      </c>
      <c r="K412" s="50">
        <f>SUMIFS('Stock Adjustment'!$E:$E,'Stock Adjustment'!$B:$B,$A412,'Stock Adjustment'!$D:$D,"Expired")</f>
        <v>0</v>
      </c>
      <c r="L412" s="50">
        <f>SUMIFS('Stock Adjustment'!$E:$E,'Stock Adjustment'!$B:$B,$A412,'Stock Adjustment'!$D:$D,"Supplier Returned")</f>
        <v>0</v>
      </c>
      <c r="M4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2" s="53" t="str">
        <f>IF(B412="","",VLOOKUP(B412,'Product Master'!$B:$G,4,FALSE))</f>
        <v/>
      </c>
      <c r="O412" s="53" t="str">
        <f>IF(B412="","",VLOOKUP(B412,'Product Master'!$B:$G,5,FALSE))</f>
        <v/>
      </c>
      <c r="P412" s="50" t="str">
        <f>IF(B412="","",VLOOKUP(B412,'Product Master'!$B:$I,7,FALSE))</f>
        <v/>
      </c>
      <c r="Q412" s="158"/>
      <c r="R412" s="58" t="str">
        <f t="shared" si="6"/>
        <v/>
      </c>
      <c r="S412" s="25"/>
      <c r="T412" s="25"/>
      <c r="U412" s="25"/>
      <c r="V412" s="25"/>
      <c r="W412" s="25"/>
      <c r="X412" s="25"/>
    </row>
    <row r="413" spans="1:24" x14ac:dyDescent="0.25">
      <c r="A413" s="31" t="s">
        <v>973</v>
      </c>
      <c r="B413" s="32"/>
      <c r="C413" s="50" t="str">
        <f>IF(B413="","",VLOOKUP(B413,'Product Master'!$B:$G,2,FALSE))</f>
        <v/>
      </c>
      <c r="D413" s="50" t="str">
        <f>IF(B413="","",VLOOKUP(B413,'Product Master'!$B:$G,3,FALSE))</f>
        <v/>
      </c>
      <c r="E413" s="50"/>
      <c r="F413" s="50">
        <f>SUMIF('Stock Purchase'!$D:$D,B413,'Stock Purchase'!$F:$F)</f>
        <v>0</v>
      </c>
      <c r="G413" s="50">
        <f>SUMIFS('Stock Adjustment'!$E:$E,'Stock Adjustment'!$B:$B,$A413,'Stock Adjustment'!$D:$D,"Customer Returned")</f>
        <v>0</v>
      </c>
      <c r="H413" s="50">
        <f>SUMIF('Daily Sales Entry'!$D:$D,B413,'Daily Sales Entry'!$G:$G)</f>
        <v>0</v>
      </c>
      <c r="I413" s="50">
        <f>SUMIFS('Stock Adjustment'!$E:$E,'Stock Adjustment'!$B:$B,$A413,'Stock Adjustment'!$D:$D,"Staff Consumption")</f>
        <v>0</v>
      </c>
      <c r="J413" s="50">
        <f>SUMIFS('Stock Adjustment'!$E:$E,'Stock Adjustment'!$B:$B,$A413,'Stock Adjustment'!$D:$D,"Damaged")</f>
        <v>0</v>
      </c>
      <c r="K413" s="50">
        <f>SUMIFS('Stock Adjustment'!$E:$E,'Stock Adjustment'!$B:$B,$A413,'Stock Adjustment'!$D:$D,"Expired")</f>
        <v>0</v>
      </c>
      <c r="L413" s="50">
        <f>SUMIFS('Stock Adjustment'!$E:$E,'Stock Adjustment'!$B:$B,$A413,'Stock Adjustment'!$D:$D,"Supplier Returned")</f>
        <v>0</v>
      </c>
      <c r="M4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3" s="53" t="str">
        <f>IF(B413="","",VLOOKUP(B413,'Product Master'!$B:$G,4,FALSE))</f>
        <v/>
      </c>
      <c r="O413" s="53" t="str">
        <f>IF(B413="","",VLOOKUP(B413,'Product Master'!$B:$G,5,FALSE))</f>
        <v/>
      </c>
      <c r="P413" s="50" t="str">
        <f>IF(B413="","",VLOOKUP(B413,'Product Master'!$B:$I,7,FALSE))</f>
        <v/>
      </c>
      <c r="Q413" s="158"/>
      <c r="R413" s="58" t="str">
        <f t="shared" si="6"/>
        <v/>
      </c>
      <c r="S413" s="25"/>
      <c r="T413" s="25"/>
      <c r="U413" s="25"/>
      <c r="V413" s="25"/>
      <c r="W413" s="25"/>
      <c r="X413" s="25"/>
    </row>
    <row r="414" spans="1:24" x14ac:dyDescent="0.25">
      <c r="A414" s="31" t="s">
        <v>974</v>
      </c>
      <c r="B414" s="32"/>
      <c r="C414" s="50" t="str">
        <f>IF(B414="","",VLOOKUP(B414,'Product Master'!$B:$G,2,FALSE))</f>
        <v/>
      </c>
      <c r="D414" s="50" t="str">
        <f>IF(B414="","",VLOOKUP(B414,'Product Master'!$B:$G,3,FALSE))</f>
        <v/>
      </c>
      <c r="E414" s="50"/>
      <c r="F414" s="50">
        <f>SUMIF('Stock Purchase'!$D:$D,B414,'Stock Purchase'!$F:$F)</f>
        <v>0</v>
      </c>
      <c r="G414" s="50">
        <f>SUMIFS('Stock Adjustment'!$E:$E,'Stock Adjustment'!$B:$B,$A414,'Stock Adjustment'!$D:$D,"Customer Returned")</f>
        <v>0</v>
      </c>
      <c r="H414" s="50">
        <f>SUMIF('Daily Sales Entry'!$D:$D,B414,'Daily Sales Entry'!$G:$G)</f>
        <v>0</v>
      </c>
      <c r="I414" s="50">
        <f>SUMIFS('Stock Adjustment'!$E:$E,'Stock Adjustment'!$B:$B,$A414,'Stock Adjustment'!$D:$D,"Staff Consumption")</f>
        <v>0</v>
      </c>
      <c r="J414" s="50">
        <f>SUMIFS('Stock Adjustment'!$E:$E,'Stock Adjustment'!$B:$B,$A414,'Stock Adjustment'!$D:$D,"Damaged")</f>
        <v>0</v>
      </c>
      <c r="K414" s="50">
        <f>SUMIFS('Stock Adjustment'!$E:$E,'Stock Adjustment'!$B:$B,$A414,'Stock Adjustment'!$D:$D,"Expired")</f>
        <v>0</v>
      </c>
      <c r="L414" s="50">
        <f>SUMIFS('Stock Adjustment'!$E:$E,'Stock Adjustment'!$B:$B,$A414,'Stock Adjustment'!$D:$D,"Supplier Returned")</f>
        <v>0</v>
      </c>
      <c r="M4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4" s="53" t="str">
        <f>IF(B414="","",VLOOKUP(B414,'Product Master'!$B:$G,4,FALSE))</f>
        <v/>
      </c>
      <c r="O414" s="53" t="str">
        <f>IF(B414="","",VLOOKUP(B414,'Product Master'!$B:$G,5,FALSE))</f>
        <v/>
      </c>
      <c r="P414" s="50" t="str">
        <f>IF(B414="","",VLOOKUP(B414,'Product Master'!$B:$I,7,FALSE))</f>
        <v/>
      </c>
      <c r="Q414" s="158"/>
      <c r="R414" s="58" t="str">
        <f t="shared" si="6"/>
        <v/>
      </c>
      <c r="S414" s="25"/>
      <c r="T414" s="25"/>
      <c r="U414" s="25"/>
      <c r="V414" s="25"/>
      <c r="W414" s="25"/>
      <c r="X414" s="25"/>
    </row>
    <row r="415" spans="1:24" x14ac:dyDescent="0.25">
      <c r="A415" s="31" t="s">
        <v>975</v>
      </c>
      <c r="B415" s="32"/>
      <c r="C415" s="50" t="str">
        <f>IF(B415="","",VLOOKUP(B415,'Product Master'!$B:$G,2,FALSE))</f>
        <v/>
      </c>
      <c r="D415" s="50" t="str">
        <f>IF(B415="","",VLOOKUP(B415,'Product Master'!$B:$G,3,FALSE))</f>
        <v/>
      </c>
      <c r="E415" s="50"/>
      <c r="F415" s="50">
        <f>SUMIF('Stock Purchase'!$D:$D,B415,'Stock Purchase'!$F:$F)</f>
        <v>0</v>
      </c>
      <c r="G415" s="50">
        <f>SUMIFS('Stock Adjustment'!$E:$E,'Stock Adjustment'!$B:$B,$A415,'Stock Adjustment'!$D:$D,"Customer Returned")</f>
        <v>0</v>
      </c>
      <c r="H415" s="50">
        <f>SUMIF('Daily Sales Entry'!$D:$D,B415,'Daily Sales Entry'!$G:$G)</f>
        <v>0</v>
      </c>
      <c r="I415" s="50">
        <f>SUMIFS('Stock Adjustment'!$E:$E,'Stock Adjustment'!$B:$B,$A415,'Stock Adjustment'!$D:$D,"Staff Consumption")</f>
        <v>0</v>
      </c>
      <c r="J415" s="50">
        <f>SUMIFS('Stock Adjustment'!$E:$E,'Stock Adjustment'!$B:$B,$A415,'Stock Adjustment'!$D:$D,"Damaged")</f>
        <v>0</v>
      </c>
      <c r="K415" s="50">
        <f>SUMIFS('Stock Adjustment'!$E:$E,'Stock Adjustment'!$B:$B,$A415,'Stock Adjustment'!$D:$D,"Expired")</f>
        <v>0</v>
      </c>
      <c r="L415" s="50">
        <f>SUMIFS('Stock Adjustment'!$E:$E,'Stock Adjustment'!$B:$B,$A415,'Stock Adjustment'!$D:$D,"Supplier Returned")</f>
        <v>0</v>
      </c>
      <c r="M4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5" s="53" t="str">
        <f>IF(B415="","",VLOOKUP(B415,'Product Master'!$B:$G,4,FALSE))</f>
        <v/>
      </c>
      <c r="O415" s="53" t="str">
        <f>IF(B415="","",VLOOKUP(B415,'Product Master'!$B:$G,5,FALSE))</f>
        <v/>
      </c>
      <c r="P415" s="50" t="str">
        <f>IF(B415="","",VLOOKUP(B415,'Product Master'!$B:$I,7,FALSE))</f>
        <v/>
      </c>
      <c r="Q415" s="158"/>
      <c r="R415" s="58" t="str">
        <f t="shared" si="6"/>
        <v/>
      </c>
      <c r="S415" s="25"/>
      <c r="T415" s="25"/>
      <c r="U415" s="25"/>
      <c r="V415" s="25"/>
      <c r="W415" s="25"/>
      <c r="X415" s="25"/>
    </row>
    <row r="416" spans="1:24" x14ac:dyDescent="0.25">
      <c r="A416" s="31" t="s">
        <v>976</v>
      </c>
      <c r="B416" s="32"/>
      <c r="C416" s="50" t="str">
        <f>IF(B416="","",VLOOKUP(B416,'Product Master'!$B:$G,2,FALSE))</f>
        <v/>
      </c>
      <c r="D416" s="50" t="str">
        <f>IF(B416="","",VLOOKUP(B416,'Product Master'!$B:$G,3,FALSE))</f>
        <v/>
      </c>
      <c r="E416" s="50"/>
      <c r="F416" s="50">
        <f>SUMIF('Stock Purchase'!$D:$D,B416,'Stock Purchase'!$F:$F)</f>
        <v>0</v>
      </c>
      <c r="G416" s="50">
        <f>SUMIFS('Stock Adjustment'!$E:$E,'Stock Adjustment'!$B:$B,$A416,'Stock Adjustment'!$D:$D,"Customer Returned")</f>
        <v>0</v>
      </c>
      <c r="H416" s="50">
        <f>SUMIF('Daily Sales Entry'!$D:$D,B416,'Daily Sales Entry'!$G:$G)</f>
        <v>0</v>
      </c>
      <c r="I416" s="50">
        <f>SUMIFS('Stock Adjustment'!$E:$E,'Stock Adjustment'!$B:$B,$A416,'Stock Adjustment'!$D:$D,"Staff Consumption")</f>
        <v>0</v>
      </c>
      <c r="J416" s="50">
        <f>SUMIFS('Stock Adjustment'!$E:$E,'Stock Adjustment'!$B:$B,$A416,'Stock Adjustment'!$D:$D,"Damaged")</f>
        <v>0</v>
      </c>
      <c r="K416" s="50">
        <f>SUMIFS('Stock Adjustment'!$E:$E,'Stock Adjustment'!$B:$B,$A416,'Stock Adjustment'!$D:$D,"Expired")</f>
        <v>0</v>
      </c>
      <c r="L416" s="50">
        <f>SUMIFS('Stock Adjustment'!$E:$E,'Stock Adjustment'!$B:$B,$A416,'Stock Adjustment'!$D:$D,"Supplier Returned")</f>
        <v>0</v>
      </c>
      <c r="M4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6" s="53" t="str">
        <f>IF(B416="","",VLOOKUP(B416,'Product Master'!$B:$G,4,FALSE))</f>
        <v/>
      </c>
      <c r="O416" s="53" t="str">
        <f>IF(B416="","",VLOOKUP(B416,'Product Master'!$B:$G,5,FALSE))</f>
        <v/>
      </c>
      <c r="P416" s="50" t="str">
        <f>IF(B416="","",VLOOKUP(B416,'Product Master'!$B:$I,7,FALSE))</f>
        <v/>
      </c>
      <c r="Q416" s="158"/>
      <c r="R416" s="58" t="str">
        <f t="shared" si="6"/>
        <v/>
      </c>
      <c r="S416" s="25"/>
      <c r="T416" s="25"/>
      <c r="U416" s="25"/>
      <c r="V416" s="25"/>
      <c r="W416" s="25"/>
      <c r="X416" s="25"/>
    </row>
    <row r="417" spans="1:24" x14ac:dyDescent="0.25">
      <c r="A417" s="31" t="s">
        <v>977</v>
      </c>
      <c r="B417" s="32"/>
      <c r="C417" s="50" t="str">
        <f>IF(B417="","",VLOOKUP(B417,'Product Master'!$B:$G,2,FALSE))</f>
        <v/>
      </c>
      <c r="D417" s="50" t="str">
        <f>IF(B417="","",VLOOKUP(B417,'Product Master'!$B:$G,3,FALSE))</f>
        <v/>
      </c>
      <c r="E417" s="50"/>
      <c r="F417" s="50">
        <f>SUMIF('Stock Purchase'!$D:$D,B417,'Stock Purchase'!$F:$F)</f>
        <v>0</v>
      </c>
      <c r="G417" s="50">
        <f>SUMIFS('Stock Adjustment'!$E:$E,'Stock Adjustment'!$B:$B,$A417,'Stock Adjustment'!$D:$D,"Customer Returned")</f>
        <v>0</v>
      </c>
      <c r="H417" s="50">
        <f>SUMIF('Daily Sales Entry'!$D:$D,B417,'Daily Sales Entry'!$G:$G)</f>
        <v>0</v>
      </c>
      <c r="I417" s="50">
        <f>SUMIFS('Stock Adjustment'!$E:$E,'Stock Adjustment'!$B:$B,$A417,'Stock Adjustment'!$D:$D,"Staff Consumption")</f>
        <v>0</v>
      </c>
      <c r="J417" s="50">
        <f>SUMIFS('Stock Adjustment'!$E:$E,'Stock Adjustment'!$B:$B,$A417,'Stock Adjustment'!$D:$D,"Damaged")</f>
        <v>0</v>
      </c>
      <c r="K417" s="50">
        <f>SUMIFS('Stock Adjustment'!$E:$E,'Stock Adjustment'!$B:$B,$A417,'Stock Adjustment'!$D:$D,"Expired")</f>
        <v>0</v>
      </c>
      <c r="L417" s="50">
        <f>SUMIFS('Stock Adjustment'!$E:$E,'Stock Adjustment'!$B:$B,$A417,'Stock Adjustment'!$D:$D,"Supplier Returned")</f>
        <v>0</v>
      </c>
      <c r="M4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7" s="53" t="str">
        <f>IF(B417="","",VLOOKUP(B417,'Product Master'!$B:$G,4,FALSE))</f>
        <v/>
      </c>
      <c r="O417" s="53" t="str">
        <f>IF(B417="","",VLOOKUP(B417,'Product Master'!$B:$G,5,FALSE))</f>
        <v/>
      </c>
      <c r="P417" s="50" t="str">
        <f>IF(B417="","",VLOOKUP(B417,'Product Master'!$B:$I,7,FALSE))</f>
        <v/>
      </c>
      <c r="Q417" s="158"/>
      <c r="R417" s="58" t="str">
        <f t="shared" si="6"/>
        <v/>
      </c>
      <c r="S417" s="25"/>
      <c r="T417" s="25"/>
      <c r="U417" s="25"/>
      <c r="V417" s="25"/>
      <c r="W417" s="25"/>
      <c r="X417" s="25"/>
    </row>
    <row r="418" spans="1:24" x14ac:dyDescent="0.25">
      <c r="A418" s="31" t="s">
        <v>978</v>
      </c>
      <c r="B418" s="32"/>
      <c r="C418" s="50" t="str">
        <f>IF(B418="","",VLOOKUP(B418,'Product Master'!$B:$G,2,FALSE))</f>
        <v/>
      </c>
      <c r="D418" s="50" t="str">
        <f>IF(B418="","",VLOOKUP(B418,'Product Master'!$B:$G,3,FALSE))</f>
        <v/>
      </c>
      <c r="E418" s="50"/>
      <c r="F418" s="50">
        <f>SUMIF('Stock Purchase'!$D:$D,B418,'Stock Purchase'!$F:$F)</f>
        <v>0</v>
      </c>
      <c r="G418" s="50">
        <f>SUMIFS('Stock Adjustment'!$E:$E,'Stock Adjustment'!$B:$B,$A418,'Stock Adjustment'!$D:$D,"Customer Returned")</f>
        <v>0</v>
      </c>
      <c r="H418" s="50">
        <f>SUMIF('Daily Sales Entry'!$D:$D,B418,'Daily Sales Entry'!$G:$G)</f>
        <v>0</v>
      </c>
      <c r="I418" s="50">
        <f>SUMIFS('Stock Adjustment'!$E:$E,'Stock Adjustment'!$B:$B,$A418,'Stock Adjustment'!$D:$D,"Staff Consumption")</f>
        <v>0</v>
      </c>
      <c r="J418" s="50">
        <f>SUMIFS('Stock Adjustment'!$E:$E,'Stock Adjustment'!$B:$B,$A418,'Stock Adjustment'!$D:$D,"Damaged")</f>
        <v>0</v>
      </c>
      <c r="K418" s="50">
        <f>SUMIFS('Stock Adjustment'!$E:$E,'Stock Adjustment'!$B:$B,$A418,'Stock Adjustment'!$D:$D,"Expired")</f>
        <v>0</v>
      </c>
      <c r="L418" s="50">
        <f>SUMIFS('Stock Adjustment'!$E:$E,'Stock Adjustment'!$B:$B,$A418,'Stock Adjustment'!$D:$D,"Supplier Returned")</f>
        <v>0</v>
      </c>
      <c r="M4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8" s="53" t="str">
        <f>IF(B418="","",VLOOKUP(B418,'Product Master'!$B:$G,4,FALSE))</f>
        <v/>
      </c>
      <c r="O418" s="53" t="str">
        <f>IF(B418="","",VLOOKUP(B418,'Product Master'!$B:$G,5,FALSE))</f>
        <v/>
      </c>
      <c r="P418" s="50" t="str">
        <f>IF(B418="","",VLOOKUP(B418,'Product Master'!$B:$I,7,FALSE))</f>
        <v/>
      </c>
      <c r="Q418" s="158"/>
      <c r="R418" s="58" t="str">
        <f t="shared" si="6"/>
        <v/>
      </c>
      <c r="S418" s="25"/>
      <c r="T418" s="25"/>
      <c r="U418" s="25"/>
      <c r="V418" s="25"/>
      <c r="W418" s="25"/>
      <c r="X418" s="25"/>
    </row>
    <row r="419" spans="1:24" x14ac:dyDescent="0.25">
      <c r="A419" s="31" t="s">
        <v>979</v>
      </c>
      <c r="B419" s="32"/>
      <c r="C419" s="50" t="str">
        <f>IF(B419="","",VLOOKUP(B419,'Product Master'!$B:$G,2,FALSE))</f>
        <v/>
      </c>
      <c r="D419" s="50" t="str">
        <f>IF(B419="","",VLOOKUP(B419,'Product Master'!$B:$G,3,FALSE))</f>
        <v/>
      </c>
      <c r="E419" s="50"/>
      <c r="F419" s="50">
        <f>SUMIF('Stock Purchase'!$D:$D,B419,'Stock Purchase'!$F:$F)</f>
        <v>0</v>
      </c>
      <c r="G419" s="50">
        <f>SUMIFS('Stock Adjustment'!$E:$E,'Stock Adjustment'!$B:$B,$A419,'Stock Adjustment'!$D:$D,"Customer Returned")</f>
        <v>0</v>
      </c>
      <c r="H419" s="50">
        <f>SUMIF('Daily Sales Entry'!$D:$D,B419,'Daily Sales Entry'!$G:$G)</f>
        <v>0</v>
      </c>
      <c r="I419" s="50">
        <f>SUMIFS('Stock Adjustment'!$E:$E,'Stock Adjustment'!$B:$B,$A419,'Stock Adjustment'!$D:$D,"Staff Consumption")</f>
        <v>0</v>
      </c>
      <c r="J419" s="50">
        <f>SUMIFS('Stock Adjustment'!$E:$E,'Stock Adjustment'!$B:$B,$A419,'Stock Adjustment'!$D:$D,"Damaged")</f>
        <v>0</v>
      </c>
      <c r="K419" s="50">
        <f>SUMIFS('Stock Adjustment'!$E:$E,'Stock Adjustment'!$B:$B,$A419,'Stock Adjustment'!$D:$D,"Expired")</f>
        <v>0</v>
      </c>
      <c r="L419" s="50">
        <f>SUMIFS('Stock Adjustment'!$E:$E,'Stock Adjustment'!$B:$B,$A419,'Stock Adjustment'!$D:$D,"Supplier Returned")</f>
        <v>0</v>
      </c>
      <c r="M4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19" s="53" t="str">
        <f>IF(B419="","",VLOOKUP(B419,'Product Master'!$B:$G,4,FALSE))</f>
        <v/>
      </c>
      <c r="O419" s="53" t="str">
        <f>IF(B419="","",VLOOKUP(B419,'Product Master'!$B:$G,5,FALSE))</f>
        <v/>
      </c>
      <c r="P419" s="50" t="str">
        <f>IF(B419="","",VLOOKUP(B419,'Product Master'!$B:$I,7,FALSE))</f>
        <v/>
      </c>
      <c r="Q419" s="158"/>
      <c r="R419" s="58" t="str">
        <f t="shared" si="6"/>
        <v/>
      </c>
      <c r="S419" s="25"/>
      <c r="T419" s="25"/>
      <c r="U419" s="25"/>
      <c r="V419" s="25"/>
      <c r="W419" s="25"/>
      <c r="X419" s="25"/>
    </row>
    <row r="420" spans="1:24" x14ac:dyDescent="0.25">
      <c r="A420" s="31" t="s">
        <v>980</v>
      </c>
      <c r="B420" s="32"/>
      <c r="C420" s="50" t="str">
        <f>IF(B420="","",VLOOKUP(B420,'Product Master'!$B:$G,2,FALSE))</f>
        <v/>
      </c>
      <c r="D420" s="50" t="str">
        <f>IF(B420="","",VLOOKUP(B420,'Product Master'!$B:$G,3,FALSE))</f>
        <v/>
      </c>
      <c r="E420" s="50"/>
      <c r="F420" s="50">
        <f>SUMIF('Stock Purchase'!$D:$D,B420,'Stock Purchase'!$F:$F)</f>
        <v>0</v>
      </c>
      <c r="G420" s="50">
        <f>SUMIFS('Stock Adjustment'!$E:$E,'Stock Adjustment'!$B:$B,$A420,'Stock Adjustment'!$D:$D,"Customer Returned")</f>
        <v>0</v>
      </c>
      <c r="H420" s="50">
        <f>SUMIF('Daily Sales Entry'!$D:$D,B420,'Daily Sales Entry'!$G:$G)</f>
        <v>0</v>
      </c>
      <c r="I420" s="50">
        <f>SUMIFS('Stock Adjustment'!$E:$E,'Stock Adjustment'!$B:$B,$A420,'Stock Adjustment'!$D:$D,"Staff Consumption")</f>
        <v>0</v>
      </c>
      <c r="J420" s="50">
        <f>SUMIFS('Stock Adjustment'!$E:$E,'Stock Adjustment'!$B:$B,$A420,'Stock Adjustment'!$D:$D,"Damaged")</f>
        <v>0</v>
      </c>
      <c r="K420" s="50">
        <f>SUMIFS('Stock Adjustment'!$E:$E,'Stock Adjustment'!$B:$B,$A420,'Stock Adjustment'!$D:$D,"Expired")</f>
        <v>0</v>
      </c>
      <c r="L420" s="50">
        <f>SUMIFS('Stock Adjustment'!$E:$E,'Stock Adjustment'!$B:$B,$A420,'Stock Adjustment'!$D:$D,"Supplier Returned")</f>
        <v>0</v>
      </c>
      <c r="M4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0" s="53" t="str">
        <f>IF(B420="","",VLOOKUP(B420,'Product Master'!$B:$G,4,FALSE))</f>
        <v/>
      </c>
      <c r="O420" s="53" t="str">
        <f>IF(B420="","",VLOOKUP(B420,'Product Master'!$B:$G,5,FALSE))</f>
        <v/>
      </c>
      <c r="P420" s="50" t="str">
        <f>IF(B420="","",VLOOKUP(B420,'Product Master'!$B:$I,7,FALSE))</f>
        <v/>
      </c>
      <c r="Q420" s="158"/>
      <c r="R420" s="58" t="str">
        <f t="shared" si="6"/>
        <v/>
      </c>
      <c r="S420" s="25"/>
      <c r="T420" s="25"/>
      <c r="U420" s="25"/>
      <c r="V420" s="25"/>
      <c r="W420" s="25"/>
      <c r="X420" s="25"/>
    </row>
    <row r="421" spans="1:24" x14ac:dyDescent="0.25">
      <c r="A421" s="31" t="s">
        <v>981</v>
      </c>
      <c r="B421" s="32"/>
      <c r="C421" s="50" t="str">
        <f>IF(B421="","",VLOOKUP(B421,'Product Master'!$B:$G,2,FALSE))</f>
        <v/>
      </c>
      <c r="D421" s="50" t="str">
        <f>IF(B421="","",VLOOKUP(B421,'Product Master'!$B:$G,3,FALSE))</f>
        <v/>
      </c>
      <c r="E421" s="50"/>
      <c r="F421" s="50">
        <f>SUMIF('Stock Purchase'!$D:$D,B421,'Stock Purchase'!$F:$F)</f>
        <v>0</v>
      </c>
      <c r="G421" s="50">
        <f>SUMIFS('Stock Adjustment'!$E:$E,'Stock Adjustment'!$B:$B,$A421,'Stock Adjustment'!$D:$D,"Customer Returned")</f>
        <v>0</v>
      </c>
      <c r="H421" s="50">
        <f>SUMIF('Daily Sales Entry'!$D:$D,B421,'Daily Sales Entry'!$G:$G)</f>
        <v>0</v>
      </c>
      <c r="I421" s="50">
        <f>SUMIFS('Stock Adjustment'!$E:$E,'Stock Adjustment'!$B:$B,$A421,'Stock Adjustment'!$D:$D,"Staff Consumption")</f>
        <v>0</v>
      </c>
      <c r="J421" s="50">
        <f>SUMIFS('Stock Adjustment'!$E:$E,'Stock Adjustment'!$B:$B,$A421,'Stock Adjustment'!$D:$D,"Damaged")</f>
        <v>0</v>
      </c>
      <c r="K421" s="50">
        <f>SUMIFS('Stock Adjustment'!$E:$E,'Stock Adjustment'!$B:$B,$A421,'Stock Adjustment'!$D:$D,"Expired")</f>
        <v>0</v>
      </c>
      <c r="L421" s="50">
        <f>SUMIFS('Stock Adjustment'!$E:$E,'Stock Adjustment'!$B:$B,$A421,'Stock Adjustment'!$D:$D,"Supplier Returned")</f>
        <v>0</v>
      </c>
      <c r="M4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1" s="53" t="str">
        <f>IF(B421="","",VLOOKUP(B421,'Product Master'!$B:$G,4,FALSE))</f>
        <v/>
      </c>
      <c r="O421" s="53" t="str">
        <f>IF(B421="","",VLOOKUP(B421,'Product Master'!$B:$G,5,FALSE))</f>
        <v/>
      </c>
      <c r="P421" s="50" t="str">
        <f>IF(B421="","",VLOOKUP(B421,'Product Master'!$B:$I,7,FALSE))</f>
        <v/>
      </c>
      <c r="Q421" s="158"/>
      <c r="R421" s="58" t="str">
        <f t="shared" si="6"/>
        <v/>
      </c>
      <c r="S421" s="25"/>
      <c r="T421" s="25"/>
      <c r="U421" s="25"/>
      <c r="V421" s="25"/>
      <c r="W421" s="25"/>
      <c r="X421" s="25"/>
    </row>
    <row r="422" spans="1:24" x14ac:dyDescent="0.25">
      <c r="A422" s="31" t="s">
        <v>982</v>
      </c>
      <c r="B422" s="32"/>
      <c r="C422" s="50" t="str">
        <f>IF(B422="","",VLOOKUP(B422,'Product Master'!$B:$G,2,FALSE))</f>
        <v/>
      </c>
      <c r="D422" s="50" t="str">
        <f>IF(B422="","",VLOOKUP(B422,'Product Master'!$B:$G,3,FALSE))</f>
        <v/>
      </c>
      <c r="E422" s="50"/>
      <c r="F422" s="50">
        <f>SUMIF('Stock Purchase'!$D:$D,B422,'Stock Purchase'!$F:$F)</f>
        <v>0</v>
      </c>
      <c r="G422" s="50">
        <f>SUMIFS('Stock Adjustment'!$E:$E,'Stock Adjustment'!$B:$B,$A422,'Stock Adjustment'!$D:$D,"Customer Returned")</f>
        <v>0</v>
      </c>
      <c r="H422" s="50">
        <f>SUMIF('Daily Sales Entry'!$D:$D,B422,'Daily Sales Entry'!$G:$G)</f>
        <v>0</v>
      </c>
      <c r="I422" s="50">
        <f>SUMIFS('Stock Adjustment'!$E:$E,'Stock Adjustment'!$B:$B,$A422,'Stock Adjustment'!$D:$D,"Staff Consumption")</f>
        <v>0</v>
      </c>
      <c r="J422" s="50">
        <f>SUMIFS('Stock Adjustment'!$E:$E,'Stock Adjustment'!$B:$B,$A422,'Stock Adjustment'!$D:$D,"Damaged")</f>
        <v>0</v>
      </c>
      <c r="K422" s="50">
        <f>SUMIFS('Stock Adjustment'!$E:$E,'Stock Adjustment'!$B:$B,$A422,'Stock Adjustment'!$D:$D,"Expired")</f>
        <v>0</v>
      </c>
      <c r="L422" s="50">
        <f>SUMIFS('Stock Adjustment'!$E:$E,'Stock Adjustment'!$B:$B,$A422,'Stock Adjustment'!$D:$D,"Supplier Returned")</f>
        <v>0</v>
      </c>
      <c r="M4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2" s="53" t="str">
        <f>IF(B422="","",VLOOKUP(B422,'Product Master'!$B:$G,4,FALSE))</f>
        <v/>
      </c>
      <c r="O422" s="53" t="str">
        <f>IF(B422="","",VLOOKUP(B422,'Product Master'!$B:$G,5,FALSE))</f>
        <v/>
      </c>
      <c r="P422" s="50" t="str">
        <f>IF(B422="","",VLOOKUP(B422,'Product Master'!$B:$I,7,FALSE))</f>
        <v/>
      </c>
      <c r="Q422" s="158"/>
      <c r="R422" s="58" t="str">
        <f t="shared" si="6"/>
        <v/>
      </c>
      <c r="S422" s="25"/>
      <c r="T422" s="25"/>
      <c r="U422" s="25"/>
      <c r="V422" s="25"/>
      <c r="W422" s="25"/>
      <c r="X422" s="25"/>
    </row>
    <row r="423" spans="1:24" x14ac:dyDescent="0.25">
      <c r="A423" s="31" t="s">
        <v>983</v>
      </c>
      <c r="B423" s="32"/>
      <c r="C423" s="50" t="str">
        <f>IF(B423="","",VLOOKUP(B423,'Product Master'!$B:$G,2,FALSE))</f>
        <v/>
      </c>
      <c r="D423" s="50" t="str">
        <f>IF(B423="","",VLOOKUP(B423,'Product Master'!$B:$G,3,FALSE))</f>
        <v/>
      </c>
      <c r="E423" s="50"/>
      <c r="F423" s="50">
        <f>SUMIF('Stock Purchase'!$D:$D,B423,'Stock Purchase'!$F:$F)</f>
        <v>0</v>
      </c>
      <c r="G423" s="50">
        <f>SUMIFS('Stock Adjustment'!$E:$E,'Stock Adjustment'!$B:$B,$A423,'Stock Adjustment'!$D:$D,"Customer Returned")</f>
        <v>0</v>
      </c>
      <c r="H423" s="50">
        <f>SUMIF('Daily Sales Entry'!$D:$D,B423,'Daily Sales Entry'!$G:$G)</f>
        <v>0</v>
      </c>
      <c r="I423" s="50">
        <f>SUMIFS('Stock Adjustment'!$E:$E,'Stock Adjustment'!$B:$B,$A423,'Stock Adjustment'!$D:$D,"Staff Consumption")</f>
        <v>0</v>
      </c>
      <c r="J423" s="50">
        <f>SUMIFS('Stock Adjustment'!$E:$E,'Stock Adjustment'!$B:$B,$A423,'Stock Adjustment'!$D:$D,"Damaged")</f>
        <v>0</v>
      </c>
      <c r="K423" s="50">
        <f>SUMIFS('Stock Adjustment'!$E:$E,'Stock Adjustment'!$B:$B,$A423,'Stock Adjustment'!$D:$D,"Expired")</f>
        <v>0</v>
      </c>
      <c r="L423" s="50">
        <f>SUMIFS('Stock Adjustment'!$E:$E,'Stock Adjustment'!$B:$B,$A423,'Stock Adjustment'!$D:$D,"Supplier Returned")</f>
        <v>0</v>
      </c>
      <c r="M4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3" s="53" t="str">
        <f>IF(B423="","",VLOOKUP(B423,'Product Master'!$B:$G,4,FALSE))</f>
        <v/>
      </c>
      <c r="O423" s="53" t="str">
        <f>IF(B423="","",VLOOKUP(B423,'Product Master'!$B:$G,5,FALSE))</f>
        <v/>
      </c>
      <c r="P423" s="50" t="str">
        <f>IF(B423="","",VLOOKUP(B423,'Product Master'!$B:$I,7,FALSE))</f>
        <v/>
      </c>
      <c r="Q423" s="158"/>
      <c r="R423" s="58" t="str">
        <f t="shared" si="6"/>
        <v/>
      </c>
      <c r="S423" s="25"/>
      <c r="T423" s="25"/>
      <c r="U423" s="25"/>
      <c r="V423" s="25"/>
      <c r="W423" s="25"/>
      <c r="X423" s="25"/>
    </row>
    <row r="424" spans="1:24" x14ac:dyDescent="0.25">
      <c r="A424" s="31" t="s">
        <v>984</v>
      </c>
      <c r="B424" s="32"/>
      <c r="C424" s="50" t="str">
        <f>IF(B424="","",VLOOKUP(B424,'Product Master'!$B:$G,2,FALSE))</f>
        <v/>
      </c>
      <c r="D424" s="50" t="str">
        <f>IF(B424="","",VLOOKUP(B424,'Product Master'!$B:$G,3,FALSE))</f>
        <v/>
      </c>
      <c r="E424" s="50"/>
      <c r="F424" s="50">
        <f>SUMIF('Stock Purchase'!$D:$D,B424,'Stock Purchase'!$F:$F)</f>
        <v>0</v>
      </c>
      <c r="G424" s="50">
        <f>SUMIFS('Stock Adjustment'!$E:$E,'Stock Adjustment'!$B:$B,$A424,'Stock Adjustment'!$D:$D,"Customer Returned")</f>
        <v>0</v>
      </c>
      <c r="H424" s="50">
        <f>SUMIF('Daily Sales Entry'!$D:$D,B424,'Daily Sales Entry'!$G:$G)</f>
        <v>0</v>
      </c>
      <c r="I424" s="50">
        <f>SUMIFS('Stock Adjustment'!$E:$E,'Stock Adjustment'!$B:$B,$A424,'Stock Adjustment'!$D:$D,"Staff Consumption")</f>
        <v>0</v>
      </c>
      <c r="J424" s="50">
        <f>SUMIFS('Stock Adjustment'!$E:$E,'Stock Adjustment'!$B:$B,$A424,'Stock Adjustment'!$D:$D,"Damaged")</f>
        <v>0</v>
      </c>
      <c r="K424" s="50">
        <f>SUMIFS('Stock Adjustment'!$E:$E,'Stock Adjustment'!$B:$B,$A424,'Stock Adjustment'!$D:$D,"Expired")</f>
        <v>0</v>
      </c>
      <c r="L424" s="50">
        <f>SUMIFS('Stock Adjustment'!$E:$E,'Stock Adjustment'!$B:$B,$A424,'Stock Adjustment'!$D:$D,"Supplier Returned")</f>
        <v>0</v>
      </c>
      <c r="M4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4" s="53" t="str">
        <f>IF(B424="","",VLOOKUP(B424,'Product Master'!$B:$G,4,FALSE))</f>
        <v/>
      </c>
      <c r="O424" s="53" t="str">
        <f>IF(B424="","",VLOOKUP(B424,'Product Master'!$B:$G,5,FALSE))</f>
        <v/>
      </c>
      <c r="P424" s="50" t="str">
        <f>IF(B424="","",VLOOKUP(B424,'Product Master'!$B:$I,7,FALSE))</f>
        <v/>
      </c>
      <c r="Q424" s="158"/>
      <c r="R424" s="58" t="str">
        <f t="shared" si="6"/>
        <v/>
      </c>
      <c r="S424" s="25"/>
      <c r="T424" s="25"/>
      <c r="U424" s="25"/>
      <c r="V424" s="25"/>
      <c r="W424" s="25"/>
      <c r="X424" s="25"/>
    </row>
    <row r="425" spans="1:24" x14ac:dyDescent="0.25">
      <c r="A425" s="31" t="s">
        <v>985</v>
      </c>
      <c r="B425" s="32"/>
      <c r="C425" s="50" t="str">
        <f>IF(B425="","",VLOOKUP(B425,'Product Master'!$B:$G,2,FALSE))</f>
        <v/>
      </c>
      <c r="D425" s="50" t="str">
        <f>IF(B425="","",VLOOKUP(B425,'Product Master'!$B:$G,3,FALSE))</f>
        <v/>
      </c>
      <c r="E425" s="50"/>
      <c r="F425" s="50">
        <f>SUMIF('Stock Purchase'!$D:$D,B425,'Stock Purchase'!$F:$F)</f>
        <v>0</v>
      </c>
      <c r="G425" s="50">
        <f>SUMIFS('Stock Adjustment'!$E:$E,'Stock Adjustment'!$B:$B,$A425,'Stock Adjustment'!$D:$D,"Customer Returned")</f>
        <v>0</v>
      </c>
      <c r="H425" s="50">
        <f>SUMIF('Daily Sales Entry'!$D:$D,B425,'Daily Sales Entry'!$G:$G)</f>
        <v>0</v>
      </c>
      <c r="I425" s="50">
        <f>SUMIFS('Stock Adjustment'!$E:$E,'Stock Adjustment'!$B:$B,$A425,'Stock Adjustment'!$D:$D,"Staff Consumption")</f>
        <v>0</v>
      </c>
      <c r="J425" s="50">
        <f>SUMIFS('Stock Adjustment'!$E:$E,'Stock Adjustment'!$B:$B,$A425,'Stock Adjustment'!$D:$D,"Damaged")</f>
        <v>0</v>
      </c>
      <c r="K425" s="50">
        <f>SUMIFS('Stock Adjustment'!$E:$E,'Stock Adjustment'!$B:$B,$A425,'Stock Adjustment'!$D:$D,"Expired")</f>
        <v>0</v>
      </c>
      <c r="L425" s="50">
        <f>SUMIFS('Stock Adjustment'!$E:$E,'Stock Adjustment'!$B:$B,$A425,'Stock Adjustment'!$D:$D,"Supplier Returned")</f>
        <v>0</v>
      </c>
      <c r="M4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5" s="53" t="str">
        <f>IF(B425="","",VLOOKUP(B425,'Product Master'!$B:$G,4,FALSE))</f>
        <v/>
      </c>
      <c r="O425" s="53" t="str">
        <f>IF(B425="","",VLOOKUP(B425,'Product Master'!$B:$G,5,FALSE))</f>
        <v/>
      </c>
      <c r="P425" s="50" t="str">
        <f>IF(B425="","",VLOOKUP(B425,'Product Master'!$B:$I,7,FALSE))</f>
        <v/>
      </c>
      <c r="Q425" s="158"/>
      <c r="R425" s="58" t="str">
        <f t="shared" si="6"/>
        <v/>
      </c>
      <c r="S425" s="25"/>
      <c r="T425" s="25"/>
      <c r="U425" s="25"/>
      <c r="V425" s="25"/>
      <c r="W425" s="25"/>
      <c r="X425" s="25"/>
    </row>
    <row r="426" spans="1:24" x14ac:dyDescent="0.25">
      <c r="A426" s="31" t="s">
        <v>986</v>
      </c>
      <c r="B426" s="32"/>
      <c r="C426" s="50" t="str">
        <f>IF(B426="","",VLOOKUP(B426,'Product Master'!$B:$G,2,FALSE))</f>
        <v/>
      </c>
      <c r="D426" s="50" t="str">
        <f>IF(B426="","",VLOOKUP(B426,'Product Master'!$B:$G,3,FALSE))</f>
        <v/>
      </c>
      <c r="E426" s="50"/>
      <c r="F426" s="50">
        <f>SUMIF('Stock Purchase'!$D:$D,B426,'Stock Purchase'!$F:$F)</f>
        <v>0</v>
      </c>
      <c r="G426" s="50">
        <f>SUMIFS('Stock Adjustment'!$E:$E,'Stock Adjustment'!$B:$B,$A426,'Stock Adjustment'!$D:$D,"Customer Returned")</f>
        <v>0</v>
      </c>
      <c r="H426" s="50">
        <f>SUMIF('Daily Sales Entry'!$D:$D,B426,'Daily Sales Entry'!$G:$G)</f>
        <v>0</v>
      </c>
      <c r="I426" s="50">
        <f>SUMIFS('Stock Adjustment'!$E:$E,'Stock Adjustment'!$B:$B,$A426,'Stock Adjustment'!$D:$D,"Staff Consumption")</f>
        <v>0</v>
      </c>
      <c r="J426" s="50">
        <f>SUMIFS('Stock Adjustment'!$E:$E,'Stock Adjustment'!$B:$B,$A426,'Stock Adjustment'!$D:$D,"Damaged")</f>
        <v>0</v>
      </c>
      <c r="K426" s="50">
        <f>SUMIFS('Stock Adjustment'!$E:$E,'Stock Adjustment'!$B:$B,$A426,'Stock Adjustment'!$D:$D,"Expired")</f>
        <v>0</v>
      </c>
      <c r="L426" s="50">
        <f>SUMIFS('Stock Adjustment'!$E:$E,'Stock Adjustment'!$B:$B,$A426,'Stock Adjustment'!$D:$D,"Supplier Returned")</f>
        <v>0</v>
      </c>
      <c r="M4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6" s="53" t="str">
        <f>IF(B426="","",VLOOKUP(B426,'Product Master'!$B:$G,4,FALSE))</f>
        <v/>
      </c>
      <c r="O426" s="53" t="str">
        <f>IF(B426="","",VLOOKUP(B426,'Product Master'!$B:$G,5,FALSE))</f>
        <v/>
      </c>
      <c r="P426" s="50" t="str">
        <f>IF(B426="","",VLOOKUP(B426,'Product Master'!$B:$I,7,FALSE))</f>
        <v/>
      </c>
      <c r="Q426" s="158"/>
      <c r="R426" s="58" t="str">
        <f t="shared" si="6"/>
        <v/>
      </c>
      <c r="S426" s="25"/>
      <c r="T426" s="25"/>
      <c r="U426" s="25"/>
      <c r="V426" s="25"/>
      <c r="W426" s="25"/>
      <c r="X426" s="25"/>
    </row>
    <row r="427" spans="1:24" x14ac:dyDescent="0.25">
      <c r="A427" s="31" t="s">
        <v>987</v>
      </c>
      <c r="B427" s="32"/>
      <c r="C427" s="50" t="str">
        <f>IF(B427="","",VLOOKUP(B427,'Product Master'!$B:$G,2,FALSE))</f>
        <v/>
      </c>
      <c r="D427" s="50" t="str">
        <f>IF(B427="","",VLOOKUP(B427,'Product Master'!$B:$G,3,FALSE))</f>
        <v/>
      </c>
      <c r="E427" s="50"/>
      <c r="F427" s="50">
        <f>SUMIF('Stock Purchase'!$D:$D,B427,'Stock Purchase'!$F:$F)</f>
        <v>0</v>
      </c>
      <c r="G427" s="50">
        <f>SUMIFS('Stock Adjustment'!$E:$E,'Stock Adjustment'!$B:$B,$A427,'Stock Adjustment'!$D:$D,"Customer Returned")</f>
        <v>0</v>
      </c>
      <c r="H427" s="50">
        <f>SUMIF('Daily Sales Entry'!$D:$D,B427,'Daily Sales Entry'!$G:$G)</f>
        <v>0</v>
      </c>
      <c r="I427" s="50">
        <f>SUMIFS('Stock Adjustment'!$E:$E,'Stock Adjustment'!$B:$B,$A427,'Stock Adjustment'!$D:$D,"Staff Consumption")</f>
        <v>0</v>
      </c>
      <c r="J427" s="50">
        <f>SUMIFS('Stock Adjustment'!$E:$E,'Stock Adjustment'!$B:$B,$A427,'Stock Adjustment'!$D:$D,"Damaged")</f>
        <v>0</v>
      </c>
      <c r="K427" s="50">
        <f>SUMIFS('Stock Adjustment'!$E:$E,'Stock Adjustment'!$B:$B,$A427,'Stock Adjustment'!$D:$D,"Expired")</f>
        <v>0</v>
      </c>
      <c r="L427" s="50">
        <f>SUMIFS('Stock Adjustment'!$E:$E,'Stock Adjustment'!$B:$B,$A427,'Stock Adjustment'!$D:$D,"Supplier Returned")</f>
        <v>0</v>
      </c>
      <c r="M4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7" s="53" t="str">
        <f>IF(B427="","",VLOOKUP(B427,'Product Master'!$B:$G,4,FALSE))</f>
        <v/>
      </c>
      <c r="O427" s="53" t="str">
        <f>IF(B427="","",VLOOKUP(B427,'Product Master'!$B:$G,5,FALSE))</f>
        <v/>
      </c>
      <c r="P427" s="50" t="str">
        <f>IF(B427="","",VLOOKUP(B427,'Product Master'!$B:$I,7,FALSE))</f>
        <v/>
      </c>
      <c r="Q427" s="158"/>
      <c r="R427" s="58" t="str">
        <f t="shared" si="6"/>
        <v/>
      </c>
      <c r="S427" s="25"/>
      <c r="T427" s="25"/>
      <c r="U427" s="25"/>
      <c r="V427" s="25"/>
      <c r="W427" s="25"/>
      <c r="X427" s="25"/>
    </row>
    <row r="428" spans="1:24" x14ac:dyDescent="0.25">
      <c r="A428" s="31" t="s">
        <v>988</v>
      </c>
      <c r="B428" s="32"/>
      <c r="C428" s="50" t="str">
        <f>IF(B428="","",VLOOKUP(B428,'Product Master'!$B:$G,2,FALSE))</f>
        <v/>
      </c>
      <c r="D428" s="50" t="str">
        <f>IF(B428="","",VLOOKUP(B428,'Product Master'!$B:$G,3,FALSE))</f>
        <v/>
      </c>
      <c r="E428" s="50"/>
      <c r="F428" s="50">
        <f>SUMIF('Stock Purchase'!$D:$D,B428,'Stock Purchase'!$F:$F)</f>
        <v>0</v>
      </c>
      <c r="G428" s="50">
        <f>SUMIFS('Stock Adjustment'!$E:$E,'Stock Adjustment'!$B:$B,$A428,'Stock Adjustment'!$D:$D,"Customer Returned")</f>
        <v>0</v>
      </c>
      <c r="H428" s="50">
        <f>SUMIF('Daily Sales Entry'!$D:$D,B428,'Daily Sales Entry'!$G:$G)</f>
        <v>0</v>
      </c>
      <c r="I428" s="50">
        <f>SUMIFS('Stock Adjustment'!$E:$E,'Stock Adjustment'!$B:$B,$A428,'Stock Adjustment'!$D:$D,"Staff Consumption")</f>
        <v>0</v>
      </c>
      <c r="J428" s="50">
        <f>SUMIFS('Stock Adjustment'!$E:$E,'Stock Adjustment'!$B:$B,$A428,'Stock Adjustment'!$D:$D,"Damaged")</f>
        <v>0</v>
      </c>
      <c r="K428" s="50">
        <f>SUMIFS('Stock Adjustment'!$E:$E,'Stock Adjustment'!$B:$B,$A428,'Stock Adjustment'!$D:$D,"Expired")</f>
        <v>0</v>
      </c>
      <c r="L428" s="50">
        <f>SUMIFS('Stock Adjustment'!$E:$E,'Stock Adjustment'!$B:$B,$A428,'Stock Adjustment'!$D:$D,"Supplier Returned")</f>
        <v>0</v>
      </c>
      <c r="M4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8" s="53" t="str">
        <f>IF(B428="","",VLOOKUP(B428,'Product Master'!$B:$G,4,FALSE))</f>
        <v/>
      </c>
      <c r="O428" s="53" t="str">
        <f>IF(B428="","",VLOOKUP(B428,'Product Master'!$B:$G,5,FALSE))</f>
        <v/>
      </c>
      <c r="P428" s="50" t="str">
        <f>IF(B428="","",VLOOKUP(B428,'Product Master'!$B:$I,7,FALSE))</f>
        <v/>
      </c>
      <c r="Q428" s="158"/>
      <c r="R428" s="58" t="str">
        <f t="shared" si="6"/>
        <v/>
      </c>
      <c r="S428" s="25"/>
      <c r="T428" s="25"/>
      <c r="U428" s="25"/>
      <c r="V428" s="25"/>
      <c r="W428" s="25"/>
      <c r="X428" s="25"/>
    </row>
    <row r="429" spans="1:24" x14ac:dyDescent="0.25">
      <c r="A429" s="31" t="s">
        <v>989</v>
      </c>
      <c r="B429" s="32"/>
      <c r="C429" s="50" t="str">
        <f>IF(B429="","",VLOOKUP(B429,'Product Master'!$B:$G,2,FALSE))</f>
        <v/>
      </c>
      <c r="D429" s="50" t="str">
        <f>IF(B429="","",VLOOKUP(B429,'Product Master'!$B:$G,3,FALSE))</f>
        <v/>
      </c>
      <c r="E429" s="50"/>
      <c r="F429" s="50">
        <f>SUMIF('Stock Purchase'!$D:$D,B429,'Stock Purchase'!$F:$F)</f>
        <v>0</v>
      </c>
      <c r="G429" s="50">
        <f>SUMIFS('Stock Adjustment'!$E:$E,'Stock Adjustment'!$B:$B,$A429,'Stock Adjustment'!$D:$D,"Customer Returned")</f>
        <v>0</v>
      </c>
      <c r="H429" s="50">
        <f>SUMIF('Daily Sales Entry'!$D:$D,B429,'Daily Sales Entry'!$G:$G)</f>
        <v>0</v>
      </c>
      <c r="I429" s="50">
        <f>SUMIFS('Stock Adjustment'!$E:$E,'Stock Adjustment'!$B:$B,$A429,'Stock Adjustment'!$D:$D,"Staff Consumption")</f>
        <v>0</v>
      </c>
      <c r="J429" s="50">
        <f>SUMIFS('Stock Adjustment'!$E:$E,'Stock Adjustment'!$B:$B,$A429,'Stock Adjustment'!$D:$D,"Damaged")</f>
        <v>0</v>
      </c>
      <c r="K429" s="50">
        <f>SUMIFS('Stock Adjustment'!$E:$E,'Stock Adjustment'!$B:$B,$A429,'Stock Adjustment'!$D:$D,"Expired")</f>
        <v>0</v>
      </c>
      <c r="L429" s="50">
        <f>SUMIFS('Stock Adjustment'!$E:$E,'Stock Adjustment'!$B:$B,$A429,'Stock Adjustment'!$D:$D,"Supplier Returned")</f>
        <v>0</v>
      </c>
      <c r="M4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29" s="53" t="str">
        <f>IF(B429="","",VLOOKUP(B429,'Product Master'!$B:$G,4,FALSE))</f>
        <v/>
      </c>
      <c r="O429" s="53" t="str">
        <f>IF(B429="","",VLOOKUP(B429,'Product Master'!$B:$G,5,FALSE))</f>
        <v/>
      </c>
      <c r="P429" s="50" t="str">
        <f>IF(B429="","",VLOOKUP(B429,'Product Master'!$B:$I,7,FALSE))</f>
        <v/>
      </c>
      <c r="Q429" s="158"/>
      <c r="R429" s="58" t="str">
        <f t="shared" si="6"/>
        <v/>
      </c>
      <c r="S429" s="25"/>
      <c r="T429" s="25"/>
      <c r="U429" s="25"/>
      <c r="V429" s="25"/>
      <c r="W429" s="25"/>
      <c r="X429" s="25"/>
    </row>
    <row r="430" spans="1:24" x14ac:dyDescent="0.25">
      <c r="A430" s="31" t="s">
        <v>990</v>
      </c>
      <c r="B430" s="32"/>
      <c r="C430" s="50" t="str">
        <f>IF(B430="","",VLOOKUP(B430,'Product Master'!$B:$G,2,FALSE))</f>
        <v/>
      </c>
      <c r="D430" s="50" t="str">
        <f>IF(B430="","",VLOOKUP(B430,'Product Master'!$B:$G,3,FALSE))</f>
        <v/>
      </c>
      <c r="E430" s="50"/>
      <c r="F430" s="50">
        <f>SUMIF('Stock Purchase'!$D:$D,B430,'Stock Purchase'!$F:$F)</f>
        <v>0</v>
      </c>
      <c r="G430" s="50">
        <f>SUMIFS('Stock Adjustment'!$E:$E,'Stock Adjustment'!$B:$B,$A430,'Stock Adjustment'!$D:$D,"Customer Returned")</f>
        <v>0</v>
      </c>
      <c r="H430" s="50">
        <f>SUMIF('Daily Sales Entry'!$D:$D,B430,'Daily Sales Entry'!$G:$G)</f>
        <v>0</v>
      </c>
      <c r="I430" s="50">
        <f>SUMIFS('Stock Adjustment'!$E:$E,'Stock Adjustment'!$B:$B,$A430,'Stock Adjustment'!$D:$D,"Staff Consumption")</f>
        <v>0</v>
      </c>
      <c r="J430" s="50">
        <f>SUMIFS('Stock Adjustment'!$E:$E,'Stock Adjustment'!$B:$B,$A430,'Stock Adjustment'!$D:$D,"Damaged")</f>
        <v>0</v>
      </c>
      <c r="K430" s="50">
        <f>SUMIFS('Stock Adjustment'!$E:$E,'Stock Adjustment'!$B:$B,$A430,'Stock Adjustment'!$D:$D,"Expired")</f>
        <v>0</v>
      </c>
      <c r="L430" s="50">
        <f>SUMIFS('Stock Adjustment'!$E:$E,'Stock Adjustment'!$B:$B,$A430,'Stock Adjustment'!$D:$D,"Supplier Returned")</f>
        <v>0</v>
      </c>
      <c r="M4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0" s="53" t="str">
        <f>IF(B430="","",VLOOKUP(B430,'Product Master'!$B:$G,4,FALSE))</f>
        <v/>
      </c>
      <c r="O430" s="53" t="str">
        <f>IF(B430="","",VLOOKUP(B430,'Product Master'!$B:$G,5,FALSE))</f>
        <v/>
      </c>
      <c r="P430" s="50" t="str">
        <f>IF(B430="","",VLOOKUP(B430,'Product Master'!$B:$I,7,FALSE))</f>
        <v/>
      </c>
      <c r="Q430" s="158"/>
      <c r="R430" s="58" t="str">
        <f t="shared" si="6"/>
        <v/>
      </c>
      <c r="S430" s="25"/>
      <c r="T430" s="25"/>
      <c r="U430" s="25"/>
      <c r="V430" s="25"/>
      <c r="W430" s="25"/>
      <c r="X430" s="25"/>
    </row>
    <row r="431" spans="1:24" x14ac:dyDescent="0.25">
      <c r="A431" s="31" t="s">
        <v>991</v>
      </c>
      <c r="B431" s="32"/>
      <c r="C431" s="50" t="str">
        <f>IF(B431="","",VLOOKUP(B431,'Product Master'!$B:$G,2,FALSE))</f>
        <v/>
      </c>
      <c r="D431" s="50" t="str">
        <f>IF(B431="","",VLOOKUP(B431,'Product Master'!$B:$G,3,FALSE))</f>
        <v/>
      </c>
      <c r="E431" s="50"/>
      <c r="F431" s="50">
        <f>SUMIF('Stock Purchase'!$D:$D,B431,'Stock Purchase'!$F:$F)</f>
        <v>0</v>
      </c>
      <c r="G431" s="50">
        <f>SUMIFS('Stock Adjustment'!$E:$E,'Stock Adjustment'!$B:$B,$A431,'Stock Adjustment'!$D:$D,"Customer Returned")</f>
        <v>0</v>
      </c>
      <c r="H431" s="50">
        <f>SUMIF('Daily Sales Entry'!$D:$D,B431,'Daily Sales Entry'!$G:$G)</f>
        <v>0</v>
      </c>
      <c r="I431" s="50">
        <f>SUMIFS('Stock Adjustment'!$E:$E,'Stock Adjustment'!$B:$B,$A431,'Stock Adjustment'!$D:$D,"Staff Consumption")</f>
        <v>0</v>
      </c>
      <c r="J431" s="50">
        <f>SUMIFS('Stock Adjustment'!$E:$E,'Stock Adjustment'!$B:$B,$A431,'Stock Adjustment'!$D:$D,"Damaged")</f>
        <v>0</v>
      </c>
      <c r="K431" s="50">
        <f>SUMIFS('Stock Adjustment'!$E:$E,'Stock Adjustment'!$B:$B,$A431,'Stock Adjustment'!$D:$D,"Expired")</f>
        <v>0</v>
      </c>
      <c r="L431" s="50">
        <f>SUMIFS('Stock Adjustment'!$E:$E,'Stock Adjustment'!$B:$B,$A431,'Stock Adjustment'!$D:$D,"Supplier Returned")</f>
        <v>0</v>
      </c>
      <c r="M4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1" s="53" t="str">
        <f>IF(B431="","",VLOOKUP(B431,'Product Master'!$B:$G,4,FALSE))</f>
        <v/>
      </c>
      <c r="O431" s="53" t="str">
        <f>IF(B431="","",VLOOKUP(B431,'Product Master'!$B:$G,5,FALSE))</f>
        <v/>
      </c>
      <c r="P431" s="50" t="str">
        <f>IF(B431="","",VLOOKUP(B431,'Product Master'!$B:$I,7,FALSE))</f>
        <v/>
      </c>
      <c r="Q431" s="158"/>
      <c r="R431" s="58" t="str">
        <f t="shared" si="6"/>
        <v/>
      </c>
      <c r="S431" s="25"/>
      <c r="T431" s="25"/>
      <c r="U431" s="25"/>
      <c r="V431" s="25"/>
      <c r="W431" s="25"/>
      <c r="X431" s="25"/>
    </row>
    <row r="432" spans="1:24" x14ac:dyDescent="0.25">
      <c r="A432" s="31" t="s">
        <v>992</v>
      </c>
      <c r="B432" s="32"/>
      <c r="C432" s="50" t="str">
        <f>IF(B432="","",VLOOKUP(B432,'Product Master'!$B:$G,2,FALSE))</f>
        <v/>
      </c>
      <c r="D432" s="50" t="str">
        <f>IF(B432="","",VLOOKUP(B432,'Product Master'!$B:$G,3,FALSE))</f>
        <v/>
      </c>
      <c r="E432" s="50"/>
      <c r="F432" s="50">
        <f>SUMIF('Stock Purchase'!$D:$D,B432,'Stock Purchase'!$F:$F)</f>
        <v>0</v>
      </c>
      <c r="G432" s="50">
        <f>SUMIFS('Stock Adjustment'!$E:$E,'Stock Adjustment'!$B:$B,$A432,'Stock Adjustment'!$D:$D,"Customer Returned")</f>
        <v>0</v>
      </c>
      <c r="H432" s="50">
        <f>SUMIF('Daily Sales Entry'!$D:$D,B432,'Daily Sales Entry'!$G:$G)</f>
        <v>0</v>
      </c>
      <c r="I432" s="50">
        <f>SUMIFS('Stock Adjustment'!$E:$E,'Stock Adjustment'!$B:$B,$A432,'Stock Adjustment'!$D:$D,"Staff Consumption")</f>
        <v>0</v>
      </c>
      <c r="J432" s="50">
        <f>SUMIFS('Stock Adjustment'!$E:$E,'Stock Adjustment'!$B:$B,$A432,'Stock Adjustment'!$D:$D,"Damaged")</f>
        <v>0</v>
      </c>
      <c r="K432" s="50">
        <f>SUMIFS('Stock Adjustment'!$E:$E,'Stock Adjustment'!$B:$B,$A432,'Stock Adjustment'!$D:$D,"Expired")</f>
        <v>0</v>
      </c>
      <c r="L432" s="50">
        <f>SUMIFS('Stock Adjustment'!$E:$E,'Stock Adjustment'!$B:$B,$A432,'Stock Adjustment'!$D:$D,"Supplier Returned")</f>
        <v>0</v>
      </c>
      <c r="M4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2" s="53" t="str">
        <f>IF(B432="","",VLOOKUP(B432,'Product Master'!$B:$G,4,FALSE))</f>
        <v/>
      </c>
      <c r="O432" s="53" t="str">
        <f>IF(B432="","",VLOOKUP(B432,'Product Master'!$B:$G,5,FALSE))</f>
        <v/>
      </c>
      <c r="P432" s="50" t="str">
        <f>IF(B432="","",VLOOKUP(B432,'Product Master'!$B:$I,7,FALSE))</f>
        <v/>
      </c>
      <c r="Q432" s="158"/>
      <c r="R432" s="58" t="str">
        <f t="shared" si="6"/>
        <v/>
      </c>
      <c r="S432" s="25"/>
      <c r="T432" s="25"/>
      <c r="U432" s="25"/>
      <c r="V432" s="25"/>
      <c r="W432" s="25"/>
      <c r="X432" s="25"/>
    </row>
    <row r="433" spans="1:24" x14ac:dyDescent="0.25">
      <c r="A433" s="31" t="s">
        <v>993</v>
      </c>
      <c r="B433" s="32"/>
      <c r="C433" s="50" t="str">
        <f>IF(B433="","",VLOOKUP(B433,'Product Master'!$B:$G,2,FALSE))</f>
        <v/>
      </c>
      <c r="D433" s="50" t="str">
        <f>IF(B433="","",VLOOKUP(B433,'Product Master'!$B:$G,3,FALSE))</f>
        <v/>
      </c>
      <c r="E433" s="50"/>
      <c r="F433" s="50">
        <f>SUMIF('Stock Purchase'!$D:$D,B433,'Stock Purchase'!$F:$F)</f>
        <v>0</v>
      </c>
      <c r="G433" s="50">
        <f>SUMIFS('Stock Adjustment'!$E:$E,'Stock Adjustment'!$B:$B,$A433,'Stock Adjustment'!$D:$D,"Customer Returned")</f>
        <v>0</v>
      </c>
      <c r="H433" s="50">
        <f>SUMIF('Daily Sales Entry'!$D:$D,B433,'Daily Sales Entry'!$G:$G)</f>
        <v>0</v>
      </c>
      <c r="I433" s="50">
        <f>SUMIFS('Stock Adjustment'!$E:$E,'Stock Adjustment'!$B:$B,$A433,'Stock Adjustment'!$D:$D,"Staff Consumption")</f>
        <v>0</v>
      </c>
      <c r="J433" s="50">
        <f>SUMIFS('Stock Adjustment'!$E:$E,'Stock Adjustment'!$B:$B,$A433,'Stock Adjustment'!$D:$D,"Damaged")</f>
        <v>0</v>
      </c>
      <c r="K433" s="50">
        <f>SUMIFS('Stock Adjustment'!$E:$E,'Stock Adjustment'!$B:$B,$A433,'Stock Adjustment'!$D:$D,"Expired")</f>
        <v>0</v>
      </c>
      <c r="L433" s="50">
        <f>SUMIFS('Stock Adjustment'!$E:$E,'Stock Adjustment'!$B:$B,$A433,'Stock Adjustment'!$D:$D,"Supplier Returned")</f>
        <v>0</v>
      </c>
      <c r="M4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3" s="53" t="str">
        <f>IF(B433="","",VLOOKUP(B433,'Product Master'!$B:$G,4,FALSE))</f>
        <v/>
      </c>
      <c r="O433" s="53" t="str">
        <f>IF(B433="","",VLOOKUP(B433,'Product Master'!$B:$G,5,FALSE))</f>
        <v/>
      </c>
      <c r="P433" s="50" t="str">
        <f>IF(B433="","",VLOOKUP(B433,'Product Master'!$B:$I,7,FALSE))</f>
        <v/>
      </c>
      <c r="Q433" s="158"/>
      <c r="R433" s="58" t="str">
        <f t="shared" si="6"/>
        <v/>
      </c>
      <c r="S433" s="25"/>
      <c r="T433" s="25"/>
      <c r="U433" s="25"/>
      <c r="V433" s="25"/>
      <c r="W433" s="25"/>
      <c r="X433" s="25"/>
    </row>
    <row r="434" spans="1:24" x14ac:dyDescent="0.25">
      <c r="A434" s="31" t="s">
        <v>994</v>
      </c>
      <c r="B434" s="32"/>
      <c r="C434" s="50" t="str">
        <f>IF(B434="","",VLOOKUP(B434,'Product Master'!$B:$G,2,FALSE))</f>
        <v/>
      </c>
      <c r="D434" s="50" t="str">
        <f>IF(B434="","",VLOOKUP(B434,'Product Master'!$B:$G,3,FALSE))</f>
        <v/>
      </c>
      <c r="E434" s="50"/>
      <c r="F434" s="50">
        <f>SUMIF('Stock Purchase'!$D:$D,B434,'Stock Purchase'!$F:$F)</f>
        <v>0</v>
      </c>
      <c r="G434" s="50">
        <f>SUMIFS('Stock Adjustment'!$E:$E,'Stock Adjustment'!$B:$B,$A434,'Stock Adjustment'!$D:$D,"Customer Returned")</f>
        <v>0</v>
      </c>
      <c r="H434" s="50">
        <f>SUMIF('Daily Sales Entry'!$D:$D,B434,'Daily Sales Entry'!$G:$G)</f>
        <v>0</v>
      </c>
      <c r="I434" s="50">
        <f>SUMIFS('Stock Adjustment'!$E:$E,'Stock Adjustment'!$B:$B,$A434,'Stock Adjustment'!$D:$D,"Staff Consumption")</f>
        <v>0</v>
      </c>
      <c r="J434" s="50">
        <f>SUMIFS('Stock Adjustment'!$E:$E,'Stock Adjustment'!$B:$B,$A434,'Stock Adjustment'!$D:$D,"Damaged")</f>
        <v>0</v>
      </c>
      <c r="K434" s="50">
        <f>SUMIFS('Stock Adjustment'!$E:$E,'Stock Adjustment'!$B:$B,$A434,'Stock Adjustment'!$D:$D,"Expired")</f>
        <v>0</v>
      </c>
      <c r="L434" s="50">
        <f>SUMIFS('Stock Adjustment'!$E:$E,'Stock Adjustment'!$B:$B,$A434,'Stock Adjustment'!$D:$D,"Supplier Returned")</f>
        <v>0</v>
      </c>
      <c r="M4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4" s="53" t="str">
        <f>IF(B434="","",VLOOKUP(B434,'Product Master'!$B:$G,4,FALSE))</f>
        <v/>
      </c>
      <c r="O434" s="53" t="str">
        <f>IF(B434="","",VLOOKUP(B434,'Product Master'!$B:$G,5,FALSE))</f>
        <v/>
      </c>
      <c r="P434" s="50" t="str">
        <f>IF(B434="","",VLOOKUP(B434,'Product Master'!$B:$I,7,FALSE))</f>
        <v/>
      </c>
      <c r="Q434" s="158"/>
      <c r="R434" s="58" t="str">
        <f t="shared" si="6"/>
        <v/>
      </c>
      <c r="S434" s="25"/>
      <c r="T434" s="25"/>
      <c r="U434" s="25"/>
      <c r="V434" s="25"/>
      <c r="W434" s="25"/>
      <c r="X434" s="25"/>
    </row>
    <row r="435" spans="1:24" x14ac:dyDescent="0.25">
      <c r="A435" s="31" t="s">
        <v>995</v>
      </c>
      <c r="B435" s="32"/>
      <c r="C435" s="50" t="str">
        <f>IF(B435="","",VLOOKUP(B435,'Product Master'!$B:$G,2,FALSE))</f>
        <v/>
      </c>
      <c r="D435" s="50" t="str">
        <f>IF(B435="","",VLOOKUP(B435,'Product Master'!$B:$G,3,FALSE))</f>
        <v/>
      </c>
      <c r="E435" s="50"/>
      <c r="F435" s="50">
        <f>SUMIF('Stock Purchase'!$D:$D,B435,'Stock Purchase'!$F:$F)</f>
        <v>0</v>
      </c>
      <c r="G435" s="50">
        <f>SUMIFS('Stock Adjustment'!$E:$E,'Stock Adjustment'!$B:$B,$A435,'Stock Adjustment'!$D:$D,"Customer Returned")</f>
        <v>0</v>
      </c>
      <c r="H435" s="50">
        <f>SUMIF('Daily Sales Entry'!$D:$D,B435,'Daily Sales Entry'!$G:$G)</f>
        <v>0</v>
      </c>
      <c r="I435" s="50">
        <f>SUMIFS('Stock Adjustment'!$E:$E,'Stock Adjustment'!$B:$B,$A435,'Stock Adjustment'!$D:$D,"Staff Consumption")</f>
        <v>0</v>
      </c>
      <c r="J435" s="50">
        <f>SUMIFS('Stock Adjustment'!$E:$E,'Stock Adjustment'!$B:$B,$A435,'Stock Adjustment'!$D:$D,"Damaged")</f>
        <v>0</v>
      </c>
      <c r="K435" s="50">
        <f>SUMIFS('Stock Adjustment'!$E:$E,'Stock Adjustment'!$B:$B,$A435,'Stock Adjustment'!$D:$D,"Expired")</f>
        <v>0</v>
      </c>
      <c r="L435" s="50">
        <f>SUMIFS('Stock Adjustment'!$E:$E,'Stock Adjustment'!$B:$B,$A435,'Stock Adjustment'!$D:$D,"Supplier Returned")</f>
        <v>0</v>
      </c>
      <c r="M4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5" s="53" t="str">
        <f>IF(B435="","",VLOOKUP(B435,'Product Master'!$B:$G,4,FALSE))</f>
        <v/>
      </c>
      <c r="O435" s="53" t="str">
        <f>IF(B435="","",VLOOKUP(B435,'Product Master'!$B:$G,5,FALSE))</f>
        <v/>
      </c>
      <c r="P435" s="50" t="str">
        <f>IF(B435="","",VLOOKUP(B435,'Product Master'!$B:$I,7,FALSE))</f>
        <v/>
      </c>
      <c r="Q435" s="158"/>
      <c r="R435" s="58" t="str">
        <f t="shared" si="6"/>
        <v/>
      </c>
      <c r="S435" s="25"/>
      <c r="T435" s="25"/>
      <c r="U435" s="25"/>
      <c r="V435" s="25"/>
      <c r="W435" s="25"/>
      <c r="X435" s="25"/>
    </row>
    <row r="436" spans="1:24" x14ac:dyDescent="0.25">
      <c r="A436" s="31" t="s">
        <v>996</v>
      </c>
      <c r="B436" s="32"/>
      <c r="C436" s="50" t="str">
        <f>IF(B436="","",VLOOKUP(B436,'Product Master'!$B:$G,2,FALSE))</f>
        <v/>
      </c>
      <c r="D436" s="50" t="str">
        <f>IF(B436="","",VLOOKUP(B436,'Product Master'!$B:$G,3,FALSE))</f>
        <v/>
      </c>
      <c r="E436" s="50"/>
      <c r="F436" s="50">
        <f>SUMIF('Stock Purchase'!$D:$D,B436,'Stock Purchase'!$F:$F)</f>
        <v>0</v>
      </c>
      <c r="G436" s="50">
        <f>SUMIFS('Stock Adjustment'!$E:$E,'Stock Adjustment'!$B:$B,$A436,'Stock Adjustment'!$D:$D,"Customer Returned")</f>
        <v>0</v>
      </c>
      <c r="H436" s="50">
        <f>SUMIF('Daily Sales Entry'!$D:$D,B436,'Daily Sales Entry'!$G:$G)</f>
        <v>0</v>
      </c>
      <c r="I436" s="50">
        <f>SUMIFS('Stock Adjustment'!$E:$E,'Stock Adjustment'!$B:$B,$A436,'Stock Adjustment'!$D:$D,"Staff Consumption")</f>
        <v>0</v>
      </c>
      <c r="J436" s="50">
        <f>SUMIFS('Stock Adjustment'!$E:$E,'Stock Adjustment'!$B:$B,$A436,'Stock Adjustment'!$D:$D,"Damaged")</f>
        <v>0</v>
      </c>
      <c r="K436" s="50">
        <f>SUMIFS('Stock Adjustment'!$E:$E,'Stock Adjustment'!$B:$B,$A436,'Stock Adjustment'!$D:$D,"Expired")</f>
        <v>0</v>
      </c>
      <c r="L436" s="50">
        <f>SUMIFS('Stock Adjustment'!$E:$E,'Stock Adjustment'!$B:$B,$A436,'Stock Adjustment'!$D:$D,"Supplier Returned")</f>
        <v>0</v>
      </c>
      <c r="M4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6" s="53" t="str">
        <f>IF(B436="","",VLOOKUP(B436,'Product Master'!$B:$G,4,FALSE))</f>
        <v/>
      </c>
      <c r="O436" s="53" t="str">
        <f>IF(B436="","",VLOOKUP(B436,'Product Master'!$B:$G,5,FALSE))</f>
        <v/>
      </c>
      <c r="P436" s="50" t="str">
        <f>IF(B436="","",VLOOKUP(B436,'Product Master'!$B:$I,7,FALSE))</f>
        <v/>
      </c>
      <c r="Q436" s="158"/>
      <c r="R436" s="58" t="str">
        <f t="shared" si="6"/>
        <v/>
      </c>
      <c r="S436" s="25"/>
      <c r="T436" s="25"/>
      <c r="U436" s="25"/>
      <c r="V436" s="25"/>
      <c r="W436" s="25"/>
      <c r="X436" s="25"/>
    </row>
    <row r="437" spans="1:24" x14ac:dyDescent="0.25">
      <c r="A437" s="31" t="s">
        <v>997</v>
      </c>
      <c r="B437" s="32"/>
      <c r="C437" s="50" t="str">
        <f>IF(B437="","",VLOOKUP(B437,'Product Master'!$B:$G,2,FALSE))</f>
        <v/>
      </c>
      <c r="D437" s="50" t="str">
        <f>IF(B437="","",VLOOKUP(B437,'Product Master'!$B:$G,3,FALSE))</f>
        <v/>
      </c>
      <c r="E437" s="50"/>
      <c r="F437" s="50">
        <f>SUMIF('Stock Purchase'!$D:$D,B437,'Stock Purchase'!$F:$F)</f>
        <v>0</v>
      </c>
      <c r="G437" s="50">
        <f>SUMIFS('Stock Adjustment'!$E:$E,'Stock Adjustment'!$B:$B,$A437,'Stock Adjustment'!$D:$D,"Customer Returned")</f>
        <v>0</v>
      </c>
      <c r="H437" s="50">
        <f>SUMIF('Daily Sales Entry'!$D:$D,B437,'Daily Sales Entry'!$G:$G)</f>
        <v>0</v>
      </c>
      <c r="I437" s="50">
        <f>SUMIFS('Stock Adjustment'!$E:$E,'Stock Adjustment'!$B:$B,$A437,'Stock Adjustment'!$D:$D,"Staff Consumption")</f>
        <v>0</v>
      </c>
      <c r="J437" s="50">
        <f>SUMIFS('Stock Adjustment'!$E:$E,'Stock Adjustment'!$B:$B,$A437,'Stock Adjustment'!$D:$D,"Damaged")</f>
        <v>0</v>
      </c>
      <c r="K437" s="50">
        <f>SUMIFS('Stock Adjustment'!$E:$E,'Stock Adjustment'!$B:$B,$A437,'Stock Adjustment'!$D:$D,"Expired")</f>
        <v>0</v>
      </c>
      <c r="L437" s="50">
        <f>SUMIFS('Stock Adjustment'!$E:$E,'Stock Adjustment'!$B:$B,$A437,'Stock Adjustment'!$D:$D,"Supplier Returned")</f>
        <v>0</v>
      </c>
      <c r="M4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7" s="53" t="str">
        <f>IF(B437="","",VLOOKUP(B437,'Product Master'!$B:$G,4,FALSE))</f>
        <v/>
      </c>
      <c r="O437" s="53" t="str">
        <f>IF(B437="","",VLOOKUP(B437,'Product Master'!$B:$G,5,FALSE))</f>
        <v/>
      </c>
      <c r="P437" s="50" t="str">
        <f>IF(B437="","",VLOOKUP(B437,'Product Master'!$B:$I,7,FALSE))</f>
        <v/>
      </c>
      <c r="Q437" s="158"/>
      <c r="R437" s="58" t="str">
        <f t="shared" si="6"/>
        <v/>
      </c>
      <c r="S437" s="25"/>
      <c r="T437" s="25"/>
      <c r="U437" s="25"/>
      <c r="V437" s="25"/>
      <c r="W437" s="25"/>
      <c r="X437" s="25"/>
    </row>
    <row r="438" spans="1:24" x14ac:dyDescent="0.25">
      <c r="A438" s="31" t="s">
        <v>998</v>
      </c>
      <c r="B438" s="32"/>
      <c r="C438" s="50" t="str">
        <f>IF(B438="","",VLOOKUP(B438,'Product Master'!$B:$G,2,FALSE))</f>
        <v/>
      </c>
      <c r="D438" s="50" t="str">
        <f>IF(B438="","",VLOOKUP(B438,'Product Master'!$B:$G,3,FALSE))</f>
        <v/>
      </c>
      <c r="E438" s="50"/>
      <c r="F438" s="50">
        <f>SUMIF('Stock Purchase'!$D:$D,B438,'Stock Purchase'!$F:$F)</f>
        <v>0</v>
      </c>
      <c r="G438" s="50">
        <f>SUMIFS('Stock Adjustment'!$E:$E,'Stock Adjustment'!$B:$B,$A438,'Stock Adjustment'!$D:$D,"Customer Returned")</f>
        <v>0</v>
      </c>
      <c r="H438" s="50">
        <f>SUMIF('Daily Sales Entry'!$D:$D,B438,'Daily Sales Entry'!$G:$G)</f>
        <v>0</v>
      </c>
      <c r="I438" s="50">
        <f>SUMIFS('Stock Adjustment'!$E:$E,'Stock Adjustment'!$B:$B,$A438,'Stock Adjustment'!$D:$D,"Staff Consumption")</f>
        <v>0</v>
      </c>
      <c r="J438" s="50">
        <f>SUMIFS('Stock Adjustment'!$E:$E,'Stock Adjustment'!$B:$B,$A438,'Stock Adjustment'!$D:$D,"Damaged")</f>
        <v>0</v>
      </c>
      <c r="K438" s="50">
        <f>SUMIFS('Stock Adjustment'!$E:$E,'Stock Adjustment'!$B:$B,$A438,'Stock Adjustment'!$D:$D,"Expired")</f>
        <v>0</v>
      </c>
      <c r="L438" s="50">
        <f>SUMIFS('Stock Adjustment'!$E:$E,'Stock Adjustment'!$B:$B,$A438,'Stock Adjustment'!$D:$D,"Supplier Returned")</f>
        <v>0</v>
      </c>
      <c r="M4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8" s="53" t="str">
        <f>IF(B438="","",VLOOKUP(B438,'Product Master'!$B:$G,4,FALSE))</f>
        <v/>
      </c>
      <c r="O438" s="53" t="str">
        <f>IF(B438="","",VLOOKUP(B438,'Product Master'!$B:$G,5,FALSE))</f>
        <v/>
      </c>
      <c r="P438" s="50" t="str">
        <f>IF(B438="","",VLOOKUP(B438,'Product Master'!$B:$I,7,FALSE))</f>
        <v/>
      </c>
      <c r="Q438" s="158"/>
      <c r="R438" s="58" t="str">
        <f t="shared" si="6"/>
        <v/>
      </c>
      <c r="S438" s="25"/>
      <c r="T438" s="25"/>
      <c r="U438" s="25"/>
      <c r="V438" s="25"/>
      <c r="W438" s="25"/>
      <c r="X438" s="25"/>
    </row>
    <row r="439" spans="1:24" x14ac:dyDescent="0.25">
      <c r="A439" s="31" t="s">
        <v>999</v>
      </c>
      <c r="B439" s="32"/>
      <c r="C439" s="50" t="str">
        <f>IF(B439="","",VLOOKUP(B439,'Product Master'!$B:$G,2,FALSE))</f>
        <v/>
      </c>
      <c r="D439" s="50" t="str">
        <f>IF(B439="","",VLOOKUP(B439,'Product Master'!$B:$G,3,FALSE))</f>
        <v/>
      </c>
      <c r="E439" s="50"/>
      <c r="F439" s="50">
        <f>SUMIF('Stock Purchase'!$D:$D,B439,'Stock Purchase'!$F:$F)</f>
        <v>0</v>
      </c>
      <c r="G439" s="50">
        <f>SUMIFS('Stock Adjustment'!$E:$E,'Stock Adjustment'!$B:$B,$A439,'Stock Adjustment'!$D:$D,"Customer Returned")</f>
        <v>0</v>
      </c>
      <c r="H439" s="50">
        <f>SUMIF('Daily Sales Entry'!$D:$D,B439,'Daily Sales Entry'!$G:$G)</f>
        <v>0</v>
      </c>
      <c r="I439" s="50">
        <f>SUMIFS('Stock Adjustment'!$E:$E,'Stock Adjustment'!$B:$B,$A439,'Stock Adjustment'!$D:$D,"Staff Consumption")</f>
        <v>0</v>
      </c>
      <c r="J439" s="50">
        <f>SUMIFS('Stock Adjustment'!$E:$E,'Stock Adjustment'!$B:$B,$A439,'Stock Adjustment'!$D:$D,"Damaged")</f>
        <v>0</v>
      </c>
      <c r="K439" s="50">
        <f>SUMIFS('Stock Adjustment'!$E:$E,'Stock Adjustment'!$B:$B,$A439,'Stock Adjustment'!$D:$D,"Expired")</f>
        <v>0</v>
      </c>
      <c r="L439" s="50">
        <f>SUMIFS('Stock Adjustment'!$E:$E,'Stock Adjustment'!$B:$B,$A439,'Stock Adjustment'!$D:$D,"Supplier Returned")</f>
        <v>0</v>
      </c>
      <c r="M4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39" s="53" t="str">
        <f>IF(B439="","",VLOOKUP(B439,'Product Master'!$B:$G,4,FALSE))</f>
        <v/>
      </c>
      <c r="O439" s="53" t="str">
        <f>IF(B439="","",VLOOKUP(B439,'Product Master'!$B:$G,5,FALSE))</f>
        <v/>
      </c>
      <c r="P439" s="50" t="str">
        <f>IF(B439="","",VLOOKUP(B439,'Product Master'!$B:$I,7,FALSE))</f>
        <v/>
      </c>
      <c r="Q439" s="158"/>
      <c r="R439" s="58" t="str">
        <f t="shared" si="6"/>
        <v/>
      </c>
      <c r="S439" s="25"/>
      <c r="T439" s="25"/>
      <c r="U439" s="25"/>
      <c r="V439" s="25"/>
      <c r="W439" s="25"/>
      <c r="X439" s="25"/>
    </row>
    <row r="440" spans="1:24" x14ac:dyDescent="0.25">
      <c r="A440" s="31" t="s">
        <v>1000</v>
      </c>
      <c r="B440" s="32"/>
      <c r="C440" s="50" t="str">
        <f>IF(B440="","",VLOOKUP(B440,'Product Master'!$B:$G,2,FALSE))</f>
        <v/>
      </c>
      <c r="D440" s="50" t="str">
        <f>IF(B440="","",VLOOKUP(B440,'Product Master'!$B:$G,3,FALSE))</f>
        <v/>
      </c>
      <c r="E440" s="50"/>
      <c r="F440" s="50">
        <f>SUMIF('Stock Purchase'!$D:$D,B440,'Stock Purchase'!$F:$F)</f>
        <v>0</v>
      </c>
      <c r="G440" s="50">
        <f>SUMIFS('Stock Adjustment'!$E:$E,'Stock Adjustment'!$B:$B,$A440,'Stock Adjustment'!$D:$D,"Customer Returned")</f>
        <v>0</v>
      </c>
      <c r="H440" s="50">
        <f>SUMIF('Daily Sales Entry'!$D:$D,B440,'Daily Sales Entry'!$G:$G)</f>
        <v>0</v>
      </c>
      <c r="I440" s="50">
        <f>SUMIFS('Stock Adjustment'!$E:$E,'Stock Adjustment'!$B:$B,$A440,'Stock Adjustment'!$D:$D,"Staff Consumption")</f>
        <v>0</v>
      </c>
      <c r="J440" s="50">
        <f>SUMIFS('Stock Adjustment'!$E:$E,'Stock Adjustment'!$B:$B,$A440,'Stock Adjustment'!$D:$D,"Damaged")</f>
        <v>0</v>
      </c>
      <c r="K440" s="50">
        <f>SUMIFS('Stock Adjustment'!$E:$E,'Stock Adjustment'!$B:$B,$A440,'Stock Adjustment'!$D:$D,"Expired")</f>
        <v>0</v>
      </c>
      <c r="L440" s="50">
        <f>SUMIFS('Stock Adjustment'!$E:$E,'Stock Adjustment'!$B:$B,$A440,'Stock Adjustment'!$D:$D,"Supplier Returned")</f>
        <v>0</v>
      </c>
      <c r="M4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0" s="53" t="str">
        <f>IF(B440="","",VLOOKUP(B440,'Product Master'!$B:$G,4,FALSE))</f>
        <v/>
      </c>
      <c r="O440" s="53" t="str">
        <f>IF(B440="","",VLOOKUP(B440,'Product Master'!$B:$G,5,FALSE))</f>
        <v/>
      </c>
      <c r="P440" s="50" t="str">
        <f>IF(B440="","",VLOOKUP(B440,'Product Master'!$B:$I,7,FALSE))</f>
        <v/>
      </c>
      <c r="Q440" s="158"/>
      <c r="R440" s="58" t="str">
        <f t="shared" si="6"/>
        <v/>
      </c>
      <c r="S440" s="25"/>
      <c r="T440" s="25"/>
      <c r="U440" s="25"/>
      <c r="V440" s="25"/>
      <c r="W440" s="25"/>
      <c r="X440" s="25"/>
    </row>
    <row r="441" spans="1:24" x14ac:dyDescent="0.25">
      <c r="A441" s="31" t="s">
        <v>1001</v>
      </c>
      <c r="B441" s="32"/>
      <c r="C441" s="50" t="str">
        <f>IF(B441="","",VLOOKUP(B441,'Product Master'!$B:$G,2,FALSE))</f>
        <v/>
      </c>
      <c r="D441" s="50" t="str">
        <f>IF(B441="","",VLOOKUP(B441,'Product Master'!$B:$G,3,FALSE))</f>
        <v/>
      </c>
      <c r="E441" s="50"/>
      <c r="F441" s="50">
        <f>SUMIF('Stock Purchase'!$D:$D,B441,'Stock Purchase'!$F:$F)</f>
        <v>0</v>
      </c>
      <c r="G441" s="50">
        <f>SUMIFS('Stock Adjustment'!$E:$E,'Stock Adjustment'!$B:$B,$A441,'Stock Adjustment'!$D:$D,"Customer Returned")</f>
        <v>0</v>
      </c>
      <c r="H441" s="50">
        <f>SUMIF('Daily Sales Entry'!$D:$D,B441,'Daily Sales Entry'!$G:$G)</f>
        <v>0</v>
      </c>
      <c r="I441" s="50">
        <f>SUMIFS('Stock Adjustment'!$E:$E,'Stock Adjustment'!$B:$B,$A441,'Stock Adjustment'!$D:$D,"Staff Consumption")</f>
        <v>0</v>
      </c>
      <c r="J441" s="50">
        <f>SUMIFS('Stock Adjustment'!$E:$E,'Stock Adjustment'!$B:$B,$A441,'Stock Adjustment'!$D:$D,"Damaged")</f>
        <v>0</v>
      </c>
      <c r="K441" s="50">
        <f>SUMIFS('Stock Adjustment'!$E:$E,'Stock Adjustment'!$B:$B,$A441,'Stock Adjustment'!$D:$D,"Expired")</f>
        <v>0</v>
      </c>
      <c r="L441" s="50">
        <f>SUMIFS('Stock Adjustment'!$E:$E,'Stock Adjustment'!$B:$B,$A441,'Stock Adjustment'!$D:$D,"Supplier Returned")</f>
        <v>0</v>
      </c>
      <c r="M4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1" s="53" t="str">
        <f>IF(B441="","",VLOOKUP(B441,'Product Master'!$B:$G,4,FALSE))</f>
        <v/>
      </c>
      <c r="O441" s="53" t="str">
        <f>IF(B441="","",VLOOKUP(B441,'Product Master'!$B:$G,5,FALSE))</f>
        <v/>
      </c>
      <c r="P441" s="50" t="str">
        <f>IF(B441="","",VLOOKUP(B441,'Product Master'!$B:$I,7,FALSE))</f>
        <v/>
      </c>
      <c r="Q441" s="158"/>
      <c r="R441" s="58" t="str">
        <f t="shared" si="6"/>
        <v/>
      </c>
      <c r="S441" s="25"/>
      <c r="T441" s="25"/>
      <c r="U441" s="25"/>
      <c r="V441" s="25"/>
      <c r="W441" s="25"/>
      <c r="X441" s="25"/>
    </row>
    <row r="442" spans="1:24" x14ac:dyDescent="0.25">
      <c r="A442" s="31" t="s">
        <v>1002</v>
      </c>
      <c r="B442" s="32"/>
      <c r="C442" s="50" t="str">
        <f>IF(B442="","",VLOOKUP(B442,'Product Master'!$B:$G,2,FALSE))</f>
        <v/>
      </c>
      <c r="D442" s="50" t="str">
        <f>IF(B442="","",VLOOKUP(B442,'Product Master'!$B:$G,3,FALSE))</f>
        <v/>
      </c>
      <c r="E442" s="50"/>
      <c r="F442" s="50">
        <f>SUMIF('Stock Purchase'!$D:$D,B442,'Stock Purchase'!$F:$F)</f>
        <v>0</v>
      </c>
      <c r="G442" s="50">
        <f>SUMIFS('Stock Adjustment'!$E:$E,'Stock Adjustment'!$B:$B,$A442,'Stock Adjustment'!$D:$D,"Customer Returned")</f>
        <v>0</v>
      </c>
      <c r="H442" s="50">
        <f>SUMIF('Daily Sales Entry'!$D:$D,B442,'Daily Sales Entry'!$G:$G)</f>
        <v>0</v>
      </c>
      <c r="I442" s="50">
        <f>SUMIFS('Stock Adjustment'!$E:$E,'Stock Adjustment'!$B:$B,$A442,'Stock Adjustment'!$D:$D,"Staff Consumption")</f>
        <v>0</v>
      </c>
      <c r="J442" s="50">
        <f>SUMIFS('Stock Adjustment'!$E:$E,'Stock Adjustment'!$B:$B,$A442,'Stock Adjustment'!$D:$D,"Damaged")</f>
        <v>0</v>
      </c>
      <c r="K442" s="50">
        <f>SUMIFS('Stock Adjustment'!$E:$E,'Stock Adjustment'!$B:$B,$A442,'Stock Adjustment'!$D:$D,"Expired")</f>
        <v>0</v>
      </c>
      <c r="L442" s="50">
        <f>SUMIFS('Stock Adjustment'!$E:$E,'Stock Adjustment'!$B:$B,$A442,'Stock Adjustment'!$D:$D,"Supplier Returned")</f>
        <v>0</v>
      </c>
      <c r="M4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2" s="53" t="str">
        <f>IF(B442="","",VLOOKUP(B442,'Product Master'!$B:$G,4,FALSE))</f>
        <v/>
      </c>
      <c r="O442" s="53" t="str">
        <f>IF(B442="","",VLOOKUP(B442,'Product Master'!$B:$G,5,FALSE))</f>
        <v/>
      </c>
      <c r="P442" s="50" t="str">
        <f>IF(B442="","",VLOOKUP(B442,'Product Master'!$B:$I,7,FALSE))</f>
        <v/>
      </c>
      <c r="Q442" s="158"/>
      <c r="R442" s="58" t="str">
        <f t="shared" si="6"/>
        <v/>
      </c>
      <c r="S442" s="25"/>
      <c r="T442" s="25"/>
      <c r="U442" s="25"/>
      <c r="V442" s="25"/>
      <c r="W442" s="25"/>
      <c r="X442" s="25"/>
    </row>
    <row r="443" spans="1:24" x14ac:dyDescent="0.25">
      <c r="A443" s="31" t="s">
        <v>1003</v>
      </c>
      <c r="B443" s="32"/>
      <c r="C443" s="50" t="str">
        <f>IF(B443="","",VLOOKUP(B443,'Product Master'!$B:$G,2,FALSE))</f>
        <v/>
      </c>
      <c r="D443" s="50" t="str">
        <f>IF(B443="","",VLOOKUP(B443,'Product Master'!$B:$G,3,FALSE))</f>
        <v/>
      </c>
      <c r="E443" s="50"/>
      <c r="F443" s="50">
        <f>SUMIF('Stock Purchase'!$D:$D,B443,'Stock Purchase'!$F:$F)</f>
        <v>0</v>
      </c>
      <c r="G443" s="50">
        <f>SUMIFS('Stock Adjustment'!$E:$E,'Stock Adjustment'!$B:$B,$A443,'Stock Adjustment'!$D:$D,"Customer Returned")</f>
        <v>0</v>
      </c>
      <c r="H443" s="50">
        <f>SUMIF('Daily Sales Entry'!$D:$D,B443,'Daily Sales Entry'!$G:$G)</f>
        <v>0</v>
      </c>
      <c r="I443" s="50">
        <f>SUMIFS('Stock Adjustment'!$E:$E,'Stock Adjustment'!$B:$B,$A443,'Stock Adjustment'!$D:$D,"Staff Consumption")</f>
        <v>0</v>
      </c>
      <c r="J443" s="50">
        <f>SUMIFS('Stock Adjustment'!$E:$E,'Stock Adjustment'!$B:$B,$A443,'Stock Adjustment'!$D:$D,"Damaged")</f>
        <v>0</v>
      </c>
      <c r="K443" s="50">
        <f>SUMIFS('Stock Adjustment'!$E:$E,'Stock Adjustment'!$B:$B,$A443,'Stock Adjustment'!$D:$D,"Expired")</f>
        <v>0</v>
      </c>
      <c r="L443" s="50">
        <f>SUMIFS('Stock Adjustment'!$E:$E,'Stock Adjustment'!$B:$B,$A443,'Stock Adjustment'!$D:$D,"Supplier Returned")</f>
        <v>0</v>
      </c>
      <c r="M4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3" s="53" t="str">
        <f>IF(B443="","",VLOOKUP(B443,'Product Master'!$B:$G,4,FALSE))</f>
        <v/>
      </c>
      <c r="O443" s="53" t="str">
        <f>IF(B443="","",VLOOKUP(B443,'Product Master'!$B:$G,5,FALSE))</f>
        <v/>
      </c>
      <c r="P443" s="50" t="str">
        <f>IF(B443="","",VLOOKUP(B443,'Product Master'!$B:$I,7,FALSE))</f>
        <v/>
      </c>
      <c r="Q443" s="158"/>
      <c r="R443" s="58" t="str">
        <f t="shared" si="6"/>
        <v/>
      </c>
      <c r="S443" s="25"/>
      <c r="T443" s="25"/>
      <c r="U443" s="25"/>
      <c r="V443" s="25"/>
      <c r="W443" s="25"/>
      <c r="X443" s="25"/>
    </row>
    <row r="444" spans="1:24" x14ac:dyDescent="0.25">
      <c r="A444" s="31" t="s">
        <v>1004</v>
      </c>
      <c r="B444" s="32"/>
      <c r="C444" s="50" t="str">
        <f>IF(B444="","",VLOOKUP(B444,'Product Master'!$B:$G,2,FALSE))</f>
        <v/>
      </c>
      <c r="D444" s="50" t="str">
        <f>IF(B444="","",VLOOKUP(B444,'Product Master'!$B:$G,3,FALSE))</f>
        <v/>
      </c>
      <c r="E444" s="50"/>
      <c r="F444" s="50">
        <f>SUMIF('Stock Purchase'!$D:$D,B444,'Stock Purchase'!$F:$F)</f>
        <v>0</v>
      </c>
      <c r="G444" s="50">
        <f>SUMIFS('Stock Adjustment'!$E:$E,'Stock Adjustment'!$B:$B,$A444,'Stock Adjustment'!$D:$D,"Customer Returned")</f>
        <v>0</v>
      </c>
      <c r="H444" s="50">
        <f>SUMIF('Daily Sales Entry'!$D:$D,B444,'Daily Sales Entry'!$G:$G)</f>
        <v>0</v>
      </c>
      <c r="I444" s="50">
        <f>SUMIFS('Stock Adjustment'!$E:$E,'Stock Adjustment'!$B:$B,$A444,'Stock Adjustment'!$D:$D,"Staff Consumption")</f>
        <v>0</v>
      </c>
      <c r="J444" s="50">
        <f>SUMIFS('Stock Adjustment'!$E:$E,'Stock Adjustment'!$B:$B,$A444,'Stock Adjustment'!$D:$D,"Damaged")</f>
        <v>0</v>
      </c>
      <c r="K444" s="50">
        <f>SUMIFS('Stock Adjustment'!$E:$E,'Stock Adjustment'!$B:$B,$A444,'Stock Adjustment'!$D:$D,"Expired")</f>
        <v>0</v>
      </c>
      <c r="L444" s="50">
        <f>SUMIFS('Stock Adjustment'!$E:$E,'Stock Adjustment'!$B:$B,$A444,'Stock Adjustment'!$D:$D,"Supplier Returned")</f>
        <v>0</v>
      </c>
      <c r="M4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4" s="53" t="str">
        <f>IF(B444="","",VLOOKUP(B444,'Product Master'!$B:$G,4,FALSE))</f>
        <v/>
      </c>
      <c r="O444" s="53" t="str">
        <f>IF(B444="","",VLOOKUP(B444,'Product Master'!$B:$G,5,FALSE))</f>
        <v/>
      </c>
      <c r="P444" s="50" t="str">
        <f>IF(B444="","",VLOOKUP(B444,'Product Master'!$B:$I,7,FALSE))</f>
        <v/>
      </c>
      <c r="Q444" s="158"/>
      <c r="R444" s="58" t="str">
        <f t="shared" si="6"/>
        <v/>
      </c>
      <c r="S444" s="25"/>
      <c r="T444" s="25"/>
      <c r="U444" s="25"/>
      <c r="V444" s="25"/>
      <c r="W444" s="25"/>
      <c r="X444" s="25"/>
    </row>
    <row r="445" spans="1:24" x14ac:dyDescent="0.25">
      <c r="A445" s="31" t="s">
        <v>1005</v>
      </c>
      <c r="B445" s="32"/>
      <c r="C445" s="50" t="str">
        <f>IF(B445="","",VLOOKUP(B445,'Product Master'!$B:$G,2,FALSE))</f>
        <v/>
      </c>
      <c r="D445" s="50" t="str">
        <f>IF(B445="","",VLOOKUP(B445,'Product Master'!$B:$G,3,FALSE))</f>
        <v/>
      </c>
      <c r="E445" s="50"/>
      <c r="F445" s="50">
        <f>SUMIF('Stock Purchase'!$D:$D,B445,'Stock Purchase'!$F:$F)</f>
        <v>0</v>
      </c>
      <c r="G445" s="50">
        <f>SUMIFS('Stock Adjustment'!$E:$E,'Stock Adjustment'!$B:$B,$A445,'Stock Adjustment'!$D:$D,"Customer Returned")</f>
        <v>0</v>
      </c>
      <c r="H445" s="50">
        <f>SUMIF('Daily Sales Entry'!$D:$D,B445,'Daily Sales Entry'!$G:$G)</f>
        <v>0</v>
      </c>
      <c r="I445" s="50">
        <f>SUMIFS('Stock Adjustment'!$E:$E,'Stock Adjustment'!$B:$B,$A445,'Stock Adjustment'!$D:$D,"Staff Consumption")</f>
        <v>0</v>
      </c>
      <c r="J445" s="50">
        <f>SUMIFS('Stock Adjustment'!$E:$E,'Stock Adjustment'!$B:$B,$A445,'Stock Adjustment'!$D:$D,"Damaged")</f>
        <v>0</v>
      </c>
      <c r="K445" s="50">
        <f>SUMIFS('Stock Adjustment'!$E:$E,'Stock Adjustment'!$B:$B,$A445,'Stock Adjustment'!$D:$D,"Expired")</f>
        <v>0</v>
      </c>
      <c r="L445" s="50">
        <f>SUMIFS('Stock Adjustment'!$E:$E,'Stock Adjustment'!$B:$B,$A445,'Stock Adjustment'!$D:$D,"Supplier Returned")</f>
        <v>0</v>
      </c>
      <c r="M4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5" s="53" t="str">
        <f>IF(B445="","",VLOOKUP(B445,'Product Master'!$B:$G,4,FALSE))</f>
        <v/>
      </c>
      <c r="O445" s="53" t="str">
        <f>IF(B445="","",VLOOKUP(B445,'Product Master'!$B:$G,5,FALSE))</f>
        <v/>
      </c>
      <c r="P445" s="50" t="str">
        <f>IF(B445="","",VLOOKUP(B445,'Product Master'!$B:$I,7,FALSE))</f>
        <v/>
      </c>
      <c r="Q445" s="158"/>
      <c r="R445" s="58" t="str">
        <f t="shared" si="6"/>
        <v/>
      </c>
      <c r="S445" s="25"/>
      <c r="T445" s="25"/>
      <c r="U445" s="25"/>
      <c r="V445" s="25"/>
      <c r="W445" s="25"/>
      <c r="X445" s="25"/>
    </row>
    <row r="446" spans="1:24" x14ac:dyDescent="0.25">
      <c r="A446" s="31" t="s">
        <v>1006</v>
      </c>
      <c r="B446" s="32"/>
      <c r="C446" s="50" t="str">
        <f>IF(B446="","",VLOOKUP(B446,'Product Master'!$B:$G,2,FALSE))</f>
        <v/>
      </c>
      <c r="D446" s="50" t="str">
        <f>IF(B446="","",VLOOKUP(B446,'Product Master'!$B:$G,3,FALSE))</f>
        <v/>
      </c>
      <c r="E446" s="50"/>
      <c r="F446" s="50">
        <f>SUMIF('Stock Purchase'!$D:$D,B446,'Stock Purchase'!$F:$F)</f>
        <v>0</v>
      </c>
      <c r="G446" s="50">
        <f>SUMIFS('Stock Adjustment'!$E:$E,'Stock Adjustment'!$B:$B,$A446,'Stock Adjustment'!$D:$D,"Customer Returned")</f>
        <v>0</v>
      </c>
      <c r="H446" s="50">
        <f>SUMIF('Daily Sales Entry'!$D:$D,B446,'Daily Sales Entry'!$G:$G)</f>
        <v>0</v>
      </c>
      <c r="I446" s="50">
        <f>SUMIFS('Stock Adjustment'!$E:$E,'Stock Adjustment'!$B:$B,$A446,'Stock Adjustment'!$D:$D,"Staff Consumption")</f>
        <v>0</v>
      </c>
      <c r="J446" s="50">
        <f>SUMIFS('Stock Adjustment'!$E:$E,'Stock Adjustment'!$B:$B,$A446,'Stock Adjustment'!$D:$D,"Damaged")</f>
        <v>0</v>
      </c>
      <c r="K446" s="50">
        <f>SUMIFS('Stock Adjustment'!$E:$E,'Stock Adjustment'!$B:$B,$A446,'Stock Adjustment'!$D:$D,"Expired")</f>
        <v>0</v>
      </c>
      <c r="L446" s="50">
        <f>SUMIFS('Stock Adjustment'!$E:$E,'Stock Adjustment'!$B:$B,$A446,'Stock Adjustment'!$D:$D,"Supplier Returned")</f>
        <v>0</v>
      </c>
      <c r="M4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6" s="53" t="str">
        <f>IF(B446="","",VLOOKUP(B446,'Product Master'!$B:$G,4,FALSE))</f>
        <v/>
      </c>
      <c r="O446" s="53" t="str">
        <f>IF(B446="","",VLOOKUP(B446,'Product Master'!$B:$G,5,FALSE))</f>
        <v/>
      </c>
      <c r="P446" s="50" t="str">
        <f>IF(B446="","",VLOOKUP(B446,'Product Master'!$B:$I,7,FALSE))</f>
        <v/>
      </c>
      <c r="Q446" s="158"/>
      <c r="R446" s="58" t="str">
        <f t="shared" si="6"/>
        <v/>
      </c>
      <c r="S446" s="25"/>
      <c r="T446" s="25"/>
      <c r="U446" s="25"/>
      <c r="V446" s="25"/>
      <c r="W446" s="25"/>
      <c r="X446" s="25"/>
    </row>
    <row r="447" spans="1:24" x14ac:dyDescent="0.25">
      <c r="A447" s="31" t="s">
        <v>1007</v>
      </c>
      <c r="B447" s="32"/>
      <c r="C447" s="50" t="str">
        <f>IF(B447="","",VLOOKUP(B447,'Product Master'!$B:$G,2,FALSE))</f>
        <v/>
      </c>
      <c r="D447" s="50" t="str">
        <f>IF(B447="","",VLOOKUP(B447,'Product Master'!$B:$G,3,FALSE))</f>
        <v/>
      </c>
      <c r="E447" s="50"/>
      <c r="F447" s="50">
        <f>SUMIF('Stock Purchase'!$D:$D,B447,'Stock Purchase'!$F:$F)</f>
        <v>0</v>
      </c>
      <c r="G447" s="50">
        <f>SUMIFS('Stock Adjustment'!$E:$E,'Stock Adjustment'!$B:$B,$A447,'Stock Adjustment'!$D:$D,"Customer Returned")</f>
        <v>0</v>
      </c>
      <c r="H447" s="50">
        <f>SUMIF('Daily Sales Entry'!$D:$D,B447,'Daily Sales Entry'!$G:$G)</f>
        <v>0</v>
      </c>
      <c r="I447" s="50">
        <f>SUMIFS('Stock Adjustment'!$E:$E,'Stock Adjustment'!$B:$B,$A447,'Stock Adjustment'!$D:$D,"Staff Consumption")</f>
        <v>0</v>
      </c>
      <c r="J447" s="50">
        <f>SUMIFS('Stock Adjustment'!$E:$E,'Stock Adjustment'!$B:$B,$A447,'Stock Adjustment'!$D:$D,"Damaged")</f>
        <v>0</v>
      </c>
      <c r="K447" s="50">
        <f>SUMIFS('Stock Adjustment'!$E:$E,'Stock Adjustment'!$B:$B,$A447,'Stock Adjustment'!$D:$D,"Expired")</f>
        <v>0</v>
      </c>
      <c r="L447" s="50">
        <f>SUMIFS('Stock Adjustment'!$E:$E,'Stock Adjustment'!$B:$B,$A447,'Stock Adjustment'!$D:$D,"Supplier Returned")</f>
        <v>0</v>
      </c>
      <c r="M4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7" s="53" t="str">
        <f>IF(B447="","",VLOOKUP(B447,'Product Master'!$B:$G,4,FALSE))</f>
        <v/>
      </c>
      <c r="O447" s="53" t="str">
        <f>IF(B447="","",VLOOKUP(B447,'Product Master'!$B:$G,5,FALSE))</f>
        <v/>
      </c>
      <c r="P447" s="50" t="str">
        <f>IF(B447="","",VLOOKUP(B447,'Product Master'!$B:$I,7,FALSE))</f>
        <v/>
      </c>
      <c r="Q447" s="158"/>
      <c r="R447" s="58" t="str">
        <f t="shared" si="6"/>
        <v/>
      </c>
      <c r="S447" s="25"/>
      <c r="T447" s="25"/>
      <c r="U447" s="25"/>
      <c r="V447" s="25"/>
      <c r="W447" s="25"/>
      <c r="X447" s="25"/>
    </row>
    <row r="448" spans="1:24" x14ac:dyDescent="0.25">
      <c r="A448" s="31" t="s">
        <v>1008</v>
      </c>
      <c r="B448" s="32"/>
      <c r="C448" s="50" t="str">
        <f>IF(B448="","",VLOOKUP(B448,'Product Master'!$B:$G,2,FALSE))</f>
        <v/>
      </c>
      <c r="D448" s="50" t="str">
        <f>IF(B448="","",VLOOKUP(B448,'Product Master'!$B:$G,3,FALSE))</f>
        <v/>
      </c>
      <c r="E448" s="50"/>
      <c r="F448" s="50">
        <f>SUMIF('Stock Purchase'!$D:$D,B448,'Stock Purchase'!$F:$F)</f>
        <v>0</v>
      </c>
      <c r="G448" s="50">
        <f>SUMIFS('Stock Adjustment'!$E:$E,'Stock Adjustment'!$B:$B,$A448,'Stock Adjustment'!$D:$D,"Customer Returned")</f>
        <v>0</v>
      </c>
      <c r="H448" s="50">
        <f>SUMIF('Daily Sales Entry'!$D:$D,B448,'Daily Sales Entry'!$G:$G)</f>
        <v>0</v>
      </c>
      <c r="I448" s="50">
        <f>SUMIFS('Stock Adjustment'!$E:$E,'Stock Adjustment'!$B:$B,$A448,'Stock Adjustment'!$D:$D,"Staff Consumption")</f>
        <v>0</v>
      </c>
      <c r="J448" s="50">
        <f>SUMIFS('Stock Adjustment'!$E:$E,'Stock Adjustment'!$B:$B,$A448,'Stock Adjustment'!$D:$D,"Damaged")</f>
        <v>0</v>
      </c>
      <c r="K448" s="50">
        <f>SUMIFS('Stock Adjustment'!$E:$E,'Stock Adjustment'!$B:$B,$A448,'Stock Adjustment'!$D:$D,"Expired")</f>
        <v>0</v>
      </c>
      <c r="L448" s="50">
        <f>SUMIFS('Stock Adjustment'!$E:$E,'Stock Adjustment'!$B:$B,$A448,'Stock Adjustment'!$D:$D,"Supplier Returned")</f>
        <v>0</v>
      </c>
      <c r="M4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8" s="53" t="str">
        <f>IF(B448="","",VLOOKUP(B448,'Product Master'!$B:$G,4,FALSE))</f>
        <v/>
      </c>
      <c r="O448" s="53" t="str">
        <f>IF(B448="","",VLOOKUP(B448,'Product Master'!$B:$G,5,FALSE))</f>
        <v/>
      </c>
      <c r="P448" s="50" t="str">
        <f>IF(B448="","",VLOOKUP(B448,'Product Master'!$B:$I,7,FALSE))</f>
        <v/>
      </c>
      <c r="Q448" s="158"/>
      <c r="R448" s="58" t="str">
        <f t="shared" si="6"/>
        <v/>
      </c>
      <c r="S448" s="25"/>
      <c r="T448" s="25"/>
      <c r="U448" s="25"/>
      <c r="V448" s="25"/>
      <c r="W448" s="25"/>
      <c r="X448" s="25"/>
    </row>
    <row r="449" spans="1:24" x14ac:dyDescent="0.25">
      <c r="A449" s="31" t="s">
        <v>1009</v>
      </c>
      <c r="B449" s="32"/>
      <c r="C449" s="50" t="str">
        <f>IF(B449="","",VLOOKUP(B449,'Product Master'!$B:$G,2,FALSE))</f>
        <v/>
      </c>
      <c r="D449" s="50" t="str">
        <f>IF(B449="","",VLOOKUP(B449,'Product Master'!$B:$G,3,FALSE))</f>
        <v/>
      </c>
      <c r="E449" s="50"/>
      <c r="F449" s="50">
        <f>SUMIF('Stock Purchase'!$D:$D,B449,'Stock Purchase'!$F:$F)</f>
        <v>0</v>
      </c>
      <c r="G449" s="50">
        <f>SUMIFS('Stock Adjustment'!$E:$E,'Stock Adjustment'!$B:$B,$A449,'Stock Adjustment'!$D:$D,"Customer Returned")</f>
        <v>0</v>
      </c>
      <c r="H449" s="50">
        <f>SUMIF('Daily Sales Entry'!$D:$D,B449,'Daily Sales Entry'!$G:$G)</f>
        <v>0</v>
      </c>
      <c r="I449" s="50">
        <f>SUMIFS('Stock Adjustment'!$E:$E,'Stock Adjustment'!$B:$B,$A449,'Stock Adjustment'!$D:$D,"Staff Consumption")</f>
        <v>0</v>
      </c>
      <c r="J449" s="50">
        <f>SUMIFS('Stock Adjustment'!$E:$E,'Stock Adjustment'!$B:$B,$A449,'Stock Adjustment'!$D:$D,"Damaged")</f>
        <v>0</v>
      </c>
      <c r="K449" s="50">
        <f>SUMIFS('Stock Adjustment'!$E:$E,'Stock Adjustment'!$B:$B,$A449,'Stock Adjustment'!$D:$D,"Expired")</f>
        <v>0</v>
      </c>
      <c r="L449" s="50">
        <f>SUMIFS('Stock Adjustment'!$E:$E,'Stock Adjustment'!$B:$B,$A449,'Stock Adjustment'!$D:$D,"Supplier Returned")</f>
        <v>0</v>
      </c>
      <c r="M4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49" s="53" t="str">
        <f>IF(B449="","",VLOOKUP(B449,'Product Master'!$B:$G,4,FALSE))</f>
        <v/>
      </c>
      <c r="O449" s="53" t="str">
        <f>IF(B449="","",VLOOKUP(B449,'Product Master'!$B:$G,5,FALSE))</f>
        <v/>
      </c>
      <c r="P449" s="50" t="str">
        <f>IF(B449="","",VLOOKUP(B449,'Product Master'!$B:$I,7,FALSE))</f>
        <v/>
      </c>
      <c r="Q449" s="158"/>
      <c r="R449" s="58" t="str">
        <f t="shared" si="6"/>
        <v/>
      </c>
      <c r="S449" s="25"/>
      <c r="T449" s="25"/>
      <c r="U449" s="25"/>
      <c r="V449" s="25"/>
      <c r="W449" s="25"/>
      <c r="X449" s="25"/>
    </row>
    <row r="450" spans="1:24" x14ac:dyDescent="0.25">
      <c r="A450" s="31" t="s">
        <v>1010</v>
      </c>
      <c r="B450" s="32"/>
      <c r="C450" s="50" t="str">
        <f>IF(B450="","",VLOOKUP(B450,'Product Master'!$B:$G,2,FALSE))</f>
        <v/>
      </c>
      <c r="D450" s="50" t="str">
        <f>IF(B450="","",VLOOKUP(B450,'Product Master'!$B:$G,3,FALSE))</f>
        <v/>
      </c>
      <c r="E450" s="50"/>
      <c r="F450" s="50">
        <f>SUMIF('Stock Purchase'!$D:$D,B450,'Stock Purchase'!$F:$F)</f>
        <v>0</v>
      </c>
      <c r="G450" s="50">
        <f>SUMIFS('Stock Adjustment'!$E:$E,'Stock Adjustment'!$B:$B,$A450,'Stock Adjustment'!$D:$D,"Customer Returned")</f>
        <v>0</v>
      </c>
      <c r="H450" s="50">
        <f>SUMIF('Daily Sales Entry'!$D:$D,B450,'Daily Sales Entry'!$G:$G)</f>
        <v>0</v>
      </c>
      <c r="I450" s="50">
        <f>SUMIFS('Stock Adjustment'!$E:$E,'Stock Adjustment'!$B:$B,$A450,'Stock Adjustment'!$D:$D,"Staff Consumption")</f>
        <v>0</v>
      </c>
      <c r="J450" s="50">
        <f>SUMIFS('Stock Adjustment'!$E:$E,'Stock Adjustment'!$B:$B,$A450,'Stock Adjustment'!$D:$D,"Damaged")</f>
        <v>0</v>
      </c>
      <c r="K450" s="50">
        <f>SUMIFS('Stock Adjustment'!$E:$E,'Stock Adjustment'!$B:$B,$A450,'Stock Adjustment'!$D:$D,"Expired")</f>
        <v>0</v>
      </c>
      <c r="L450" s="50">
        <f>SUMIFS('Stock Adjustment'!$E:$E,'Stock Adjustment'!$B:$B,$A450,'Stock Adjustment'!$D:$D,"Supplier Returned")</f>
        <v>0</v>
      </c>
      <c r="M4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0" s="53" t="str">
        <f>IF(B450="","",VLOOKUP(B450,'Product Master'!$B:$G,4,FALSE))</f>
        <v/>
      </c>
      <c r="O450" s="53" t="str">
        <f>IF(B450="","",VLOOKUP(B450,'Product Master'!$B:$G,5,FALSE))</f>
        <v/>
      </c>
      <c r="P450" s="50" t="str">
        <f>IF(B450="","",VLOOKUP(B450,'Product Master'!$B:$I,7,FALSE))</f>
        <v/>
      </c>
      <c r="Q450" s="158"/>
      <c r="R450" s="58" t="str">
        <f t="shared" ref="R450:R513" si="7">IF(B450="","",IF(M450=0,"Out of Stock",IF(M450&lt;=10,"Low Stock","In Stock")))</f>
        <v/>
      </c>
      <c r="S450" s="25"/>
      <c r="T450" s="25"/>
      <c r="U450" s="25"/>
      <c r="V450" s="25"/>
      <c r="W450" s="25"/>
      <c r="X450" s="25"/>
    </row>
    <row r="451" spans="1:24" x14ac:dyDescent="0.25">
      <c r="A451" s="31" t="s">
        <v>1011</v>
      </c>
      <c r="B451" s="32"/>
      <c r="C451" s="50" t="str">
        <f>IF(B451="","",VLOOKUP(B451,'Product Master'!$B:$G,2,FALSE))</f>
        <v/>
      </c>
      <c r="D451" s="50" t="str">
        <f>IF(B451="","",VLOOKUP(B451,'Product Master'!$B:$G,3,FALSE))</f>
        <v/>
      </c>
      <c r="E451" s="50"/>
      <c r="F451" s="50">
        <f>SUMIF('Stock Purchase'!$D:$D,B451,'Stock Purchase'!$F:$F)</f>
        <v>0</v>
      </c>
      <c r="G451" s="50">
        <f>SUMIFS('Stock Adjustment'!$E:$E,'Stock Adjustment'!$B:$B,$A451,'Stock Adjustment'!$D:$D,"Customer Returned")</f>
        <v>0</v>
      </c>
      <c r="H451" s="50">
        <f>SUMIF('Daily Sales Entry'!$D:$D,B451,'Daily Sales Entry'!$G:$G)</f>
        <v>0</v>
      </c>
      <c r="I451" s="50">
        <f>SUMIFS('Stock Adjustment'!$E:$E,'Stock Adjustment'!$B:$B,$A451,'Stock Adjustment'!$D:$D,"Staff Consumption")</f>
        <v>0</v>
      </c>
      <c r="J451" s="50">
        <f>SUMIFS('Stock Adjustment'!$E:$E,'Stock Adjustment'!$B:$B,$A451,'Stock Adjustment'!$D:$D,"Damaged")</f>
        <v>0</v>
      </c>
      <c r="K451" s="50">
        <f>SUMIFS('Stock Adjustment'!$E:$E,'Stock Adjustment'!$B:$B,$A451,'Stock Adjustment'!$D:$D,"Expired")</f>
        <v>0</v>
      </c>
      <c r="L451" s="50">
        <f>SUMIFS('Stock Adjustment'!$E:$E,'Stock Adjustment'!$B:$B,$A451,'Stock Adjustment'!$D:$D,"Supplier Returned")</f>
        <v>0</v>
      </c>
      <c r="M4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1" s="53" t="str">
        <f>IF(B451="","",VLOOKUP(B451,'Product Master'!$B:$G,4,FALSE))</f>
        <v/>
      </c>
      <c r="O451" s="53" t="str">
        <f>IF(B451="","",VLOOKUP(B451,'Product Master'!$B:$G,5,FALSE))</f>
        <v/>
      </c>
      <c r="P451" s="50" t="str">
        <f>IF(B451="","",VLOOKUP(B451,'Product Master'!$B:$I,7,FALSE))</f>
        <v/>
      </c>
      <c r="Q451" s="158"/>
      <c r="R451" s="58" t="str">
        <f t="shared" si="7"/>
        <v/>
      </c>
      <c r="S451" s="25"/>
      <c r="T451" s="25"/>
      <c r="U451" s="25"/>
      <c r="V451" s="25"/>
      <c r="W451" s="25"/>
      <c r="X451" s="25"/>
    </row>
    <row r="452" spans="1:24" x14ac:dyDescent="0.25">
      <c r="A452" s="31" t="s">
        <v>1012</v>
      </c>
      <c r="B452" s="32"/>
      <c r="C452" s="50" t="str">
        <f>IF(B452="","",VLOOKUP(B452,'Product Master'!$B:$G,2,FALSE))</f>
        <v/>
      </c>
      <c r="D452" s="50" t="str">
        <f>IF(B452="","",VLOOKUP(B452,'Product Master'!$B:$G,3,FALSE))</f>
        <v/>
      </c>
      <c r="E452" s="50"/>
      <c r="F452" s="50">
        <f>SUMIF('Stock Purchase'!$D:$D,B452,'Stock Purchase'!$F:$F)</f>
        <v>0</v>
      </c>
      <c r="G452" s="50">
        <f>SUMIFS('Stock Adjustment'!$E:$E,'Stock Adjustment'!$B:$B,$A452,'Stock Adjustment'!$D:$D,"Customer Returned")</f>
        <v>0</v>
      </c>
      <c r="H452" s="50">
        <f>SUMIF('Daily Sales Entry'!$D:$D,B452,'Daily Sales Entry'!$G:$G)</f>
        <v>0</v>
      </c>
      <c r="I452" s="50">
        <f>SUMIFS('Stock Adjustment'!$E:$E,'Stock Adjustment'!$B:$B,$A452,'Stock Adjustment'!$D:$D,"Staff Consumption")</f>
        <v>0</v>
      </c>
      <c r="J452" s="50">
        <f>SUMIFS('Stock Adjustment'!$E:$E,'Stock Adjustment'!$B:$B,$A452,'Stock Adjustment'!$D:$D,"Damaged")</f>
        <v>0</v>
      </c>
      <c r="K452" s="50">
        <f>SUMIFS('Stock Adjustment'!$E:$E,'Stock Adjustment'!$B:$B,$A452,'Stock Adjustment'!$D:$D,"Expired")</f>
        <v>0</v>
      </c>
      <c r="L452" s="50">
        <f>SUMIFS('Stock Adjustment'!$E:$E,'Stock Adjustment'!$B:$B,$A452,'Stock Adjustment'!$D:$D,"Supplier Returned")</f>
        <v>0</v>
      </c>
      <c r="M4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2" s="53" t="str">
        <f>IF(B452="","",VLOOKUP(B452,'Product Master'!$B:$G,4,FALSE))</f>
        <v/>
      </c>
      <c r="O452" s="53" t="str">
        <f>IF(B452="","",VLOOKUP(B452,'Product Master'!$B:$G,5,FALSE))</f>
        <v/>
      </c>
      <c r="P452" s="50" t="str">
        <f>IF(B452="","",VLOOKUP(B452,'Product Master'!$B:$I,7,FALSE))</f>
        <v/>
      </c>
      <c r="Q452" s="158"/>
      <c r="R452" s="58" t="str">
        <f t="shared" si="7"/>
        <v/>
      </c>
      <c r="S452" s="25"/>
      <c r="T452" s="25"/>
      <c r="U452" s="25"/>
      <c r="V452" s="25"/>
      <c r="W452" s="25"/>
      <c r="X452" s="25"/>
    </row>
    <row r="453" spans="1:24" x14ac:dyDescent="0.25">
      <c r="A453" s="31" t="s">
        <v>1013</v>
      </c>
      <c r="B453" s="32"/>
      <c r="C453" s="50" t="str">
        <f>IF(B453="","",VLOOKUP(B453,'Product Master'!$B:$G,2,FALSE))</f>
        <v/>
      </c>
      <c r="D453" s="50" t="str">
        <f>IF(B453="","",VLOOKUP(B453,'Product Master'!$B:$G,3,FALSE))</f>
        <v/>
      </c>
      <c r="E453" s="50"/>
      <c r="F453" s="50">
        <f>SUMIF('Stock Purchase'!$D:$D,B453,'Stock Purchase'!$F:$F)</f>
        <v>0</v>
      </c>
      <c r="G453" s="50">
        <f>SUMIFS('Stock Adjustment'!$E:$E,'Stock Adjustment'!$B:$B,$A453,'Stock Adjustment'!$D:$D,"Customer Returned")</f>
        <v>0</v>
      </c>
      <c r="H453" s="50">
        <f>SUMIF('Daily Sales Entry'!$D:$D,B453,'Daily Sales Entry'!$G:$G)</f>
        <v>0</v>
      </c>
      <c r="I453" s="50">
        <f>SUMIFS('Stock Adjustment'!$E:$E,'Stock Adjustment'!$B:$B,$A453,'Stock Adjustment'!$D:$D,"Staff Consumption")</f>
        <v>0</v>
      </c>
      <c r="J453" s="50">
        <f>SUMIFS('Stock Adjustment'!$E:$E,'Stock Adjustment'!$B:$B,$A453,'Stock Adjustment'!$D:$D,"Damaged")</f>
        <v>0</v>
      </c>
      <c r="K453" s="50">
        <f>SUMIFS('Stock Adjustment'!$E:$E,'Stock Adjustment'!$B:$B,$A453,'Stock Adjustment'!$D:$D,"Expired")</f>
        <v>0</v>
      </c>
      <c r="L453" s="50">
        <f>SUMIFS('Stock Adjustment'!$E:$E,'Stock Adjustment'!$B:$B,$A453,'Stock Adjustment'!$D:$D,"Supplier Returned")</f>
        <v>0</v>
      </c>
      <c r="M4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3" s="53" t="str">
        <f>IF(B453="","",VLOOKUP(B453,'Product Master'!$B:$G,4,FALSE))</f>
        <v/>
      </c>
      <c r="O453" s="53" t="str">
        <f>IF(B453="","",VLOOKUP(B453,'Product Master'!$B:$G,5,FALSE))</f>
        <v/>
      </c>
      <c r="P453" s="50" t="str">
        <f>IF(B453="","",VLOOKUP(B453,'Product Master'!$B:$I,7,FALSE))</f>
        <v/>
      </c>
      <c r="Q453" s="158"/>
      <c r="R453" s="58" t="str">
        <f t="shared" si="7"/>
        <v/>
      </c>
      <c r="S453" s="25"/>
      <c r="T453" s="25"/>
      <c r="U453" s="25"/>
      <c r="V453" s="25"/>
      <c r="W453" s="25"/>
      <c r="X453" s="25"/>
    </row>
    <row r="454" spans="1:24" x14ac:dyDescent="0.25">
      <c r="A454" s="31" t="s">
        <v>1014</v>
      </c>
      <c r="B454" s="32"/>
      <c r="C454" s="50" t="str">
        <f>IF(B454="","",VLOOKUP(B454,'Product Master'!$B:$G,2,FALSE))</f>
        <v/>
      </c>
      <c r="D454" s="50" t="str">
        <f>IF(B454="","",VLOOKUP(B454,'Product Master'!$B:$G,3,FALSE))</f>
        <v/>
      </c>
      <c r="E454" s="50"/>
      <c r="F454" s="50">
        <f>SUMIF('Stock Purchase'!$D:$D,B454,'Stock Purchase'!$F:$F)</f>
        <v>0</v>
      </c>
      <c r="G454" s="50">
        <f>SUMIFS('Stock Adjustment'!$E:$E,'Stock Adjustment'!$B:$B,$A454,'Stock Adjustment'!$D:$D,"Customer Returned")</f>
        <v>0</v>
      </c>
      <c r="H454" s="50">
        <f>SUMIF('Daily Sales Entry'!$D:$D,B454,'Daily Sales Entry'!$G:$G)</f>
        <v>0</v>
      </c>
      <c r="I454" s="50">
        <f>SUMIFS('Stock Adjustment'!$E:$E,'Stock Adjustment'!$B:$B,$A454,'Stock Adjustment'!$D:$D,"Staff Consumption")</f>
        <v>0</v>
      </c>
      <c r="J454" s="50">
        <f>SUMIFS('Stock Adjustment'!$E:$E,'Stock Adjustment'!$B:$B,$A454,'Stock Adjustment'!$D:$D,"Damaged")</f>
        <v>0</v>
      </c>
      <c r="K454" s="50">
        <f>SUMIFS('Stock Adjustment'!$E:$E,'Stock Adjustment'!$B:$B,$A454,'Stock Adjustment'!$D:$D,"Expired")</f>
        <v>0</v>
      </c>
      <c r="L454" s="50">
        <f>SUMIFS('Stock Adjustment'!$E:$E,'Stock Adjustment'!$B:$B,$A454,'Stock Adjustment'!$D:$D,"Supplier Returned")</f>
        <v>0</v>
      </c>
      <c r="M4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4" s="53" t="str">
        <f>IF(B454="","",VLOOKUP(B454,'Product Master'!$B:$G,4,FALSE))</f>
        <v/>
      </c>
      <c r="O454" s="53" t="str">
        <f>IF(B454="","",VLOOKUP(B454,'Product Master'!$B:$G,5,FALSE))</f>
        <v/>
      </c>
      <c r="P454" s="50" t="str">
        <f>IF(B454="","",VLOOKUP(B454,'Product Master'!$B:$I,7,FALSE))</f>
        <v/>
      </c>
      <c r="Q454" s="158"/>
      <c r="R454" s="58" t="str">
        <f t="shared" si="7"/>
        <v/>
      </c>
      <c r="S454" s="25"/>
      <c r="T454" s="25"/>
      <c r="U454" s="25"/>
      <c r="V454" s="25"/>
      <c r="W454" s="25"/>
      <c r="X454" s="25"/>
    </row>
    <row r="455" spans="1:24" x14ac:dyDescent="0.25">
      <c r="A455" s="31" t="s">
        <v>1015</v>
      </c>
      <c r="B455" s="32"/>
      <c r="C455" s="50" t="str">
        <f>IF(B455="","",VLOOKUP(B455,'Product Master'!$B:$G,2,FALSE))</f>
        <v/>
      </c>
      <c r="D455" s="50" t="str">
        <f>IF(B455="","",VLOOKUP(B455,'Product Master'!$B:$G,3,FALSE))</f>
        <v/>
      </c>
      <c r="E455" s="50"/>
      <c r="F455" s="50">
        <f>SUMIF('Stock Purchase'!$D:$D,B455,'Stock Purchase'!$F:$F)</f>
        <v>0</v>
      </c>
      <c r="G455" s="50">
        <f>SUMIFS('Stock Adjustment'!$E:$E,'Stock Adjustment'!$B:$B,$A455,'Stock Adjustment'!$D:$D,"Customer Returned")</f>
        <v>0</v>
      </c>
      <c r="H455" s="50">
        <f>SUMIF('Daily Sales Entry'!$D:$D,B455,'Daily Sales Entry'!$G:$G)</f>
        <v>0</v>
      </c>
      <c r="I455" s="50">
        <f>SUMIFS('Stock Adjustment'!$E:$E,'Stock Adjustment'!$B:$B,$A455,'Stock Adjustment'!$D:$D,"Staff Consumption")</f>
        <v>0</v>
      </c>
      <c r="J455" s="50">
        <f>SUMIFS('Stock Adjustment'!$E:$E,'Stock Adjustment'!$B:$B,$A455,'Stock Adjustment'!$D:$D,"Damaged")</f>
        <v>0</v>
      </c>
      <c r="K455" s="50">
        <f>SUMIFS('Stock Adjustment'!$E:$E,'Stock Adjustment'!$B:$B,$A455,'Stock Adjustment'!$D:$D,"Expired")</f>
        <v>0</v>
      </c>
      <c r="L455" s="50">
        <f>SUMIFS('Stock Adjustment'!$E:$E,'Stock Adjustment'!$B:$B,$A455,'Stock Adjustment'!$D:$D,"Supplier Returned")</f>
        <v>0</v>
      </c>
      <c r="M4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5" s="53" t="str">
        <f>IF(B455="","",VLOOKUP(B455,'Product Master'!$B:$G,4,FALSE))</f>
        <v/>
      </c>
      <c r="O455" s="53" t="str">
        <f>IF(B455="","",VLOOKUP(B455,'Product Master'!$B:$G,5,FALSE))</f>
        <v/>
      </c>
      <c r="P455" s="50" t="str">
        <f>IF(B455="","",VLOOKUP(B455,'Product Master'!$B:$I,7,FALSE))</f>
        <v/>
      </c>
      <c r="Q455" s="158"/>
      <c r="R455" s="58" t="str">
        <f t="shared" si="7"/>
        <v/>
      </c>
      <c r="S455" s="25"/>
      <c r="T455" s="25"/>
      <c r="U455" s="25"/>
      <c r="V455" s="25"/>
      <c r="W455" s="25"/>
      <c r="X455" s="25"/>
    </row>
    <row r="456" spans="1:24" x14ac:dyDescent="0.25">
      <c r="A456" s="31" t="s">
        <v>1016</v>
      </c>
      <c r="B456" s="32"/>
      <c r="C456" s="50" t="str">
        <f>IF(B456="","",VLOOKUP(B456,'Product Master'!$B:$G,2,FALSE))</f>
        <v/>
      </c>
      <c r="D456" s="50" t="str">
        <f>IF(B456="","",VLOOKUP(B456,'Product Master'!$B:$G,3,FALSE))</f>
        <v/>
      </c>
      <c r="E456" s="50"/>
      <c r="F456" s="50">
        <f>SUMIF('Stock Purchase'!$D:$D,B456,'Stock Purchase'!$F:$F)</f>
        <v>0</v>
      </c>
      <c r="G456" s="50">
        <f>SUMIFS('Stock Adjustment'!$E:$E,'Stock Adjustment'!$B:$B,$A456,'Stock Adjustment'!$D:$D,"Customer Returned")</f>
        <v>0</v>
      </c>
      <c r="H456" s="50">
        <f>SUMIF('Daily Sales Entry'!$D:$D,B456,'Daily Sales Entry'!$G:$G)</f>
        <v>0</v>
      </c>
      <c r="I456" s="50">
        <f>SUMIFS('Stock Adjustment'!$E:$E,'Stock Adjustment'!$B:$B,$A456,'Stock Adjustment'!$D:$D,"Staff Consumption")</f>
        <v>0</v>
      </c>
      <c r="J456" s="50">
        <f>SUMIFS('Stock Adjustment'!$E:$E,'Stock Adjustment'!$B:$B,$A456,'Stock Adjustment'!$D:$D,"Damaged")</f>
        <v>0</v>
      </c>
      <c r="K456" s="50">
        <f>SUMIFS('Stock Adjustment'!$E:$E,'Stock Adjustment'!$B:$B,$A456,'Stock Adjustment'!$D:$D,"Expired")</f>
        <v>0</v>
      </c>
      <c r="L456" s="50">
        <f>SUMIFS('Stock Adjustment'!$E:$E,'Stock Adjustment'!$B:$B,$A456,'Stock Adjustment'!$D:$D,"Supplier Returned")</f>
        <v>0</v>
      </c>
      <c r="M4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6" s="53" t="str">
        <f>IF(B456="","",VLOOKUP(B456,'Product Master'!$B:$G,4,FALSE))</f>
        <v/>
      </c>
      <c r="O456" s="53" t="str">
        <f>IF(B456="","",VLOOKUP(B456,'Product Master'!$B:$G,5,FALSE))</f>
        <v/>
      </c>
      <c r="P456" s="50" t="str">
        <f>IF(B456="","",VLOOKUP(B456,'Product Master'!$B:$I,7,FALSE))</f>
        <v/>
      </c>
      <c r="Q456" s="158"/>
      <c r="R456" s="58" t="str">
        <f t="shared" si="7"/>
        <v/>
      </c>
      <c r="S456" s="25"/>
      <c r="T456" s="25"/>
      <c r="U456" s="25"/>
      <c r="V456" s="25"/>
      <c r="W456" s="25"/>
      <c r="X456" s="25"/>
    </row>
    <row r="457" spans="1:24" x14ac:dyDescent="0.25">
      <c r="A457" s="31" t="s">
        <v>1017</v>
      </c>
      <c r="B457" s="32"/>
      <c r="C457" s="50" t="str">
        <f>IF(B457="","",VLOOKUP(B457,'Product Master'!$B:$G,2,FALSE))</f>
        <v/>
      </c>
      <c r="D457" s="50" t="str">
        <f>IF(B457="","",VLOOKUP(B457,'Product Master'!$B:$G,3,FALSE))</f>
        <v/>
      </c>
      <c r="E457" s="50"/>
      <c r="F457" s="50">
        <f>SUMIF('Stock Purchase'!$D:$D,B457,'Stock Purchase'!$F:$F)</f>
        <v>0</v>
      </c>
      <c r="G457" s="50">
        <f>SUMIFS('Stock Adjustment'!$E:$E,'Stock Adjustment'!$B:$B,$A457,'Stock Adjustment'!$D:$D,"Customer Returned")</f>
        <v>0</v>
      </c>
      <c r="H457" s="50">
        <f>SUMIF('Daily Sales Entry'!$D:$D,B457,'Daily Sales Entry'!$G:$G)</f>
        <v>0</v>
      </c>
      <c r="I457" s="50">
        <f>SUMIFS('Stock Adjustment'!$E:$E,'Stock Adjustment'!$B:$B,$A457,'Stock Adjustment'!$D:$D,"Staff Consumption")</f>
        <v>0</v>
      </c>
      <c r="J457" s="50">
        <f>SUMIFS('Stock Adjustment'!$E:$E,'Stock Adjustment'!$B:$B,$A457,'Stock Adjustment'!$D:$D,"Damaged")</f>
        <v>0</v>
      </c>
      <c r="K457" s="50">
        <f>SUMIFS('Stock Adjustment'!$E:$E,'Stock Adjustment'!$B:$B,$A457,'Stock Adjustment'!$D:$D,"Expired")</f>
        <v>0</v>
      </c>
      <c r="L457" s="50">
        <f>SUMIFS('Stock Adjustment'!$E:$E,'Stock Adjustment'!$B:$B,$A457,'Stock Adjustment'!$D:$D,"Supplier Returned")</f>
        <v>0</v>
      </c>
      <c r="M4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7" s="53" t="str">
        <f>IF(B457="","",VLOOKUP(B457,'Product Master'!$B:$G,4,FALSE))</f>
        <v/>
      </c>
      <c r="O457" s="53" t="str">
        <f>IF(B457="","",VLOOKUP(B457,'Product Master'!$B:$G,5,FALSE))</f>
        <v/>
      </c>
      <c r="P457" s="50" t="str">
        <f>IF(B457="","",VLOOKUP(B457,'Product Master'!$B:$I,7,FALSE))</f>
        <v/>
      </c>
      <c r="Q457" s="158"/>
      <c r="R457" s="58" t="str">
        <f t="shared" si="7"/>
        <v/>
      </c>
      <c r="S457" s="25"/>
      <c r="T457" s="25"/>
      <c r="U457" s="25"/>
      <c r="V457" s="25"/>
      <c r="W457" s="25"/>
      <c r="X457" s="25"/>
    </row>
    <row r="458" spans="1:24" x14ac:dyDescent="0.25">
      <c r="A458" s="31" t="s">
        <v>1018</v>
      </c>
      <c r="B458" s="32"/>
      <c r="C458" s="50" t="str">
        <f>IF(B458="","",VLOOKUP(B458,'Product Master'!$B:$G,2,FALSE))</f>
        <v/>
      </c>
      <c r="D458" s="50" t="str">
        <f>IF(B458="","",VLOOKUP(B458,'Product Master'!$B:$G,3,FALSE))</f>
        <v/>
      </c>
      <c r="E458" s="50"/>
      <c r="F458" s="50">
        <f>SUMIF('Stock Purchase'!$D:$D,B458,'Stock Purchase'!$F:$F)</f>
        <v>0</v>
      </c>
      <c r="G458" s="50">
        <f>SUMIFS('Stock Adjustment'!$E:$E,'Stock Adjustment'!$B:$B,$A458,'Stock Adjustment'!$D:$D,"Customer Returned")</f>
        <v>0</v>
      </c>
      <c r="H458" s="50">
        <f>SUMIF('Daily Sales Entry'!$D:$D,B458,'Daily Sales Entry'!$G:$G)</f>
        <v>0</v>
      </c>
      <c r="I458" s="50">
        <f>SUMIFS('Stock Adjustment'!$E:$E,'Stock Adjustment'!$B:$B,$A458,'Stock Adjustment'!$D:$D,"Staff Consumption")</f>
        <v>0</v>
      </c>
      <c r="J458" s="50">
        <f>SUMIFS('Stock Adjustment'!$E:$E,'Stock Adjustment'!$B:$B,$A458,'Stock Adjustment'!$D:$D,"Damaged")</f>
        <v>0</v>
      </c>
      <c r="K458" s="50">
        <f>SUMIFS('Stock Adjustment'!$E:$E,'Stock Adjustment'!$B:$B,$A458,'Stock Adjustment'!$D:$D,"Expired")</f>
        <v>0</v>
      </c>
      <c r="L458" s="50">
        <f>SUMIFS('Stock Adjustment'!$E:$E,'Stock Adjustment'!$B:$B,$A458,'Stock Adjustment'!$D:$D,"Supplier Returned")</f>
        <v>0</v>
      </c>
      <c r="M4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8" s="53" t="str">
        <f>IF(B458="","",VLOOKUP(B458,'Product Master'!$B:$G,4,FALSE))</f>
        <v/>
      </c>
      <c r="O458" s="53" t="str">
        <f>IF(B458="","",VLOOKUP(B458,'Product Master'!$B:$G,5,FALSE))</f>
        <v/>
      </c>
      <c r="P458" s="50" t="str">
        <f>IF(B458="","",VLOOKUP(B458,'Product Master'!$B:$I,7,FALSE))</f>
        <v/>
      </c>
      <c r="Q458" s="158"/>
      <c r="R458" s="58" t="str">
        <f t="shared" si="7"/>
        <v/>
      </c>
      <c r="S458" s="25"/>
      <c r="T458" s="25"/>
      <c r="U458" s="25"/>
      <c r="V458" s="25"/>
      <c r="W458" s="25"/>
      <c r="X458" s="25"/>
    </row>
    <row r="459" spans="1:24" x14ac:dyDescent="0.25">
      <c r="A459" s="31" t="s">
        <v>1019</v>
      </c>
      <c r="B459" s="32"/>
      <c r="C459" s="50" t="str">
        <f>IF(B459="","",VLOOKUP(B459,'Product Master'!$B:$G,2,FALSE))</f>
        <v/>
      </c>
      <c r="D459" s="50" t="str">
        <f>IF(B459="","",VLOOKUP(B459,'Product Master'!$B:$G,3,FALSE))</f>
        <v/>
      </c>
      <c r="E459" s="50"/>
      <c r="F459" s="50">
        <f>SUMIF('Stock Purchase'!$D:$D,B459,'Stock Purchase'!$F:$F)</f>
        <v>0</v>
      </c>
      <c r="G459" s="50">
        <f>SUMIFS('Stock Adjustment'!$E:$E,'Stock Adjustment'!$B:$B,$A459,'Stock Adjustment'!$D:$D,"Customer Returned")</f>
        <v>0</v>
      </c>
      <c r="H459" s="50">
        <f>SUMIF('Daily Sales Entry'!$D:$D,B459,'Daily Sales Entry'!$G:$G)</f>
        <v>0</v>
      </c>
      <c r="I459" s="50">
        <f>SUMIFS('Stock Adjustment'!$E:$E,'Stock Adjustment'!$B:$B,$A459,'Stock Adjustment'!$D:$D,"Staff Consumption")</f>
        <v>0</v>
      </c>
      <c r="J459" s="50">
        <f>SUMIFS('Stock Adjustment'!$E:$E,'Stock Adjustment'!$B:$B,$A459,'Stock Adjustment'!$D:$D,"Damaged")</f>
        <v>0</v>
      </c>
      <c r="K459" s="50">
        <f>SUMIFS('Stock Adjustment'!$E:$E,'Stock Adjustment'!$B:$B,$A459,'Stock Adjustment'!$D:$D,"Expired")</f>
        <v>0</v>
      </c>
      <c r="L459" s="50">
        <f>SUMIFS('Stock Adjustment'!$E:$E,'Stock Adjustment'!$B:$B,$A459,'Stock Adjustment'!$D:$D,"Supplier Returned")</f>
        <v>0</v>
      </c>
      <c r="M4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59" s="53" t="str">
        <f>IF(B459="","",VLOOKUP(B459,'Product Master'!$B:$G,4,FALSE))</f>
        <v/>
      </c>
      <c r="O459" s="53" t="str">
        <f>IF(B459="","",VLOOKUP(B459,'Product Master'!$B:$G,5,FALSE))</f>
        <v/>
      </c>
      <c r="P459" s="50" t="str">
        <f>IF(B459="","",VLOOKUP(B459,'Product Master'!$B:$I,7,FALSE))</f>
        <v/>
      </c>
      <c r="Q459" s="158"/>
      <c r="R459" s="58" t="str">
        <f t="shared" si="7"/>
        <v/>
      </c>
      <c r="S459" s="25"/>
      <c r="T459" s="25"/>
      <c r="U459" s="25"/>
      <c r="V459" s="25"/>
      <c r="W459" s="25"/>
      <c r="X459" s="25"/>
    </row>
    <row r="460" spans="1:24" x14ac:dyDescent="0.25">
      <c r="A460" s="31" t="s">
        <v>1020</v>
      </c>
      <c r="B460" s="32"/>
      <c r="C460" s="50" t="str">
        <f>IF(B460="","",VLOOKUP(B460,'Product Master'!$B:$G,2,FALSE))</f>
        <v/>
      </c>
      <c r="D460" s="50" t="str">
        <f>IF(B460="","",VLOOKUP(B460,'Product Master'!$B:$G,3,FALSE))</f>
        <v/>
      </c>
      <c r="E460" s="50"/>
      <c r="F460" s="50">
        <f>SUMIF('Stock Purchase'!$D:$D,B460,'Stock Purchase'!$F:$F)</f>
        <v>0</v>
      </c>
      <c r="G460" s="50">
        <f>SUMIFS('Stock Adjustment'!$E:$E,'Stock Adjustment'!$B:$B,$A460,'Stock Adjustment'!$D:$D,"Customer Returned")</f>
        <v>0</v>
      </c>
      <c r="H460" s="50">
        <f>SUMIF('Daily Sales Entry'!$D:$D,B460,'Daily Sales Entry'!$G:$G)</f>
        <v>0</v>
      </c>
      <c r="I460" s="50">
        <f>SUMIFS('Stock Adjustment'!$E:$E,'Stock Adjustment'!$B:$B,$A460,'Stock Adjustment'!$D:$D,"Staff Consumption")</f>
        <v>0</v>
      </c>
      <c r="J460" s="50">
        <f>SUMIFS('Stock Adjustment'!$E:$E,'Stock Adjustment'!$B:$B,$A460,'Stock Adjustment'!$D:$D,"Damaged")</f>
        <v>0</v>
      </c>
      <c r="K460" s="50">
        <f>SUMIFS('Stock Adjustment'!$E:$E,'Stock Adjustment'!$B:$B,$A460,'Stock Adjustment'!$D:$D,"Expired")</f>
        <v>0</v>
      </c>
      <c r="L460" s="50">
        <f>SUMIFS('Stock Adjustment'!$E:$E,'Stock Adjustment'!$B:$B,$A460,'Stock Adjustment'!$D:$D,"Supplier Returned")</f>
        <v>0</v>
      </c>
      <c r="M4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0" s="53" t="str">
        <f>IF(B460="","",VLOOKUP(B460,'Product Master'!$B:$G,4,FALSE))</f>
        <v/>
      </c>
      <c r="O460" s="53" t="str">
        <f>IF(B460="","",VLOOKUP(B460,'Product Master'!$B:$G,5,FALSE))</f>
        <v/>
      </c>
      <c r="P460" s="50" t="str">
        <f>IF(B460="","",VLOOKUP(B460,'Product Master'!$B:$I,7,FALSE))</f>
        <v/>
      </c>
      <c r="Q460" s="158"/>
      <c r="R460" s="58" t="str">
        <f t="shared" si="7"/>
        <v/>
      </c>
      <c r="S460" s="25"/>
      <c r="T460" s="25"/>
      <c r="U460" s="25"/>
      <c r="V460" s="25"/>
      <c r="W460" s="25"/>
      <c r="X460" s="25"/>
    </row>
    <row r="461" spans="1:24" x14ac:dyDescent="0.25">
      <c r="A461" s="31" t="s">
        <v>1021</v>
      </c>
      <c r="B461" s="32"/>
      <c r="C461" s="50" t="str">
        <f>IF(B461="","",VLOOKUP(B461,'Product Master'!$B:$G,2,FALSE))</f>
        <v/>
      </c>
      <c r="D461" s="50" t="str">
        <f>IF(B461="","",VLOOKUP(B461,'Product Master'!$B:$G,3,FALSE))</f>
        <v/>
      </c>
      <c r="E461" s="50"/>
      <c r="F461" s="50">
        <f>SUMIF('Stock Purchase'!$D:$D,B461,'Stock Purchase'!$F:$F)</f>
        <v>0</v>
      </c>
      <c r="G461" s="50">
        <f>SUMIFS('Stock Adjustment'!$E:$E,'Stock Adjustment'!$B:$B,$A461,'Stock Adjustment'!$D:$D,"Customer Returned")</f>
        <v>0</v>
      </c>
      <c r="H461" s="50">
        <f>SUMIF('Daily Sales Entry'!$D:$D,B461,'Daily Sales Entry'!$G:$G)</f>
        <v>0</v>
      </c>
      <c r="I461" s="50">
        <f>SUMIFS('Stock Adjustment'!$E:$E,'Stock Adjustment'!$B:$B,$A461,'Stock Adjustment'!$D:$D,"Staff Consumption")</f>
        <v>0</v>
      </c>
      <c r="J461" s="50">
        <f>SUMIFS('Stock Adjustment'!$E:$E,'Stock Adjustment'!$B:$B,$A461,'Stock Adjustment'!$D:$D,"Damaged")</f>
        <v>0</v>
      </c>
      <c r="K461" s="50">
        <f>SUMIFS('Stock Adjustment'!$E:$E,'Stock Adjustment'!$B:$B,$A461,'Stock Adjustment'!$D:$D,"Expired")</f>
        <v>0</v>
      </c>
      <c r="L461" s="50">
        <f>SUMIFS('Stock Adjustment'!$E:$E,'Stock Adjustment'!$B:$B,$A461,'Stock Adjustment'!$D:$D,"Supplier Returned")</f>
        <v>0</v>
      </c>
      <c r="M4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1" s="53" t="str">
        <f>IF(B461="","",VLOOKUP(B461,'Product Master'!$B:$G,4,FALSE))</f>
        <v/>
      </c>
      <c r="O461" s="53" t="str">
        <f>IF(B461="","",VLOOKUP(B461,'Product Master'!$B:$G,5,FALSE))</f>
        <v/>
      </c>
      <c r="P461" s="50" t="str">
        <f>IF(B461="","",VLOOKUP(B461,'Product Master'!$B:$I,7,FALSE))</f>
        <v/>
      </c>
      <c r="Q461" s="158"/>
      <c r="R461" s="58" t="str">
        <f t="shared" si="7"/>
        <v/>
      </c>
      <c r="S461" s="25"/>
      <c r="T461" s="25"/>
      <c r="U461" s="25"/>
      <c r="V461" s="25"/>
      <c r="W461" s="25"/>
      <c r="X461" s="25"/>
    </row>
    <row r="462" spans="1:24" x14ac:dyDescent="0.25">
      <c r="A462" s="31" t="s">
        <v>1022</v>
      </c>
      <c r="B462" s="32"/>
      <c r="C462" s="50" t="str">
        <f>IF(B462="","",VLOOKUP(B462,'Product Master'!$B:$G,2,FALSE))</f>
        <v/>
      </c>
      <c r="D462" s="50" t="str">
        <f>IF(B462="","",VLOOKUP(B462,'Product Master'!$B:$G,3,FALSE))</f>
        <v/>
      </c>
      <c r="E462" s="50"/>
      <c r="F462" s="50">
        <f>SUMIF('Stock Purchase'!$D:$D,B462,'Stock Purchase'!$F:$F)</f>
        <v>0</v>
      </c>
      <c r="G462" s="50">
        <f>SUMIFS('Stock Adjustment'!$E:$E,'Stock Adjustment'!$B:$B,$A462,'Stock Adjustment'!$D:$D,"Customer Returned")</f>
        <v>0</v>
      </c>
      <c r="H462" s="50">
        <f>SUMIF('Daily Sales Entry'!$D:$D,B462,'Daily Sales Entry'!$G:$G)</f>
        <v>0</v>
      </c>
      <c r="I462" s="50">
        <f>SUMIFS('Stock Adjustment'!$E:$E,'Stock Adjustment'!$B:$B,$A462,'Stock Adjustment'!$D:$D,"Staff Consumption")</f>
        <v>0</v>
      </c>
      <c r="J462" s="50">
        <f>SUMIFS('Stock Adjustment'!$E:$E,'Stock Adjustment'!$B:$B,$A462,'Stock Adjustment'!$D:$D,"Damaged")</f>
        <v>0</v>
      </c>
      <c r="K462" s="50">
        <f>SUMIFS('Stock Adjustment'!$E:$E,'Stock Adjustment'!$B:$B,$A462,'Stock Adjustment'!$D:$D,"Expired")</f>
        <v>0</v>
      </c>
      <c r="L462" s="50">
        <f>SUMIFS('Stock Adjustment'!$E:$E,'Stock Adjustment'!$B:$B,$A462,'Stock Adjustment'!$D:$D,"Supplier Returned")</f>
        <v>0</v>
      </c>
      <c r="M4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2" s="53" t="str">
        <f>IF(B462="","",VLOOKUP(B462,'Product Master'!$B:$G,4,FALSE))</f>
        <v/>
      </c>
      <c r="O462" s="53" t="str">
        <f>IF(B462="","",VLOOKUP(B462,'Product Master'!$B:$G,5,FALSE))</f>
        <v/>
      </c>
      <c r="P462" s="50" t="str">
        <f>IF(B462="","",VLOOKUP(B462,'Product Master'!$B:$I,7,FALSE))</f>
        <v/>
      </c>
      <c r="Q462" s="158"/>
      <c r="R462" s="58" t="str">
        <f t="shared" si="7"/>
        <v/>
      </c>
      <c r="S462" s="25"/>
      <c r="T462" s="25"/>
      <c r="U462" s="25"/>
      <c r="V462" s="25"/>
      <c r="W462" s="25"/>
      <c r="X462" s="25"/>
    </row>
    <row r="463" spans="1:24" x14ac:dyDescent="0.25">
      <c r="A463" s="31" t="s">
        <v>1023</v>
      </c>
      <c r="B463" s="32"/>
      <c r="C463" s="50" t="str">
        <f>IF(B463="","",VLOOKUP(B463,'Product Master'!$B:$G,2,FALSE))</f>
        <v/>
      </c>
      <c r="D463" s="50" t="str">
        <f>IF(B463="","",VLOOKUP(B463,'Product Master'!$B:$G,3,FALSE))</f>
        <v/>
      </c>
      <c r="E463" s="50"/>
      <c r="F463" s="50">
        <f>SUMIF('Stock Purchase'!$D:$D,B463,'Stock Purchase'!$F:$F)</f>
        <v>0</v>
      </c>
      <c r="G463" s="50">
        <f>SUMIFS('Stock Adjustment'!$E:$E,'Stock Adjustment'!$B:$B,$A463,'Stock Adjustment'!$D:$D,"Customer Returned")</f>
        <v>0</v>
      </c>
      <c r="H463" s="50">
        <f>SUMIF('Daily Sales Entry'!$D:$D,B463,'Daily Sales Entry'!$G:$G)</f>
        <v>0</v>
      </c>
      <c r="I463" s="50">
        <f>SUMIFS('Stock Adjustment'!$E:$E,'Stock Adjustment'!$B:$B,$A463,'Stock Adjustment'!$D:$D,"Staff Consumption")</f>
        <v>0</v>
      </c>
      <c r="J463" s="50">
        <f>SUMIFS('Stock Adjustment'!$E:$E,'Stock Adjustment'!$B:$B,$A463,'Stock Adjustment'!$D:$D,"Damaged")</f>
        <v>0</v>
      </c>
      <c r="K463" s="50">
        <f>SUMIFS('Stock Adjustment'!$E:$E,'Stock Adjustment'!$B:$B,$A463,'Stock Adjustment'!$D:$D,"Expired")</f>
        <v>0</v>
      </c>
      <c r="L463" s="50">
        <f>SUMIFS('Stock Adjustment'!$E:$E,'Stock Adjustment'!$B:$B,$A463,'Stock Adjustment'!$D:$D,"Supplier Returned")</f>
        <v>0</v>
      </c>
      <c r="M4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3" s="53" t="str">
        <f>IF(B463="","",VLOOKUP(B463,'Product Master'!$B:$G,4,FALSE))</f>
        <v/>
      </c>
      <c r="O463" s="53" t="str">
        <f>IF(B463="","",VLOOKUP(B463,'Product Master'!$B:$G,5,FALSE))</f>
        <v/>
      </c>
      <c r="P463" s="50" t="str">
        <f>IF(B463="","",VLOOKUP(B463,'Product Master'!$B:$I,7,FALSE))</f>
        <v/>
      </c>
      <c r="Q463" s="158"/>
      <c r="R463" s="58" t="str">
        <f t="shared" si="7"/>
        <v/>
      </c>
      <c r="S463" s="25"/>
      <c r="T463" s="25"/>
      <c r="U463" s="25"/>
      <c r="V463" s="25"/>
      <c r="W463" s="25"/>
      <c r="X463" s="25"/>
    </row>
    <row r="464" spans="1:24" x14ac:dyDescent="0.25">
      <c r="A464" s="31" t="s">
        <v>1024</v>
      </c>
      <c r="B464" s="32"/>
      <c r="C464" s="50" t="str">
        <f>IF(B464="","",VLOOKUP(B464,'Product Master'!$B:$G,2,FALSE))</f>
        <v/>
      </c>
      <c r="D464" s="50" t="str">
        <f>IF(B464="","",VLOOKUP(B464,'Product Master'!$B:$G,3,FALSE))</f>
        <v/>
      </c>
      <c r="E464" s="50"/>
      <c r="F464" s="50">
        <f>SUMIF('Stock Purchase'!$D:$D,B464,'Stock Purchase'!$F:$F)</f>
        <v>0</v>
      </c>
      <c r="G464" s="50">
        <f>SUMIFS('Stock Adjustment'!$E:$E,'Stock Adjustment'!$B:$B,$A464,'Stock Adjustment'!$D:$D,"Customer Returned")</f>
        <v>0</v>
      </c>
      <c r="H464" s="50">
        <f>SUMIF('Daily Sales Entry'!$D:$D,B464,'Daily Sales Entry'!$G:$G)</f>
        <v>0</v>
      </c>
      <c r="I464" s="50">
        <f>SUMIFS('Stock Adjustment'!$E:$E,'Stock Adjustment'!$B:$B,$A464,'Stock Adjustment'!$D:$D,"Staff Consumption")</f>
        <v>0</v>
      </c>
      <c r="J464" s="50">
        <f>SUMIFS('Stock Adjustment'!$E:$E,'Stock Adjustment'!$B:$B,$A464,'Stock Adjustment'!$D:$D,"Damaged")</f>
        <v>0</v>
      </c>
      <c r="K464" s="50">
        <f>SUMIFS('Stock Adjustment'!$E:$E,'Stock Adjustment'!$B:$B,$A464,'Stock Adjustment'!$D:$D,"Expired")</f>
        <v>0</v>
      </c>
      <c r="L464" s="50">
        <f>SUMIFS('Stock Adjustment'!$E:$E,'Stock Adjustment'!$B:$B,$A464,'Stock Adjustment'!$D:$D,"Supplier Returned")</f>
        <v>0</v>
      </c>
      <c r="M4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4" s="53" t="str">
        <f>IF(B464="","",VLOOKUP(B464,'Product Master'!$B:$G,4,FALSE))</f>
        <v/>
      </c>
      <c r="O464" s="53" t="str">
        <f>IF(B464="","",VLOOKUP(B464,'Product Master'!$B:$G,5,FALSE))</f>
        <v/>
      </c>
      <c r="P464" s="50" t="str">
        <f>IF(B464="","",VLOOKUP(B464,'Product Master'!$B:$I,7,FALSE))</f>
        <v/>
      </c>
      <c r="Q464" s="158"/>
      <c r="R464" s="58" t="str">
        <f t="shared" si="7"/>
        <v/>
      </c>
      <c r="S464" s="25"/>
      <c r="T464" s="25"/>
      <c r="U464" s="25"/>
      <c r="V464" s="25"/>
      <c r="W464" s="25"/>
      <c r="X464" s="25"/>
    </row>
    <row r="465" spans="1:24" x14ac:dyDescent="0.25">
      <c r="A465" s="31" t="s">
        <v>1025</v>
      </c>
      <c r="B465" s="32"/>
      <c r="C465" s="50" t="str">
        <f>IF(B465="","",VLOOKUP(B465,'Product Master'!$B:$G,2,FALSE))</f>
        <v/>
      </c>
      <c r="D465" s="50" t="str">
        <f>IF(B465="","",VLOOKUP(B465,'Product Master'!$B:$G,3,FALSE))</f>
        <v/>
      </c>
      <c r="E465" s="50"/>
      <c r="F465" s="50">
        <f>SUMIF('Stock Purchase'!$D:$D,B465,'Stock Purchase'!$F:$F)</f>
        <v>0</v>
      </c>
      <c r="G465" s="50">
        <f>SUMIFS('Stock Adjustment'!$E:$E,'Stock Adjustment'!$B:$B,$A465,'Stock Adjustment'!$D:$D,"Customer Returned")</f>
        <v>0</v>
      </c>
      <c r="H465" s="50">
        <f>SUMIF('Daily Sales Entry'!$D:$D,B465,'Daily Sales Entry'!$G:$G)</f>
        <v>0</v>
      </c>
      <c r="I465" s="50">
        <f>SUMIFS('Stock Adjustment'!$E:$E,'Stock Adjustment'!$B:$B,$A465,'Stock Adjustment'!$D:$D,"Staff Consumption")</f>
        <v>0</v>
      </c>
      <c r="J465" s="50">
        <f>SUMIFS('Stock Adjustment'!$E:$E,'Stock Adjustment'!$B:$B,$A465,'Stock Adjustment'!$D:$D,"Damaged")</f>
        <v>0</v>
      </c>
      <c r="K465" s="50">
        <f>SUMIFS('Stock Adjustment'!$E:$E,'Stock Adjustment'!$B:$B,$A465,'Stock Adjustment'!$D:$D,"Expired")</f>
        <v>0</v>
      </c>
      <c r="L465" s="50">
        <f>SUMIFS('Stock Adjustment'!$E:$E,'Stock Adjustment'!$B:$B,$A465,'Stock Adjustment'!$D:$D,"Supplier Returned")</f>
        <v>0</v>
      </c>
      <c r="M4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5" s="53" t="str">
        <f>IF(B465="","",VLOOKUP(B465,'Product Master'!$B:$G,4,FALSE))</f>
        <v/>
      </c>
      <c r="O465" s="53" t="str">
        <f>IF(B465="","",VLOOKUP(B465,'Product Master'!$B:$G,5,FALSE))</f>
        <v/>
      </c>
      <c r="P465" s="50" t="str">
        <f>IF(B465="","",VLOOKUP(B465,'Product Master'!$B:$I,7,FALSE))</f>
        <v/>
      </c>
      <c r="Q465" s="158"/>
      <c r="R465" s="58" t="str">
        <f t="shared" si="7"/>
        <v/>
      </c>
      <c r="S465" s="25"/>
      <c r="T465" s="25"/>
      <c r="U465" s="25"/>
      <c r="V465" s="25"/>
      <c r="W465" s="25"/>
      <c r="X465" s="25"/>
    </row>
    <row r="466" spans="1:24" x14ac:dyDescent="0.25">
      <c r="A466" s="31" t="s">
        <v>1026</v>
      </c>
      <c r="B466" s="32"/>
      <c r="C466" s="50" t="str">
        <f>IF(B466="","",VLOOKUP(B466,'Product Master'!$B:$G,2,FALSE))</f>
        <v/>
      </c>
      <c r="D466" s="50" t="str">
        <f>IF(B466="","",VLOOKUP(B466,'Product Master'!$B:$G,3,FALSE))</f>
        <v/>
      </c>
      <c r="E466" s="50"/>
      <c r="F466" s="50">
        <f>SUMIF('Stock Purchase'!$D:$D,B466,'Stock Purchase'!$F:$F)</f>
        <v>0</v>
      </c>
      <c r="G466" s="50">
        <f>SUMIFS('Stock Adjustment'!$E:$E,'Stock Adjustment'!$B:$B,$A466,'Stock Adjustment'!$D:$D,"Customer Returned")</f>
        <v>0</v>
      </c>
      <c r="H466" s="50">
        <f>SUMIF('Daily Sales Entry'!$D:$D,B466,'Daily Sales Entry'!$G:$G)</f>
        <v>0</v>
      </c>
      <c r="I466" s="50">
        <f>SUMIFS('Stock Adjustment'!$E:$E,'Stock Adjustment'!$B:$B,$A466,'Stock Adjustment'!$D:$D,"Staff Consumption")</f>
        <v>0</v>
      </c>
      <c r="J466" s="50">
        <f>SUMIFS('Stock Adjustment'!$E:$E,'Stock Adjustment'!$B:$B,$A466,'Stock Adjustment'!$D:$D,"Damaged")</f>
        <v>0</v>
      </c>
      <c r="K466" s="50">
        <f>SUMIFS('Stock Adjustment'!$E:$E,'Stock Adjustment'!$B:$B,$A466,'Stock Adjustment'!$D:$D,"Expired")</f>
        <v>0</v>
      </c>
      <c r="L466" s="50">
        <f>SUMIFS('Stock Adjustment'!$E:$E,'Stock Adjustment'!$B:$B,$A466,'Stock Adjustment'!$D:$D,"Supplier Returned")</f>
        <v>0</v>
      </c>
      <c r="M4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6" s="53" t="str">
        <f>IF(B466="","",VLOOKUP(B466,'Product Master'!$B:$G,4,FALSE))</f>
        <v/>
      </c>
      <c r="O466" s="53" t="str">
        <f>IF(B466="","",VLOOKUP(B466,'Product Master'!$B:$G,5,FALSE))</f>
        <v/>
      </c>
      <c r="P466" s="50" t="str">
        <f>IF(B466="","",VLOOKUP(B466,'Product Master'!$B:$I,7,FALSE))</f>
        <v/>
      </c>
      <c r="Q466" s="158"/>
      <c r="R466" s="58" t="str">
        <f t="shared" si="7"/>
        <v/>
      </c>
      <c r="S466" s="25"/>
      <c r="T466" s="25"/>
      <c r="U466" s="25"/>
      <c r="V466" s="25"/>
      <c r="W466" s="25"/>
      <c r="X466" s="25"/>
    </row>
    <row r="467" spans="1:24" x14ac:dyDescent="0.25">
      <c r="A467" s="31" t="s">
        <v>1027</v>
      </c>
      <c r="B467" s="32"/>
      <c r="C467" s="50" t="str">
        <f>IF(B467="","",VLOOKUP(B467,'Product Master'!$B:$G,2,FALSE))</f>
        <v/>
      </c>
      <c r="D467" s="50" t="str">
        <f>IF(B467="","",VLOOKUP(B467,'Product Master'!$B:$G,3,FALSE))</f>
        <v/>
      </c>
      <c r="E467" s="50"/>
      <c r="F467" s="50">
        <f>SUMIF('Stock Purchase'!$D:$D,B467,'Stock Purchase'!$F:$F)</f>
        <v>0</v>
      </c>
      <c r="G467" s="50">
        <f>SUMIFS('Stock Adjustment'!$E:$E,'Stock Adjustment'!$B:$B,$A467,'Stock Adjustment'!$D:$D,"Customer Returned")</f>
        <v>0</v>
      </c>
      <c r="H467" s="50">
        <f>SUMIF('Daily Sales Entry'!$D:$D,B467,'Daily Sales Entry'!$G:$G)</f>
        <v>0</v>
      </c>
      <c r="I467" s="50">
        <f>SUMIFS('Stock Adjustment'!$E:$E,'Stock Adjustment'!$B:$B,$A467,'Stock Adjustment'!$D:$D,"Staff Consumption")</f>
        <v>0</v>
      </c>
      <c r="J467" s="50">
        <f>SUMIFS('Stock Adjustment'!$E:$E,'Stock Adjustment'!$B:$B,$A467,'Stock Adjustment'!$D:$D,"Damaged")</f>
        <v>0</v>
      </c>
      <c r="K467" s="50">
        <f>SUMIFS('Stock Adjustment'!$E:$E,'Stock Adjustment'!$B:$B,$A467,'Stock Adjustment'!$D:$D,"Expired")</f>
        <v>0</v>
      </c>
      <c r="L467" s="50">
        <f>SUMIFS('Stock Adjustment'!$E:$E,'Stock Adjustment'!$B:$B,$A467,'Stock Adjustment'!$D:$D,"Supplier Returned")</f>
        <v>0</v>
      </c>
      <c r="M4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7" s="53" t="str">
        <f>IF(B467="","",VLOOKUP(B467,'Product Master'!$B:$G,4,FALSE))</f>
        <v/>
      </c>
      <c r="O467" s="53" t="str">
        <f>IF(B467="","",VLOOKUP(B467,'Product Master'!$B:$G,5,FALSE))</f>
        <v/>
      </c>
      <c r="P467" s="50" t="str">
        <f>IF(B467="","",VLOOKUP(B467,'Product Master'!$B:$I,7,FALSE))</f>
        <v/>
      </c>
      <c r="Q467" s="158"/>
      <c r="R467" s="58" t="str">
        <f t="shared" si="7"/>
        <v/>
      </c>
      <c r="S467" s="25"/>
      <c r="T467" s="25"/>
      <c r="U467" s="25"/>
      <c r="V467" s="25"/>
      <c r="W467" s="25"/>
      <c r="X467" s="25"/>
    </row>
    <row r="468" spans="1:24" x14ac:dyDescent="0.25">
      <c r="A468" s="31" t="s">
        <v>1028</v>
      </c>
      <c r="B468" s="32"/>
      <c r="C468" s="50" t="str">
        <f>IF(B468="","",VLOOKUP(B468,'Product Master'!$B:$G,2,FALSE))</f>
        <v/>
      </c>
      <c r="D468" s="50" t="str">
        <f>IF(B468="","",VLOOKUP(B468,'Product Master'!$B:$G,3,FALSE))</f>
        <v/>
      </c>
      <c r="E468" s="50"/>
      <c r="F468" s="50">
        <f>SUMIF('Stock Purchase'!$D:$D,B468,'Stock Purchase'!$F:$F)</f>
        <v>0</v>
      </c>
      <c r="G468" s="50">
        <f>SUMIFS('Stock Adjustment'!$E:$E,'Stock Adjustment'!$B:$B,$A468,'Stock Adjustment'!$D:$D,"Customer Returned")</f>
        <v>0</v>
      </c>
      <c r="H468" s="50">
        <f>SUMIF('Daily Sales Entry'!$D:$D,B468,'Daily Sales Entry'!$G:$G)</f>
        <v>0</v>
      </c>
      <c r="I468" s="50">
        <f>SUMIFS('Stock Adjustment'!$E:$E,'Stock Adjustment'!$B:$B,$A468,'Stock Adjustment'!$D:$D,"Staff Consumption")</f>
        <v>0</v>
      </c>
      <c r="J468" s="50">
        <f>SUMIFS('Stock Adjustment'!$E:$E,'Stock Adjustment'!$B:$B,$A468,'Stock Adjustment'!$D:$D,"Damaged")</f>
        <v>0</v>
      </c>
      <c r="K468" s="50">
        <f>SUMIFS('Stock Adjustment'!$E:$E,'Stock Adjustment'!$B:$B,$A468,'Stock Adjustment'!$D:$D,"Expired")</f>
        <v>0</v>
      </c>
      <c r="L468" s="50">
        <f>SUMIFS('Stock Adjustment'!$E:$E,'Stock Adjustment'!$B:$B,$A468,'Stock Adjustment'!$D:$D,"Supplier Returned")</f>
        <v>0</v>
      </c>
      <c r="M4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8" s="53" t="str">
        <f>IF(B468="","",VLOOKUP(B468,'Product Master'!$B:$G,4,FALSE))</f>
        <v/>
      </c>
      <c r="O468" s="53" t="str">
        <f>IF(B468="","",VLOOKUP(B468,'Product Master'!$B:$G,5,FALSE))</f>
        <v/>
      </c>
      <c r="P468" s="50" t="str">
        <f>IF(B468="","",VLOOKUP(B468,'Product Master'!$B:$I,7,FALSE))</f>
        <v/>
      </c>
      <c r="Q468" s="158"/>
      <c r="R468" s="58" t="str">
        <f t="shared" si="7"/>
        <v/>
      </c>
      <c r="S468" s="25"/>
      <c r="T468" s="25"/>
      <c r="U468" s="25"/>
      <c r="V468" s="25"/>
      <c r="W468" s="25"/>
      <c r="X468" s="25"/>
    </row>
    <row r="469" spans="1:24" x14ac:dyDescent="0.25">
      <c r="A469" s="31" t="s">
        <v>1029</v>
      </c>
      <c r="B469" s="32"/>
      <c r="C469" s="50" t="str">
        <f>IF(B469="","",VLOOKUP(B469,'Product Master'!$B:$G,2,FALSE))</f>
        <v/>
      </c>
      <c r="D469" s="50" t="str">
        <f>IF(B469="","",VLOOKUP(B469,'Product Master'!$B:$G,3,FALSE))</f>
        <v/>
      </c>
      <c r="E469" s="50"/>
      <c r="F469" s="50">
        <f>SUMIF('Stock Purchase'!$D:$D,B469,'Stock Purchase'!$F:$F)</f>
        <v>0</v>
      </c>
      <c r="G469" s="50">
        <f>SUMIFS('Stock Adjustment'!$E:$E,'Stock Adjustment'!$B:$B,$A469,'Stock Adjustment'!$D:$D,"Customer Returned")</f>
        <v>0</v>
      </c>
      <c r="H469" s="50">
        <f>SUMIF('Daily Sales Entry'!$D:$D,B469,'Daily Sales Entry'!$G:$G)</f>
        <v>0</v>
      </c>
      <c r="I469" s="50">
        <f>SUMIFS('Stock Adjustment'!$E:$E,'Stock Adjustment'!$B:$B,$A469,'Stock Adjustment'!$D:$D,"Staff Consumption")</f>
        <v>0</v>
      </c>
      <c r="J469" s="50">
        <f>SUMIFS('Stock Adjustment'!$E:$E,'Stock Adjustment'!$B:$B,$A469,'Stock Adjustment'!$D:$D,"Damaged")</f>
        <v>0</v>
      </c>
      <c r="K469" s="50">
        <f>SUMIFS('Stock Adjustment'!$E:$E,'Stock Adjustment'!$B:$B,$A469,'Stock Adjustment'!$D:$D,"Expired")</f>
        <v>0</v>
      </c>
      <c r="L469" s="50">
        <f>SUMIFS('Stock Adjustment'!$E:$E,'Stock Adjustment'!$B:$B,$A469,'Stock Adjustment'!$D:$D,"Supplier Returned")</f>
        <v>0</v>
      </c>
      <c r="M4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69" s="53" t="str">
        <f>IF(B469="","",VLOOKUP(B469,'Product Master'!$B:$G,4,FALSE))</f>
        <v/>
      </c>
      <c r="O469" s="53" t="str">
        <f>IF(B469="","",VLOOKUP(B469,'Product Master'!$B:$G,5,FALSE))</f>
        <v/>
      </c>
      <c r="P469" s="50" t="str">
        <f>IF(B469="","",VLOOKUP(B469,'Product Master'!$B:$I,7,FALSE))</f>
        <v/>
      </c>
      <c r="Q469" s="158"/>
      <c r="R469" s="58" t="str">
        <f t="shared" si="7"/>
        <v/>
      </c>
      <c r="S469" s="25"/>
      <c r="T469" s="25"/>
      <c r="U469" s="25"/>
      <c r="V469" s="25"/>
      <c r="W469" s="25"/>
      <c r="X469" s="25"/>
    </row>
    <row r="470" spans="1:24" x14ac:dyDescent="0.25">
      <c r="A470" s="31" t="s">
        <v>1030</v>
      </c>
      <c r="B470" s="32"/>
      <c r="C470" s="50" t="str">
        <f>IF(B470="","",VLOOKUP(B470,'Product Master'!$B:$G,2,FALSE))</f>
        <v/>
      </c>
      <c r="D470" s="50" t="str">
        <f>IF(B470="","",VLOOKUP(B470,'Product Master'!$B:$G,3,FALSE))</f>
        <v/>
      </c>
      <c r="E470" s="50"/>
      <c r="F470" s="50">
        <f>SUMIF('Stock Purchase'!$D:$D,B470,'Stock Purchase'!$F:$F)</f>
        <v>0</v>
      </c>
      <c r="G470" s="50">
        <f>SUMIFS('Stock Adjustment'!$E:$E,'Stock Adjustment'!$B:$B,$A470,'Stock Adjustment'!$D:$D,"Customer Returned")</f>
        <v>0</v>
      </c>
      <c r="H470" s="50">
        <f>SUMIF('Daily Sales Entry'!$D:$D,B470,'Daily Sales Entry'!$G:$G)</f>
        <v>0</v>
      </c>
      <c r="I470" s="50">
        <f>SUMIFS('Stock Adjustment'!$E:$E,'Stock Adjustment'!$B:$B,$A470,'Stock Adjustment'!$D:$D,"Staff Consumption")</f>
        <v>0</v>
      </c>
      <c r="J470" s="50">
        <f>SUMIFS('Stock Adjustment'!$E:$E,'Stock Adjustment'!$B:$B,$A470,'Stock Adjustment'!$D:$D,"Damaged")</f>
        <v>0</v>
      </c>
      <c r="K470" s="50">
        <f>SUMIFS('Stock Adjustment'!$E:$E,'Stock Adjustment'!$B:$B,$A470,'Stock Adjustment'!$D:$D,"Expired")</f>
        <v>0</v>
      </c>
      <c r="L470" s="50">
        <f>SUMIFS('Stock Adjustment'!$E:$E,'Stock Adjustment'!$B:$B,$A470,'Stock Adjustment'!$D:$D,"Supplier Returned")</f>
        <v>0</v>
      </c>
      <c r="M4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0" s="53" t="str">
        <f>IF(B470="","",VLOOKUP(B470,'Product Master'!$B:$G,4,FALSE))</f>
        <v/>
      </c>
      <c r="O470" s="53" t="str">
        <f>IF(B470="","",VLOOKUP(B470,'Product Master'!$B:$G,5,FALSE))</f>
        <v/>
      </c>
      <c r="P470" s="50" t="str">
        <f>IF(B470="","",VLOOKUP(B470,'Product Master'!$B:$I,7,FALSE))</f>
        <v/>
      </c>
      <c r="Q470" s="158"/>
      <c r="R470" s="58" t="str">
        <f t="shared" si="7"/>
        <v/>
      </c>
      <c r="S470" s="25"/>
      <c r="T470" s="25"/>
      <c r="U470" s="25"/>
      <c r="V470" s="25"/>
      <c r="W470" s="25"/>
      <c r="X470" s="25"/>
    </row>
    <row r="471" spans="1:24" x14ac:dyDescent="0.25">
      <c r="A471" s="31" t="s">
        <v>1031</v>
      </c>
      <c r="B471" s="32"/>
      <c r="C471" s="50" t="str">
        <f>IF(B471="","",VLOOKUP(B471,'Product Master'!$B:$G,2,FALSE))</f>
        <v/>
      </c>
      <c r="D471" s="50" t="str">
        <f>IF(B471="","",VLOOKUP(B471,'Product Master'!$B:$G,3,FALSE))</f>
        <v/>
      </c>
      <c r="E471" s="50"/>
      <c r="F471" s="50">
        <f>SUMIF('Stock Purchase'!$D:$D,B471,'Stock Purchase'!$F:$F)</f>
        <v>0</v>
      </c>
      <c r="G471" s="50">
        <f>SUMIFS('Stock Adjustment'!$E:$E,'Stock Adjustment'!$B:$B,$A471,'Stock Adjustment'!$D:$D,"Customer Returned")</f>
        <v>0</v>
      </c>
      <c r="H471" s="50">
        <f>SUMIF('Daily Sales Entry'!$D:$D,B471,'Daily Sales Entry'!$G:$G)</f>
        <v>0</v>
      </c>
      <c r="I471" s="50">
        <f>SUMIFS('Stock Adjustment'!$E:$E,'Stock Adjustment'!$B:$B,$A471,'Stock Adjustment'!$D:$D,"Staff Consumption")</f>
        <v>0</v>
      </c>
      <c r="J471" s="50">
        <f>SUMIFS('Stock Adjustment'!$E:$E,'Stock Adjustment'!$B:$B,$A471,'Stock Adjustment'!$D:$D,"Damaged")</f>
        <v>0</v>
      </c>
      <c r="K471" s="50">
        <f>SUMIFS('Stock Adjustment'!$E:$E,'Stock Adjustment'!$B:$B,$A471,'Stock Adjustment'!$D:$D,"Expired")</f>
        <v>0</v>
      </c>
      <c r="L471" s="50">
        <f>SUMIFS('Stock Adjustment'!$E:$E,'Stock Adjustment'!$B:$B,$A471,'Stock Adjustment'!$D:$D,"Supplier Returned")</f>
        <v>0</v>
      </c>
      <c r="M4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1" s="53" t="str">
        <f>IF(B471="","",VLOOKUP(B471,'Product Master'!$B:$G,4,FALSE))</f>
        <v/>
      </c>
      <c r="O471" s="53" t="str">
        <f>IF(B471="","",VLOOKUP(B471,'Product Master'!$B:$G,5,FALSE))</f>
        <v/>
      </c>
      <c r="P471" s="50" t="str">
        <f>IF(B471="","",VLOOKUP(B471,'Product Master'!$B:$I,7,FALSE))</f>
        <v/>
      </c>
      <c r="Q471" s="158"/>
      <c r="R471" s="58" t="str">
        <f t="shared" si="7"/>
        <v/>
      </c>
      <c r="S471" s="25"/>
      <c r="T471" s="25"/>
      <c r="U471" s="25"/>
      <c r="V471" s="25"/>
      <c r="W471" s="25"/>
      <c r="X471" s="25"/>
    </row>
    <row r="472" spans="1:24" x14ac:dyDescent="0.25">
      <c r="A472" s="31" t="s">
        <v>1032</v>
      </c>
      <c r="B472" s="32"/>
      <c r="C472" s="50" t="str">
        <f>IF(B472="","",VLOOKUP(B472,'Product Master'!$B:$G,2,FALSE))</f>
        <v/>
      </c>
      <c r="D472" s="50" t="str">
        <f>IF(B472="","",VLOOKUP(B472,'Product Master'!$B:$G,3,FALSE))</f>
        <v/>
      </c>
      <c r="E472" s="50"/>
      <c r="F472" s="50">
        <f>SUMIF('Stock Purchase'!$D:$D,B472,'Stock Purchase'!$F:$F)</f>
        <v>0</v>
      </c>
      <c r="G472" s="50">
        <f>SUMIFS('Stock Adjustment'!$E:$E,'Stock Adjustment'!$B:$B,$A472,'Stock Adjustment'!$D:$D,"Customer Returned")</f>
        <v>0</v>
      </c>
      <c r="H472" s="50">
        <f>SUMIF('Daily Sales Entry'!$D:$D,B472,'Daily Sales Entry'!$G:$G)</f>
        <v>0</v>
      </c>
      <c r="I472" s="50">
        <f>SUMIFS('Stock Adjustment'!$E:$E,'Stock Adjustment'!$B:$B,$A472,'Stock Adjustment'!$D:$D,"Staff Consumption")</f>
        <v>0</v>
      </c>
      <c r="J472" s="50">
        <f>SUMIFS('Stock Adjustment'!$E:$E,'Stock Adjustment'!$B:$B,$A472,'Stock Adjustment'!$D:$D,"Damaged")</f>
        <v>0</v>
      </c>
      <c r="K472" s="50">
        <f>SUMIFS('Stock Adjustment'!$E:$E,'Stock Adjustment'!$B:$B,$A472,'Stock Adjustment'!$D:$D,"Expired")</f>
        <v>0</v>
      </c>
      <c r="L472" s="50">
        <f>SUMIFS('Stock Adjustment'!$E:$E,'Stock Adjustment'!$B:$B,$A472,'Stock Adjustment'!$D:$D,"Supplier Returned")</f>
        <v>0</v>
      </c>
      <c r="M4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2" s="53" t="str">
        <f>IF(B472="","",VLOOKUP(B472,'Product Master'!$B:$G,4,FALSE))</f>
        <v/>
      </c>
      <c r="O472" s="53" t="str">
        <f>IF(B472="","",VLOOKUP(B472,'Product Master'!$B:$G,5,FALSE))</f>
        <v/>
      </c>
      <c r="P472" s="50" t="str">
        <f>IF(B472="","",VLOOKUP(B472,'Product Master'!$B:$I,7,FALSE))</f>
        <v/>
      </c>
      <c r="Q472" s="158"/>
      <c r="R472" s="58" t="str">
        <f t="shared" si="7"/>
        <v/>
      </c>
      <c r="S472" s="25"/>
      <c r="T472" s="25"/>
      <c r="U472" s="25"/>
      <c r="V472" s="25"/>
      <c r="W472" s="25"/>
      <c r="X472" s="25"/>
    </row>
    <row r="473" spans="1:24" x14ac:dyDescent="0.25">
      <c r="A473" s="31" t="s">
        <v>1033</v>
      </c>
      <c r="B473" s="32"/>
      <c r="C473" s="50" t="str">
        <f>IF(B473="","",VLOOKUP(B473,'Product Master'!$B:$G,2,FALSE))</f>
        <v/>
      </c>
      <c r="D473" s="50" t="str">
        <f>IF(B473="","",VLOOKUP(B473,'Product Master'!$B:$G,3,FALSE))</f>
        <v/>
      </c>
      <c r="E473" s="50"/>
      <c r="F473" s="50">
        <f>SUMIF('Stock Purchase'!$D:$D,B473,'Stock Purchase'!$F:$F)</f>
        <v>0</v>
      </c>
      <c r="G473" s="50">
        <f>SUMIFS('Stock Adjustment'!$E:$E,'Stock Adjustment'!$B:$B,$A473,'Stock Adjustment'!$D:$D,"Customer Returned")</f>
        <v>0</v>
      </c>
      <c r="H473" s="50">
        <f>SUMIF('Daily Sales Entry'!$D:$D,B473,'Daily Sales Entry'!$G:$G)</f>
        <v>0</v>
      </c>
      <c r="I473" s="50">
        <f>SUMIFS('Stock Adjustment'!$E:$E,'Stock Adjustment'!$B:$B,$A473,'Stock Adjustment'!$D:$D,"Staff Consumption")</f>
        <v>0</v>
      </c>
      <c r="J473" s="50">
        <f>SUMIFS('Stock Adjustment'!$E:$E,'Stock Adjustment'!$B:$B,$A473,'Stock Adjustment'!$D:$D,"Damaged")</f>
        <v>0</v>
      </c>
      <c r="K473" s="50">
        <f>SUMIFS('Stock Adjustment'!$E:$E,'Stock Adjustment'!$B:$B,$A473,'Stock Adjustment'!$D:$D,"Expired")</f>
        <v>0</v>
      </c>
      <c r="L473" s="50">
        <f>SUMIFS('Stock Adjustment'!$E:$E,'Stock Adjustment'!$B:$B,$A473,'Stock Adjustment'!$D:$D,"Supplier Returned")</f>
        <v>0</v>
      </c>
      <c r="M4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3" s="53" t="str">
        <f>IF(B473="","",VLOOKUP(B473,'Product Master'!$B:$G,4,FALSE))</f>
        <v/>
      </c>
      <c r="O473" s="53" t="str">
        <f>IF(B473="","",VLOOKUP(B473,'Product Master'!$B:$G,5,FALSE))</f>
        <v/>
      </c>
      <c r="P473" s="50" t="str">
        <f>IF(B473="","",VLOOKUP(B473,'Product Master'!$B:$I,7,FALSE))</f>
        <v/>
      </c>
      <c r="Q473" s="158"/>
      <c r="R473" s="58" t="str">
        <f t="shared" si="7"/>
        <v/>
      </c>
      <c r="S473" s="25"/>
      <c r="T473" s="25"/>
      <c r="U473" s="25"/>
      <c r="V473" s="25"/>
      <c r="W473" s="25"/>
      <c r="X473" s="25"/>
    </row>
    <row r="474" spans="1:24" x14ac:dyDescent="0.25">
      <c r="A474" s="31" t="s">
        <v>1034</v>
      </c>
      <c r="B474" s="32"/>
      <c r="C474" s="50" t="str">
        <f>IF(B474="","",VLOOKUP(B474,'Product Master'!$B:$G,2,FALSE))</f>
        <v/>
      </c>
      <c r="D474" s="50" t="str">
        <f>IF(B474="","",VLOOKUP(B474,'Product Master'!$B:$G,3,FALSE))</f>
        <v/>
      </c>
      <c r="E474" s="50"/>
      <c r="F474" s="50">
        <f>SUMIF('Stock Purchase'!$D:$D,B474,'Stock Purchase'!$F:$F)</f>
        <v>0</v>
      </c>
      <c r="G474" s="50">
        <f>SUMIFS('Stock Adjustment'!$E:$E,'Stock Adjustment'!$B:$B,$A474,'Stock Adjustment'!$D:$D,"Customer Returned")</f>
        <v>0</v>
      </c>
      <c r="H474" s="50">
        <f>SUMIF('Daily Sales Entry'!$D:$D,B474,'Daily Sales Entry'!$G:$G)</f>
        <v>0</v>
      </c>
      <c r="I474" s="50">
        <f>SUMIFS('Stock Adjustment'!$E:$E,'Stock Adjustment'!$B:$B,$A474,'Stock Adjustment'!$D:$D,"Staff Consumption")</f>
        <v>0</v>
      </c>
      <c r="J474" s="50">
        <f>SUMIFS('Stock Adjustment'!$E:$E,'Stock Adjustment'!$B:$B,$A474,'Stock Adjustment'!$D:$D,"Damaged")</f>
        <v>0</v>
      </c>
      <c r="K474" s="50">
        <f>SUMIFS('Stock Adjustment'!$E:$E,'Stock Adjustment'!$B:$B,$A474,'Stock Adjustment'!$D:$D,"Expired")</f>
        <v>0</v>
      </c>
      <c r="L474" s="50">
        <f>SUMIFS('Stock Adjustment'!$E:$E,'Stock Adjustment'!$B:$B,$A474,'Stock Adjustment'!$D:$D,"Supplier Returned")</f>
        <v>0</v>
      </c>
      <c r="M4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4" s="53" t="str">
        <f>IF(B474="","",VLOOKUP(B474,'Product Master'!$B:$G,4,FALSE))</f>
        <v/>
      </c>
      <c r="O474" s="53" t="str">
        <f>IF(B474="","",VLOOKUP(B474,'Product Master'!$B:$G,5,FALSE))</f>
        <v/>
      </c>
      <c r="P474" s="50" t="str">
        <f>IF(B474="","",VLOOKUP(B474,'Product Master'!$B:$I,7,FALSE))</f>
        <v/>
      </c>
      <c r="Q474" s="158"/>
      <c r="R474" s="58" t="str">
        <f t="shared" si="7"/>
        <v/>
      </c>
      <c r="S474" s="25"/>
      <c r="T474" s="25"/>
      <c r="U474" s="25"/>
      <c r="V474" s="25"/>
      <c r="W474" s="25"/>
      <c r="X474" s="25"/>
    </row>
    <row r="475" spans="1:24" x14ac:dyDescent="0.25">
      <c r="A475" s="31" t="s">
        <v>1035</v>
      </c>
      <c r="B475" s="32"/>
      <c r="C475" s="50" t="str">
        <f>IF(B475="","",VLOOKUP(B475,'Product Master'!$B:$G,2,FALSE))</f>
        <v/>
      </c>
      <c r="D475" s="50" t="str">
        <f>IF(B475="","",VLOOKUP(B475,'Product Master'!$B:$G,3,FALSE))</f>
        <v/>
      </c>
      <c r="E475" s="50"/>
      <c r="F475" s="50">
        <f>SUMIF('Stock Purchase'!$D:$D,B475,'Stock Purchase'!$F:$F)</f>
        <v>0</v>
      </c>
      <c r="G475" s="50">
        <f>SUMIFS('Stock Adjustment'!$E:$E,'Stock Adjustment'!$B:$B,$A475,'Stock Adjustment'!$D:$D,"Customer Returned")</f>
        <v>0</v>
      </c>
      <c r="H475" s="50">
        <f>SUMIF('Daily Sales Entry'!$D:$D,B475,'Daily Sales Entry'!$G:$G)</f>
        <v>0</v>
      </c>
      <c r="I475" s="50">
        <f>SUMIFS('Stock Adjustment'!$E:$E,'Stock Adjustment'!$B:$B,$A475,'Stock Adjustment'!$D:$D,"Staff Consumption")</f>
        <v>0</v>
      </c>
      <c r="J475" s="50">
        <f>SUMIFS('Stock Adjustment'!$E:$E,'Stock Adjustment'!$B:$B,$A475,'Stock Adjustment'!$D:$D,"Damaged")</f>
        <v>0</v>
      </c>
      <c r="K475" s="50">
        <f>SUMIFS('Stock Adjustment'!$E:$E,'Stock Adjustment'!$B:$B,$A475,'Stock Adjustment'!$D:$D,"Expired")</f>
        <v>0</v>
      </c>
      <c r="L475" s="50">
        <f>SUMIFS('Stock Adjustment'!$E:$E,'Stock Adjustment'!$B:$B,$A475,'Stock Adjustment'!$D:$D,"Supplier Returned")</f>
        <v>0</v>
      </c>
      <c r="M4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5" s="53" t="str">
        <f>IF(B475="","",VLOOKUP(B475,'Product Master'!$B:$G,4,FALSE))</f>
        <v/>
      </c>
      <c r="O475" s="53" t="str">
        <f>IF(B475="","",VLOOKUP(B475,'Product Master'!$B:$G,5,FALSE))</f>
        <v/>
      </c>
      <c r="P475" s="50" t="str">
        <f>IF(B475="","",VLOOKUP(B475,'Product Master'!$B:$I,7,FALSE))</f>
        <v/>
      </c>
      <c r="Q475" s="158"/>
      <c r="R475" s="58" t="str">
        <f t="shared" si="7"/>
        <v/>
      </c>
      <c r="S475" s="25"/>
      <c r="T475" s="25"/>
      <c r="U475" s="25"/>
      <c r="V475" s="25"/>
      <c r="W475" s="25"/>
      <c r="X475" s="25"/>
    </row>
    <row r="476" spans="1:24" x14ac:dyDescent="0.25">
      <c r="A476" s="31" t="s">
        <v>1036</v>
      </c>
      <c r="B476" s="32"/>
      <c r="C476" s="50" t="str">
        <f>IF(B476="","",VLOOKUP(B476,'Product Master'!$B:$G,2,FALSE))</f>
        <v/>
      </c>
      <c r="D476" s="50" t="str">
        <f>IF(B476="","",VLOOKUP(B476,'Product Master'!$B:$G,3,FALSE))</f>
        <v/>
      </c>
      <c r="E476" s="50"/>
      <c r="F476" s="50">
        <f>SUMIF('Stock Purchase'!$D:$D,B476,'Stock Purchase'!$F:$F)</f>
        <v>0</v>
      </c>
      <c r="G476" s="50">
        <f>SUMIFS('Stock Adjustment'!$E:$E,'Stock Adjustment'!$B:$B,$A476,'Stock Adjustment'!$D:$D,"Customer Returned")</f>
        <v>0</v>
      </c>
      <c r="H476" s="50">
        <f>SUMIF('Daily Sales Entry'!$D:$D,B476,'Daily Sales Entry'!$G:$G)</f>
        <v>0</v>
      </c>
      <c r="I476" s="50">
        <f>SUMIFS('Stock Adjustment'!$E:$E,'Stock Adjustment'!$B:$B,$A476,'Stock Adjustment'!$D:$D,"Staff Consumption")</f>
        <v>0</v>
      </c>
      <c r="J476" s="50">
        <f>SUMIFS('Stock Adjustment'!$E:$E,'Stock Adjustment'!$B:$B,$A476,'Stock Adjustment'!$D:$D,"Damaged")</f>
        <v>0</v>
      </c>
      <c r="K476" s="50">
        <f>SUMIFS('Stock Adjustment'!$E:$E,'Stock Adjustment'!$B:$B,$A476,'Stock Adjustment'!$D:$D,"Expired")</f>
        <v>0</v>
      </c>
      <c r="L476" s="50">
        <f>SUMIFS('Stock Adjustment'!$E:$E,'Stock Adjustment'!$B:$B,$A476,'Stock Adjustment'!$D:$D,"Supplier Returned")</f>
        <v>0</v>
      </c>
      <c r="M4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6" s="53" t="str">
        <f>IF(B476="","",VLOOKUP(B476,'Product Master'!$B:$G,4,FALSE))</f>
        <v/>
      </c>
      <c r="O476" s="53" t="str">
        <f>IF(B476="","",VLOOKUP(B476,'Product Master'!$B:$G,5,FALSE))</f>
        <v/>
      </c>
      <c r="P476" s="50" t="str">
        <f>IF(B476="","",VLOOKUP(B476,'Product Master'!$B:$I,7,FALSE))</f>
        <v/>
      </c>
      <c r="Q476" s="158"/>
      <c r="R476" s="58" t="str">
        <f t="shared" si="7"/>
        <v/>
      </c>
      <c r="S476" s="25"/>
      <c r="T476" s="25"/>
      <c r="U476" s="25"/>
      <c r="V476" s="25"/>
      <c r="W476" s="25"/>
      <c r="X476" s="25"/>
    </row>
    <row r="477" spans="1:24" x14ac:dyDescent="0.25">
      <c r="A477" s="31" t="s">
        <v>1037</v>
      </c>
      <c r="B477" s="32"/>
      <c r="C477" s="50" t="str">
        <f>IF(B477="","",VLOOKUP(B477,'Product Master'!$B:$G,2,FALSE))</f>
        <v/>
      </c>
      <c r="D477" s="50" t="str">
        <f>IF(B477="","",VLOOKUP(B477,'Product Master'!$B:$G,3,FALSE))</f>
        <v/>
      </c>
      <c r="E477" s="50"/>
      <c r="F477" s="50">
        <f>SUMIF('Stock Purchase'!$D:$D,B477,'Stock Purchase'!$F:$F)</f>
        <v>0</v>
      </c>
      <c r="G477" s="50">
        <f>SUMIFS('Stock Adjustment'!$E:$E,'Stock Adjustment'!$B:$B,$A477,'Stock Adjustment'!$D:$D,"Customer Returned")</f>
        <v>0</v>
      </c>
      <c r="H477" s="50">
        <f>SUMIF('Daily Sales Entry'!$D:$D,B477,'Daily Sales Entry'!$G:$G)</f>
        <v>0</v>
      </c>
      <c r="I477" s="50">
        <f>SUMIFS('Stock Adjustment'!$E:$E,'Stock Adjustment'!$B:$B,$A477,'Stock Adjustment'!$D:$D,"Staff Consumption")</f>
        <v>0</v>
      </c>
      <c r="J477" s="50">
        <f>SUMIFS('Stock Adjustment'!$E:$E,'Stock Adjustment'!$B:$B,$A477,'Stock Adjustment'!$D:$D,"Damaged")</f>
        <v>0</v>
      </c>
      <c r="K477" s="50">
        <f>SUMIFS('Stock Adjustment'!$E:$E,'Stock Adjustment'!$B:$B,$A477,'Stock Adjustment'!$D:$D,"Expired")</f>
        <v>0</v>
      </c>
      <c r="L477" s="50">
        <f>SUMIFS('Stock Adjustment'!$E:$E,'Stock Adjustment'!$B:$B,$A477,'Stock Adjustment'!$D:$D,"Supplier Returned")</f>
        <v>0</v>
      </c>
      <c r="M4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7" s="53" t="str">
        <f>IF(B477="","",VLOOKUP(B477,'Product Master'!$B:$G,4,FALSE))</f>
        <v/>
      </c>
      <c r="O477" s="53" t="str">
        <f>IF(B477="","",VLOOKUP(B477,'Product Master'!$B:$G,5,FALSE))</f>
        <v/>
      </c>
      <c r="P477" s="50" t="str">
        <f>IF(B477="","",VLOOKUP(B477,'Product Master'!$B:$I,7,FALSE))</f>
        <v/>
      </c>
      <c r="Q477" s="158"/>
      <c r="R477" s="58" t="str">
        <f t="shared" si="7"/>
        <v/>
      </c>
      <c r="S477" s="25"/>
      <c r="T477" s="25"/>
      <c r="U477" s="25"/>
      <c r="V477" s="25"/>
      <c r="W477" s="25"/>
      <c r="X477" s="25"/>
    </row>
    <row r="478" spans="1:24" x14ac:dyDescent="0.25">
      <c r="A478" s="31" t="s">
        <v>1038</v>
      </c>
      <c r="B478" s="32"/>
      <c r="C478" s="50" t="str">
        <f>IF(B478="","",VLOOKUP(B478,'Product Master'!$B:$G,2,FALSE))</f>
        <v/>
      </c>
      <c r="D478" s="50" t="str">
        <f>IF(B478="","",VLOOKUP(B478,'Product Master'!$B:$G,3,FALSE))</f>
        <v/>
      </c>
      <c r="E478" s="50"/>
      <c r="F478" s="50">
        <f>SUMIF('Stock Purchase'!$D:$D,B478,'Stock Purchase'!$F:$F)</f>
        <v>0</v>
      </c>
      <c r="G478" s="50">
        <f>SUMIFS('Stock Adjustment'!$E:$E,'Stock Adjustment'!$B:$B,$A478,'Stock Adjustment'!$D:$D,"Customer Returned")</f>
        <v>0</v>
      </c>
      <c r="H478" s="50">
        <f>SUMIF('Daily Sales Entry'!$D:$D,B478,'Daily Sales Entry'!$G:$G)</f>
        <v>0</v>
      </c>
      <c r="I478" s="50">
        <f>SUMIFS('Stock Adjustment'!$E:$E,'Stock Adjustment'!$B:$B,$A478,'Stock Adjustment'!$D:$D,"Staff Consumption")</f>
        <v>0</v>
      </c>
      <c r="J478" s="50">
        <f>SUMIFS('Stock Adjustment'!$E:$E,'Stock Adjustment'!$B:$B,$A478,'Stock Adjustment'!$D:$D,"Damaged")</f>
        <v>0</v>
      </c>
      <c r="K478" s="50">
        <f>SUMIFS('Stock Adjustment'!$E:$E,'Stock Adjustment'!$B:$B,$A478,'Stock Adjustment'!$D:$D,"Expired")</f>
        <v>0</v>
      </c>
      <c r="L478" s="50">
        <f>SUMIFS('Stock Adjustment'!$E:$E,'Stock Adjustment'!$B:$B,$A478,'Stock Adjustment'!$D:$D,"Supplier Returned")</f>
        <v>0</v>
      </c>
      <c r="M4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8" s="53" t="str">
        <f>IF(B478="","",VLOOKUP(B478,'Product Master'!$B:$G,4,FALSE))</f>
        <v/>
      </c>
      <c r="O478" s="53" t="str">
        <f>IF(B478="","",VLOOKUP(B478,'Product Master'!$B:$G,5,FALSE))</f>
        <v/>
      </c>
      <c r="P478" s="50" t="str">
        <f>IF(B478="","",VLOOKUP(B478,'Product Master'!$B:$I,7,FALSE))</f>
        <v/>
      </c>
      <c r="Q478" s="158"/>
      <c r="R478" s="58" t="str">
        <f t="shared" si="7"/>
        <v/>
      </c>
      <c r="S478" s="25"/>
      <c r="T478" s="25"/>
      <c r="U478" s="25"/>
      <c r="V478" s="25"/>
      <c r="W478" s="25"/>
      <c r="X478" s="25"/>
    </row>
    <row r="479" spans="1:24" x14ac:dyDescent="0.25">
      <c r="A479" s="31" t="s">
        <v>1039</v>
      </c>
      <c r="B479" s="32"/>
      <c r="C479" s="50" t="str">
        <f>IF(B479="","",VLOOKUP(B479,'Product Master'!$B:$G,2,FALSE))</f>
        <v/>
      </c>
      <c r="D479" s="50" t="str">
        <f>IF(B479="","",VLOOKUP(B479,'Product Master'!$B:$G,3,FALSE))</f>
        <v/>
      </c>
      <c r="E479" s="50"/>
      <c r="F479" s="50">
        <f>SUMIF('Stock Purchase'!$D:$D,B479,'Stock Purchase'!$F:$F)</f>
        <v>0</v>
      </c>
      <c r="G479" s="50">
        <f>SUMIFS('Stock Adjustment'!$E:$E,'Stock Adjustment'!$B:$B,$A479,'Stock Adjustment'!$D:$D,"Customer Returned")</f>
        <v>0</v>
      </c>
      <c r="H479" s="50">
        <f>SUMIF('Daily Sales Entry'!$D:$D,B479,'Daily Sales Entry'!$G:$G)</f>
        <v>0</v>
      </c>
      <c r="I479" s="50">
        <f>SUMIFS('Stock Adjustment'!$E:$E,'Stock Adjustment'!$B:$B,$A479,'Stock Adjustment'!$D:$D,"Staff Consumption")</f>
        <v>0</v>
      </c>
      <c r="J479" s="50">
        <f>SUMIFS('Stock Adjustment'!$E:$E,'Stock Adjustment'!$B:$B,$A479,'Stock Adjustment'!$D:$D,"Damaged")</f>
        <v>0</v>
      </c>
      <c r="K479" s="50">
        <f>SUMIFS('Stock Adjustment'!$E:$E,'Stock Adjustment'!$B:$B,$A479,'Stock Adjustment'!$D:$D,"Expired")</f>
        <v>0</v>
      </c>
      <c r="L479" s="50">
        <f>SUMIFS('Stock Adjustment'!$E:$E,'Stock Adjustment'!$B:$B,$A479,'Stock Adjustment'!$D:$D,"Supplier Returned")</f>
        <v>0</v>
      </c>
      <c r="M4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79" s="53" t="str">
        <f>IF(B479="","",VLOOKUP(B479,'Product Master'!$B:$G,4,FALSE))</f>
        <v/>
      </c>
      <c r="O479" s="53" t="str">
        <f>IF(B479="","",VLOOKUP(B479,'Product Master'!$B:$G,5,FALSE))</f>
        <v/>
      </c>
      <c r="P479" s="50" t="str">
        <f>IF(B479="","",VLOOKUP(B479,'Product Master'!$B:$I,7,FALSE))</f>
        <v/>
      </c>
      <c r="Q479" s="158"/>
      <c r="R479" s="58" t="str">
        <f t="shared" si="7"/>
        <v/>
      </c>
      <c r="S479" s="25"/>
      <c r="T479" s="25"/>
      <c r="U479" s="25"/>
      <c r="V479" s="25"/>
      <c r="W479" s="25"/>
      <c r="X479" s="25"/>
    </row>
    <row r="480" spans="1:24" x14ac:dyDescent="0.25">
      <c r="A480" s="31" t="s">
        <v>1040</v>
      </c>
      <c r="B480" s="32"/>
      <c r="C480" s="50" t="str">
        <f>IF(B480="","",VLOOKUP(B480,'Product Master'!$B:$G,2,FALSE))</f>
        <v/>
      </c>
      <c r="D480" s="50" t="str">
        <f>IF(B480="","",VLOOKUP(B480,'Product Master'!$B:$G,3,FALSE))</f>
        <v/>
      </c>
      <c r="E480" s="50"/>
      <c r="F480" s="50">
        <f>SUMIF('Stock Purchase'!$D:$D,B480,'Stock Purchase'!$F:$F)</f>
        <v>0</v>
      </c>
      <c r="G480" s="50">
        <f>SUMIFS('Stock Adjustment'!$E:$E,'Stock Adjustment'!$B:$B,$A480,'Stock Adjustment'!$D:$D,"Customer Returned")</f>
        <v>0</v>
      </c>
      <c r="H480" s="50">
        <f>SUMIF('Daily Sales Entry'!$D:$D,B480,'Daily Sales Entry'!$G:$G)</f>
        <v>0</v>
      </c>
      <c r="I480" s="50">
        <f>SUMIFS('Stock Adjustment'!$E:$E,'Stock Adjustment'!$B:$B,$A480,'Stock Adjustment'!$D:$D,"Staff Consumption")</f>
        <v>0</v>
      </c>
      <c r="J480" s="50">
        <f>SUMIFS('Stock Adjustment'!$E:$E,'Stock Adjustment'!$B:$B,$A480,'Stock Adjustment'!$D:$D,"Damaged")</f>
        <v>0</v>
      </c>
      <c r="K480" s="50">
        <f>SUMIFS('Stock Adjustment'!$E:$E,'Stock Adjustment'!$B:$B,$A480,'Stock Adjustment'!$D:$D,"Expired")</f>
        <v>0</v>
      </c>
      <c r="L480" s="50">
        <f>SUMIFS('Stock Adjustment'!$E:$E,'Stock Adjustment'!$B:$B,$A480,'Stock Adjustment'!$D:$D,"Supplier Returned")</f>
        <v>0</v>
      </c>
      <c r="M4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0" s="53" t="str">
        <f>IF(B480="","",VLOOKUP(B480,'Product Master'!$B:$G,4,FALSE))</f>
        <v/>
      </c>
      <c r="O480" s="53" t="str">
        <f>IF(B480="","",VLOOKUP(B480,'Product Master'!$B:$G,5,FALSE))</f>
        <v/>
      </c>
      <c r="P480" s="50" t="str">
        <f>IF(B480="","",VLOOKUP(B480,'Product Master'!$B:$I,7,FALSE))</f>
        <v/>
      </c>
      <c r="Q480" s="158"/>
      <c r="R480" s="58" t="str">
        <f t="shared" si="7"/>
        <v/>
      </c>
      <c r="S480" s="25"/>
      <c r="T480" s="25"/>
      <c r="U480" s="25"/>
      <c r="V480" s="25"/>
      <c r="W480" s="25"/>
      <c r="X480" s="25"/>
    </row>
    <row r="481" spans="1:24" x14ac:dyDescent="0.25">
      <c r="A481" s="31" t="s">
        <v>1041</v>
      </c>
      <c r="B481" s="32"/>
      <c r="C481" s="50" t="str">
        <f>IF(B481="","",VLOOKUP(B481,'Product Master'!$B:$G,2,FALSE))</f>
        <v/>
      </c>
      <c r="D481" s="50" t="str">
        <f>IF(B481="","",VLOOKUP(B481,'Product Master'!$B:$G,3,FALSE))</f>
        <v/>
      </c>
      <c r="E481" s="50"/>
      <c r="F481" s="50">
        <f>SUMIF('Stock Purchase'!$D:$D,B481,'Stock Purchase'!$F:$F)</f>
        <v>0</v>
      </c>
      <c r="G481" s="50">
        <f>SUMIFS('Stock Adjustment'!$E:$E,'Stock Adjustment'!$B:$B,$A481,'Stock Adjustment'!$D:$D,"Customer Returned")</f>
        <v>0</v>
      </c>
      <c r="H481" s="50">
        <f>SUMIF('Daily Sales Entry'!$D:$D,B481,'Daily Sales Entry'!$G:$G)</f>
        <v>0</v>
      </c>
      <c r="I481" s="50">
        <f>SUMIFS('Stock Adjustment'!$E:$E,'Stock Adjustment'!$B:$B,$A481,'Stock Adjustment'!$D:$D,"Staff Consumption")</f>
        <v>0</v>
      </c>
      <c r="J481" s="50">
        <f>SUMIFS('Stock Adjustment'!$E:$E,'Stock Adjustment'!$B:$B,$A481,'Stock Adjustment'!$D:$D,"Damaged")</f>
        <v>0</v>
      </c>
      <c r="K481" s="50">
        <f>SUMIFS('Stock Adjustment'!$E:$E,'Stock Adjustment'!$B:$B,$A481,'Stock Adjustment'!$D:$D,"Expired")</f>
        <v>0</v>
      </c>
      <c r="L481" s="50">
        <f>SUMIFS('Stock Adjustment'!$E:$E,'Stock Adjustment'!$B:$B,$A481,'Stock Adjustment'!$D:$D,"Supplier Returned")</f>
        <v>0</v>
      </c>
      <c r="M4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1" s="53" t="str">
        <f>IF(B481="","",VLOOKUP(B481,'Product Master'!$B:$G,4,FALSE))</f>
        <v/>
      </c>
      <c r="O481" s="53" t="str">
        <f>IF(B481="","",VLOOKUP(B481,'Product Master'!$B:$G,5,FALSE))</f>
        <v/>
      </c>
      <c r="P481" s="50" t="str">
        <f>IF(B481="","",VLOOKUP(B481,'Product Master'!$B:$I,7,FALSE))</f>
        <v/>
      </c>
      <c r="Q481" s="158"/>
      <c r="R481" s="58" t="str">
        <f t="shared" si="7"/>
        <v/>
      </c>
      <c r="S481" s="25"/>
      <c r="T481" s="25"/>
      <c r="U481" s="25"/>
      <c r="V481" s="25"/>
      <c r="W481" s="25"/>
      <c r="X481" s="25"/>
    </row>
    <row r="482" spans="1:24" x14ac:dyDescent="0.25">
      <c r="A482" s="31" t="s">
        <v>1042</v>
      </c>
      <c r="B482" s="32"/>
      <c r="C482" s="50" t="str">
        <f>IF(B482="","",VLOOKUP(B482,'Product Master'!$B:$G,2,FALSE))</f>
        <v/>
      </c>
      <c r="D482" s="50" t="str">
        <f>IF(B482="","",VLOOKUP(B482,'Product Master'!$B:$G,3,FALSE))</f>
        <v/>
      </c>
      <c r="E482" s="50"/>
      <c r="F482" s="50">
        <f>SUMIF('Stock Purchase'!$D:$D,B482,'Stock Purchase'!$F:$F)</f>
        <v>0</v>
      </c>
      <c r="G482" s="50">
        <f>SUMIFS('Stock Adjustment'!$E:$E,'Stock Adjustment'!$B:$B,$A482,'Stock Adjustment'!$D:$D,"Customer Returned")</f>
        <v>0</v>
      </c>
      <c r="H482" s="50">
        <f>SUMIF('Daily Sales Entry'!$D:$D,B482,'Daily Sales Entry'!$G:$G)</f>
        <v>0</v>
      </c>
      <c r="I482" s="50">
        <f>SUMIFS('Stock Adjustment'!$E:$E,'Stock Adjustment'!$B:$B,$A482,'Stock Adjustment'!$D:$D,"Staff Consumption")</f>
        <v>0</v>
      </c>
      <c r="J482" s="50">
        <f>SUMIFS('Stock Adjustment'!$E:$E,'Stock Adjustment'!$B:$B,$A482,'Stock Adjustment'!$D:$D,"Damaged")</f>
        <v>0</v>
      </c>
      <c r="K482" s="50">
        <f>SUMIFS('Stock Adjustment'!$E:$E,'Stock Adjustment'!$B:$B,$A482,'Stock Adjustment'!$D:$D,"Expired")</f>
        <v>0</v>
      </c>
      <c r="L482" s="50">
        <f>SUMIFS('Stock Adjustment'!$E:$E,'Stock Adjustment'!$B:$B,$A482,'Stock Adjustment'!$D:$D,"Supplier Returned")</f>
        <v>0</v>
      </c>
      <c r="M4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2" s="53" t="str">
        <f>IF(B482="","",VLOOKUP(B482,'Product Master'!$B:$G,4,FALSE))</f>
        <v/>
      </c>
      <c r="O482" s="53" t="str">
        <f>IF(B482="","",VLOOKUP(B482,'Product Master'!$B:$G,5,FALSE))</f>
        <v/>
      </c>
      <c r="P482" s="50" t="str">
        <f>IF(B482="","",VLOOKUP(B482,'Product Master'!$B:$I,7,FALSE))</f>
        <v/>
      </c>
      <c r="Q482" s="158"/>
      <c r="R482" s="58" t="str">
        <f t="shared" si="7"/>
        <v/>
      </c>
      <c r="S482" s="25"/>
      <c r="T482" s="25"/>
      <c r="U482" s="25"/>
      <c r="V482" s="25"/>
      <c r="W482" s="25"/>
      <c r="X482" s="25"/>
    </row>
    <row r="483" spans="1:24" x14ac:dyDescent="0.25">
      <c r="A483" s="31" t="s">
        <v>1043</v>
      </c>
      <c r="B483" s="32"/>
      <c r="C483" s="50" t="str">
        <f>IF(B483="","",VLOOKUP(B483,'Product Master'!$B:$G,2,FALSE))</f>
        <v/>
      </c>
      <c r="D483" s="50" t="str">
        <f>IF(B483="","",VLOOKUP(B483,'Product Master'!$B:$G,3,FALSE))</f>
        <v/>
      </c>
      <c r="E483" s="50"/>
      <c r="F483" s="50">
        <f>SUMIF('Stock Purchase'!$D:$D,B483,'Stock Purchase'!$F:$F)</f>
        <v>0</v>
      </c>
      <c r="G483" s="50">
        <f>SUMIFS('Stock Adjustment'!$E:$E,'Stock Adjustment'!$B:$B,$A483,'Stock Adjustment'!$D:$D,"Customer Returned")</f>
        <v>0</v>
      </c>
      <c r="H483" s="50">
        <f>SUMIF('Daily Sales Entry'!$D:$D,B483,'Daily Sales Entry'!$G:$G)</f>
        <v>0</v>
      </c>
      <c r="I483" s="50">
        <f>SUMIFS('Stock Adjustment'!$E:$E,'Stock Adjustment'!$B:$B,$A483,'Stock Adjustment'!$D:$D,"Staff Consumption")</f>
        <v>0</v>
      </c>
      <c r="J483" s="50">
        <f>SUMIFS('Stock Adjustment'!$E:$E,'Stock Adjustment'!$B:$B,$A483,'Stock Adjustment'!$D:$D,"Damaged")</f>
        <v>0</v>
      </c>
      <c r="K483" s="50">
        <f>SUMIFS('Stock Adjustment'!$E:$E,'Stock Adjustment'!$B:$B,$A483,'Stock Adjustment'!$D:$D,"Expired")</f>
        <v>0</v>
      </c>
      <c r="L483" s="50">
        <f>SUMIFS('Stock Adjustment'!$E:$E,'Stock Adjustment'!$B:$B,$A483,'Stock Adjustment'!$D:$D,"Supplier Returned")</f>
        <v>0</v>
      </c>
      <c r="M4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3" s="53" t="str">
        <f>IF(B483="","",VLOOKUP(B483,'Product Master'!$B:$G,4,FALSE))</f>
        <v/>
      </c>
      <c r="O483" s="53" t="str">
        <f>IF(B483="","",VLOOKUP(B483,'Product Master'!$B:$G,5,FALSE))</f>
        <v/>
      </c>
      <c r="P483" s="50" t="str">
        <f>IF(B483="","",VLOOKUP(B483,'Product Master'!$B:$I,7,FALSE))</f>
        <v/>
      </c>
      <c r="Q483" s="158"/>
      <c r="R483" s="58" t="str">
        <f t="shared" si="7"/>
        <v/>
      </c>
      <c r="S483" s="25"/>
      <c r="T483" s="25"/>
      <c r="U483" s="25"/>
      <c r="V483" s="25"/>
      <c r="W483" s="25"/>
      <c r="X483" s="25"/>
    </row>
    <row r="484" spans="1:24" x14ac:dyDescent="0.25">
      <c r="A484" s="31" t="s">
        <v>1044</v>
      </c>
      <c r="B484" s="32"/>
      <c r="C484" s="50" t="str">
        <f>IF(B484="","",VLOOKUP(B484,'Product Master'!$B:$G,2,FALSE))</f>
        <v/>
      </c>
      <c r="D484" s="50" t="str">
        <f>IF(B484="","",VLOOKUP(B484,'Product Master'!$B:$G,3,FALSE))</f>
        <v/>
      </c>
      <c r="E484" s="50"/>
      <c r="F484" s="50">
        <f>SUMIF('Stock Purchase'!$D:$D,B484,'Stock Purchase'!$F:$F)</f>
        <v>0</v>
      </c>
      <c r="G484" s="50">
        <f>SUMIFS('Stock Adjustment'!$E:$E,'Stock Adjustment'!$B:$B,$A484,'Stock Adjustment'!$D:$D,"Customer Returned")</f>
        <v>0</v>
      </c>
      <c r="H484" s="50">
        <f>SUMIF('Daily Sales Entry'!$D:$D,B484,'Daily Sales Entry'!$G:$G)</f>
        <v>0</v>
      </c>
      <c r="I484" s="50">
        <f>SUMIFS('Stock Adjustment'!$E:$E,'Stock Adjustment'!$B:$B,$A484,'Stock Adjustment'!$D:$D,"Staff Consumption")</f>
        <v>0</v>
      </c>
      <c r="J484" s="50">
        <f>SUMIFS('Stock Adjustment'!$E:$E,'Stock Adjustment'!$B:$B,$A484,'Stock Adjustment'!$D:$D,"Damaged")</f>
        <v>0</v>
      </c>
      <c r="K484" s="50">
        <f>SUMIFS('Stock Adjustment'!$E:$E,'Stock Adjustment'!$B:$B,$A484,'Stock Adjustment'!$D:$D,"Expired")</f>
        <v>0</v>
      </c>
      <c r="L484" s="50">
        <f>SUMIFS('Stock Adjustment'!$E:$E,'Stock Adjustment'!$B:$B,$A484,'Stock Adjustment'!$D:$D,"Supplier Returned")</f>
        <v>0</v>
      </c>
      <c r="M4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4" s="53" t="str">
        <f>IF(B484="","",VLOOKUP(B484,'Product Master'!$B:$G,4,FALSE))</f>
        <v/>
      </c>
      <c r="O484" s="53" t="str">
        <f>IF(B484="","",VLOOKUP(B484,'Product Master'!$B:$G,5,FALSE))</f>
        <v/>
      </c>
      <c r="P484" s="50" t="str">
        <f>IF(B484="","",VLOOKUP(B484,'Product Master'!$B:$I,7,FALSE))</f>
        <v/>
      </c>
      <c r="Q484" s="158"/>
      <c r="R484" s="58" t="str">
        <f t="shared" si="7"/>
        <v/>
      </c>
      <c r="S484" s="25"/>
      <c r="T484" s="25"/>
      <c r="U484" s="25"/>
      <c r="V484" s="25"/>
      <c r="W484" s="25"/>
      <c r="X484" s="25"/>
    </row>
    <row r="485" spans="1:24" x14ac:dyDescent="0.25">
      <c r="A485" s="31" t="s">
        <v>1045</v>
      </c>
      <c r="B485" s="32"/>
      <c r="C485" s="50" t="str">
        <f>IF(B485="","",VLOOKUP(B485,'Product Master'!$B:$G,2,FALSE))</f>
        <v/>
      </c>
      <c r="D485" s="50" t="str">
        <f>IF(B485="","",VLOOKUP(B485,'Product Master'!$B:$G,3,FALSE))</f>
        <v/>
      </c>
      <c r="E485" s="50"/>
      <c r="F485" s="50">
        <f>SUMIF('Stock Purchase'!$D:$D,B485,'Stock Purchase'!$F:$F)</f>
        <v>0</v>
      </c>
      <c r="G485" s="50">
        <f>SUMIFS('Stock Adjustment'!$E:$E,'Stock Adjustment'!$B:$B,$A485,'Stock Adjustment'!$D:$D,"Customer Returned")</f>
        <v>0</v>
      </c>
      <c r="H485" s="50">
        <f>SUMIF('Daily Sales Entry'!$D:$D,B485,'Daily Sales Entry'!$G:$G)</f>
        <v>0</v>
      </c>
      <c r="I485" s="50">
        <f>SUMIFS('Stock Adjustment'!$E:$E,'Stock Adjustment'!$B:$B,$A485,'Stock Adjustment'!$D:$D,"Staff Consumption")</f>
        <v>0</v>
      </c>
      <c r="J485" s="50">
        <f>SUMIFS('Stock Adjustment'!$E:$E,'Stock Adjustment'!$B:$B,$A485,'Stock Adjustment'!$D:$D,"Damaged")</f>
        <v>0</v>
      </c>
      <c r="K485" s="50">
        <f>SUMIFS('Stock Adjustment'!$E:$E,'Stock Adjustment'!$B:$B,$A485,'Stock Adjustment'!$D:$D,"Expired")</f>
        <v>0</v>
      </c>
      <c r="L485" s="50">
        <f>SUMIFS('Stock Adjustment'!$E:$E,'Stock Adjustment'!$B:$B,$A485,'Stock Adjustment'!$D:$D,"Supplier Returned")</f>
        <v>0</v>
      </c>
      <c r="M4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5" s="53" t="str">
        <f>IF(B485="","",VLOOKUP(B485,'Product Master'!$B:$G,4,FALSE))</f>
        <v/>
      </c>
      <c r="O485" s="53" t="str">
        <f>IF(B485="","",VLOOKUP(B485,'Product Master'!$B:$G,5,FALSE))</f>
        <v/>
      </c>
      <c r="P485" s="50" t="str">
        <f>IF(B485="","",VLOOKUP(B485,'Product Master'!$B:$I,7,FALSE))</f>
        <v/>
      </c>
      <c r="Q485" s="158"/>
      <c r="R485" s="58" t="str">
        <f t="shared" si="7"/>
        <v/>
      </c>
      <c r="S485" s="25"/>
      <c r="T485" s="25"/>
      <c r="U485" s="25"/>
      <c r="V485" s="25"/>
      <c r="W485" s="25"/>
      <c r="X485" s="25"/>
    </row>
    <row r="486" spans="1:24" x14ac:dyDescent="0.25">
      <c r="A486" s="31" t="s">
        <v>1046</v>
      </c>
      <c r="B486" s="32"/>
      <c r="C486" s="50" t="str">
        <f>IF(B486="","",VLOOKUP(B486,'Product Master'!$B:$G,2,FALSE))</f>
        <v/>
      </c>
      <c r="D486" s="50" t="str">
        <f>IF(B486="","",VLOOKUP(B486,'Product Master'!$B:$G,3,FALSE))</f>
        <v/>
      </c>
      <c r="E486" s="50"/>
      <c r="F486" s="50">
        <f>SUMIF('Stock Purchase'!$D:$D,B486,'Stock Purchase'!$F:$F)</f>
        <v>0</v>
      </c>
      <c r="G486" s="50">
        <f>SUMIFS('Stock Adjustment'!$E:$E,'Stock Adjustment'!$B:$B,$A486,'Stock Adjustment'!$D:$D,"Customer Returned")</f>
        <v>0</v>
      </c>
      <c r="H486" s="50">
        <f>SUMIF('Daily Sales Entry'!$D:$D,B486,'Daily Sales Entry'!$G:$G)</f>
        <v>0</v>
      </c>
      <c r="I486" s="50">
        <f>SUMIFS('Stock Adjustment'!$E:$E,'Stock Adjustment'!$B:$B,$A486,'Stock Adjustment'!$D:$D,"Staff Consumption")</f>
        <v>0</v>
      </c>
      <c r="J486" s="50">
        <f>SUMIFS('Stock Adjustment'!$E:$E,'Stock Adjustment'!$B:$B,$A486,'Stock Adjustment'!$D:$D,"Damaged")</f>
        <v>0</v>
      </c>
      <c r="K486" s="50">
        <f>SUMIFS('Stock Adjustment'!$E:$E,'Stock Adjustment'!$B:$B,$A486,'Stock Adjustment'!$D:$D,"Expired")</f>
        <v>0</v>
      </c>
      <c r="L486" s="50">
        <f>SUMIFS('Stock Adjustment'!$E:$E,'Stock Adjustment'!$B:$B,$A486,'Stock Adjustment'!$D:$D,"Supplier Returned")</f>
        <v>0</v>
      </c>
      <c r="M4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6" s="53" t="str">
        <f>IF(B486="","",VLOOKUP(B486,'Product Master'!$B:$G,4,FALSE))</f>
        <v/>
      </c>
      <c r="O486" s="53" t="str">
        <f>IF(B486="","",VLOOKUP(B486,'Product Master'!$B:$G,5,FALSE))</f>
        <v/>
      </c>
      <c r="P486" s="50" t="str">
        <f>IF(B486="","",VLOOKUP(B486,'Product Master'!$B:$I,7,FALSE))</f>
        <v/>
      </c>
      <c r="Q486" s="158"/>
      <c r="R486" s="58" t="str">
        <f t="shared" si="7"/>
        <v/>
      </c>
      <c r="S486" s="25"/>
      <c r="T486" s="25"/>
      <c r="U486" s="25"/>
      <c r="V486" s="25"/>
      <c r="W486" s="25"/>
      <c r="X486" s="25"/>
    </row>
    <row r="487" spans="1:24" x14ac:dyDescent="0.25">
      <c r="A487" s="31" t="s">
        <v>1047</v>
      </c>
      <c r="B487" s="32"/>
      <c r="C487" s="50" t="str">
        <f>IF(B487="","",VLOOKUP(B487,'Product Master'!$B:$G,2,FALSE))</f>
        <v/>
      </c>
      <c r="D487" s="50" t="str">
        <f>IF(B487="","",VLOOKUP(B487,'Product Master'!$B:$G,3,FALSE))</f>
        <v/>
      </c>
      <c r="E487" s="50"/>
      <c r="F487" s="50">
        <f>SUMIF('Stock Purchase'!$D:$D,B487,'Stock Purchase'!$F:$F)</f>
        <v>0</v>
      </c>
      <c r="G487" s="50">
        <f>SUMIFS('Stock Adjustment'!$E:$E,'Stock Adjustment'!$B:$B,$A487,'Stock Adjustment'!$D:$D,"Customer Returned")</f>
        <v>0</v>
      </c>
      <c r="H487" s="50">
        <f>SUMIF('Daily Sales Entry'!$D:$D,B487,'Daily Sales Entry'!$G:$G)</f>
        <v>0</v>
      </c>
      <c r="I487" s="50">
        <f>SUMIFS('Stock Adjustment'!$E:$E,'Stock Adjustment'!$B:$B,$A487,'Stock Adjustment'!$D:$D,"Staff Consumption")</f>
        <v>0</v>
      </c>
      <c r="J487" s="50">
        <f>SUMIFS('Stock Adjustment'!$E:$E,'Stock Adjustment'!$B:$B,$A487,'Stock Adjustment'!$D:$D,"Damaged")</f>
        <v>0</v>
      </c>
      <c r="K487" s="50">
        <f>SUMIFS('Stock Adjustment'!$E:$E,'Stock Adjustment'!$B:$B,$A487,'Stock Adjustment'!$D:$D,"Expired")</f>
        <v>0</v>
      </c>
      <c r="L487" s="50">
        <f>SUMIFS('Stock Adjustment'!$E:$E,'Stock Adjustment'!$B:$B,$A487,'Stock Adjustment'!$D:$D,"Supplier Returned")</f>
        <v>0</v>
      </c>
      <c r="M4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7" s="53" t="str">
        <f>IF(B487="","",VLOOKUP(B487,'Product Master'!$B:$G,4,FALSE))</f>
        <v/>
      </c>
      <c r="O487" s="53" t="str">
        <f>IF(B487="","",VLOOKUP(B487,'Product Master'!$B:$G,5,FALSE))</f>
        <v/>
      </c>
      <c r="P487" s="50" t="str">
        <f>IF(B487="","",VLOOKUP(B487,'Product Master'!$B:$I,7,FALSE))</f>
        <v/>
      </c>
      <c r="Q487" s="158"/>
      <c r="R487" s="58" t="str">
        <f t="shared" si="7"/>
        <v/>
      </c>
      <c r="S487" s="25"/>
      <c r="T487" s="25"/>
      <c r="U487" s="25"/>
      <c r="V487" s="25"/>
      <c r="W487" s="25"/>
      <c r="X487" s="25"/>
    </row>
    <row r="488" spans="1:24" x14ac:dyDescent="0.25">
      <c r="A488" s="31" t="s">
        <v>1048</v>
      </c>
      <c r="B488" s="32"/>
      <c r="C488" s="50" t="str">
        <f>IF(B488="","",VLOOKUP(B488,'Product Master'!$B:$G,2,FALSE))</f>
        <v/>
      </c>
      <c r="D488" s="50" t="str">
        <f>IF(B488="","",VLOOKUP(B488,'Product Master'!$B:$G,3,FALSE))</f>
        <v/>
      </c>
      <c r="E488" s="50"/>
      <c r="F488" s="50">
        <f>SUMIF('Stock Purchase'!$D:$D,B488,'Stock Purchase'!$F:$F)</f>
        <v>0</v>
      </c>
      <c r="G488" s="50">
        <f>SUMIFS('Stock Adjustment'!$E:$E,'Stock Adjustment'!$B:$B,$A488,'Stock Adjustment'!$D:$D,"Customer Returned")</f>
        <v>0</v>
      </c>
      <c r="H488" s="50">
        <f>SUMIF('Daily Sales Entry'!$D:$D,B488,'Daily Sales Entry'!$G:$G)</f>
        <v>0</v>
      </c>
      <c r="I488" s="50">
        <f>SUMIFS('Stock Adjustment'!$E:$E,'Stock Adjustment'!$B:$B,$A488,'Stock Adjustment'!$D:$D,"Staff Consumption")</f>
        <v>0</v>
      </c>
      <c r="J488" s="50">
        <f>SUMIFS('Stock Adjustment'!$E:$E,'Stock Adjustment'!$B:$B,$A488,'Stock Adjustment'!$D:$D,"Damaged")</f>
        <v>0</v>
      </c>
      <c r="K488" s="50">
        <f>SUMIFS('Stock Adjustment'!$E:$E,'Stock Adjustment'!$B:$B,$A488,'Stock Adjustment'!$D:$D,"Expired")</f>
        <v>0</v>
      </c>
      <c r="L488" s="50">
        <f>SUMIFS('Stock Adjustment'!$E:$E,'Stock Adjustment'!$B:$B,$A488,'Stock Adjustment'!$D:$D,"Supplier Returned")</f>
        <v>0</v>
      </c>
      <c r="M4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8" s="53" t="str">
        <f>IF(B488="","",VLOOKUP(B488,'Product Master'!$B:$G,4,FALSE))</f>
        <v/>
      </c>
      <c r="O488" s="53" t="str">
        <f>IF(B488="","",VLOOKUP(B488,'Product Master'!$B:$G,5,FALSE))</f>
        <v/>
      </c>
      <c r="P488" s="50" t="str">
        <f>IF(B488="","",VLOOKUP(B488,'Product Master'!$B:$I,7,FALSE))</f>
        <v/>
      </c>
      <c r="Q488" s="158"/>
      <c r="R488" s="58" t="str">
        <f t="shared" si="7"/>
        <v/>
      </c>
      <c r="S488" s="25"/>
      <c r="T488" s="25"/>
      <c r="U488" s="25"/>
      <c r="V488" s="25"/>
      <c r="W488" s="25"/>
      <c r="X488" s="25"/>
    </row>
    <row r="489" spans="1:24" x14ac:dyDescent="0.25">
      <c r="A489" s="31" t="s">
        <v>1049</v>
      </c>
      <c r="B489" s="32"/>
      <c r="C489" s="50" t="str">
        <f>IF(B489="","",VLOOKUP(B489,'Product Master'!$B:$G,2,FALSE))</f>
        <v/>
      </c>
      <c r="D489" s="50" t="str">
        <f>IF(B489="","",VLOOKUP(B489,'Product Master'!$B:$G,3,FALSE))</f>
        <v/>
      </c>
      <c r="E489" s="50"/>
      <c r="F489" s="50">
        <f>SUMIF('Stock Purchase'!$D:$D,B489,'Stock Purchase'!$F:$F)</f>
        <v>0</v>
      </c>
      <c r="G489" s="50">
        <f>SUMIFS('Stock Adjustment'!$E:$E,'Stock Adjustment'!$B:$B,$A489,'Stock Adjustment'!$D:$D,"Customer Returned")</f>
        <v>0</v>
      </c>
      <c r="H489" s="50">
        <f>SUMIF('Daily Sales Entry'!$D:$D,B489,'Daily Sales Entry'!$G:$G)</f>
        <v>0</v>
      </c>
      <c r="I489" s="50">
        <f>SUMIFS('Stock Adjustment'!$E:$E,'Stock Adjustment'!$B:$B,$A489,'Stock Adjustment'!$D:$D,"Staff Consumption")</f>
        <v>0</v>
      </c>
      <c r="J489" s="50">
        <f>SUMIFS('Stock Adjustment'!$E:$E,'Stock Adjustment'!$B:$B,$A489,'Stock Adjustment'!$D:$D,"Damaged")</f>
        <v>0</v>
      </c>
      <c r="K489" s="50">
        <f>SUMIFS('Stock Adjustment'!$E:$E,'Stock Adjustment'!$B:$B,$A489,'Stock Adjustment'!$D:$D,"Expired")</f>
        <v>0</v>
      </c>
      <c r="L489" s="50">
        <f>SUMIFS('Stock Adjustment'!$E:$E,'Stock Adjustment'!$B:$B,$A489,'Stock Adjustment'!$D:$D,"Supplier Returned")</f>
        <v>0</v>
      </c>
      <c r="M4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89" s="53" t="str">
        <f>IF(B489="","",VLOOKUP(B489,'Product Master'!$B:$G,4,FALSE))</f>
        <v/>
      </c>
      <c r="O489" s="53" t="str">
        <f>IF(B489="","",VLOOKUP(B489,'Product Master'!$B:$G,5,FALSE))</f>
        <v/>
      </c>
      <c r="P489" s="50" t="str">
        <f>IF(B489="","",VLOOKUP(B489,'Product Master'!$B:$I,7,FALSE))</f>
        <v/>
      </c>
      <c r="Q489" s="158"/>
      <c r="R489" s="58" t="str">
        <f t="shared" si="7"/>
        <v/>
      </c>
      <c r="S489" s="25"/>
      <c r="T489" s="25"/>
      <c r="U489" s="25"/>
      <c r="V489" s="25"/>
      <c r="W489" s="25"/>
      <c r="X489" s="25"/>
    </row>
    <row r="490" spans="1:24" x14ac:dyDescent="0.25">
      <c r="A490" s="31" t="s">
        <v>1050</v>
      </c>
      <c r="B490" s="32"/>
      <c r="C490" s="50" t="str">
        <f>IF(B490="","",VLOOKUP(B490,'Product Master'!$B:$G,2,FALSE))</f>
        <v/>
      </c>
      <c r="D490" s="50" t="str">
        <f>IF(B490="","",VLOOKUP(B490,'Product Master'!$B:$G,3,FALSE))</f>
        <v/>
      </c>
      <c r="E490" s="50"/>
      <c r="F490" s="50">
        <f>SUMIF('Stock Purchase'!$D:$D,B490,'Stock Purchase'!$F:$F)</f>
        <v>0</v>
      </c>
      <c r="G490" s="50">
        <f>SUMIFS('Stock Adjustment'!$E:$E,'Stock Adjustment'!$B:$B,$A490,'Stock Adjustment'!$D:$D,"Customer Returned")</f>
        <v>0</v>
      </c>
      <c r="H490" s="50">
        <f>SUMIF('Daily Sales Entry'!$D:$D,B490,'Daily Sales Entry'!$G:$G)</f>
        <v>0</v>
      </c>
      <c r="I490" s="50">
        <f>SUMIFS('Stock Adjustment'!$E:$E,'Stock Adjustment'!$B:$B,$A490,'Stock Adjustment'!$D:$D,"Staff Consumption")</f>
        <v>0</v>
      </c>
      <c r="J490" s="50">
        <f>SUMIFS('Stock Adjustment'!$E:$E,'Stock Adjustment'!$B:$B,$A490,'Stock Adjustment'!$D:$D,"Damaged")</f>
        <v>0</v>
      </c>
      <c r="K490" s="50">
        <f>SUMIFS('Stock Adjustment'!$E:$E,'Stock Adjustment'!$B:$B,$A490,'Stock Adjustment'!$D:$D,"Expired")</f>
        <v>0</v>
      </c>
      <c r="L490" s="50">
        <f>SUMIFS('Stock Adjustment'!$E:$E,'Stock Adjustment'!$B:$B,$A490,'Stock Adjustment'!$D:$D,"Supplier Returned")</f>
        <v>0</v>
      </c>
      <c r="M4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0" s="53" t="str">
        <f>IF(B490="","",VLOOKUP(B490,'Product Master'!$B:$G,4,FALSE))</f>
        <v/>
      </c>
      <c r="O490" s="53" t="str">
        <f>IF(B490="","",VLOOKUP(B490,'Product Master'!$B:$G,5,FALSE))</f>
        <v/>
      </c>
      <c r="P490" s="50" t="str">
        <f>IF(B490="","",VLOOKUP(B490,'Product Master'!$B:$I,7,FALSE))</f>
        <v/>
      </c>
      <c r="Q490" s="158"/>
      <c r="R490" s="58" t="str">
        <f t="shared" si="7"/>
        <v/>
      </c>
      <c r="S490" s="25"/>
      <c r="T490" s="25"/>
      <c r="U490" s="25"/>
      <c r="V490" s="25"/>
      <c r="W490" s="25"/>
      <c r="X490" s="25"/>
    </row>
    <row r="491" spans="1:24" x14ac:dyDescent="0.25">
      <c r="A491" s="31" t="s">
        <v>1051</v>
      </c>
      <c r="B491" s="32"/>
      <c r="C491" s="50" t="str">
        <f>IF(B491="","",VLOOKUP(B491,'Product Master'!$B:$G,2,FALSE))</f>
        <v/>
      </c>
      <c r="D491" s="50" t="str">
        <f>IF(B491="","",VLOOKUP(B491,'Product Master'!$B:$G,3,FALSE))</f>
        <v/>
      </c>
      <c r="E491" s="50"/>
      <c r="F491" s="50">
        <f>SUMIF('Stock Purchase'!$D:$D,B491,'Stock Purchase'!$F:$F)</f>
        <v>0</v>
      </c>
      <c r="G491" s="50">
        <f>SUMIFS('Stock Adjustment'!$E:$E,'Stock Adjustment'!$B:$B,$A491,'Stock Adjustment'!$D:$D,"Customer Returned")</f>
        <v>0</v>
      </c>
      <c r="H491" s="50">
        <f>SUMIF('Daily Sales Entry'!$D:$D,B491,'Daily Sales Entry'!$G:$G)</f>
        <v>0</v>
      </c>
      <c r="I491" s="50">
        <f>SUMIFS('Stock Adjustment'!$E:$E,'Stock Adjustment'!$B:$B,$A491,'Stock Adjustment'!$D:$D,"Staff Consumption")</f>
        <v>0</v>
      </c>
      <c r="J491" s="50">
        <f>SUMIFS('Stock Adjustment'!$E:$E,'Stock Adjustment'!$B:$B,$A491,'Stock Adjustment'!$D:$D,"Damaged")</f>
        <v>0</v>
      </c>
      <c r="K491" s="50">
        <f>SUMIFS('Stock Adjustment'!$E:$E,'Stock Adjustment'!$B:$B,$A491,'Stock Adjustment'!$D:$D,"Expired")</f>
        <v>0</v>
      </c>
      <c r="L491" s="50">
        <f>SUMIFS('Stock Adjustment'!$E:$E,'Stock Adjustment'!$B:$B,$A491,'Stock Adjustment'!$D:$D,"Supplier Returned")</f>
        <v>0</v>
      </c>
      <c r="M4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1" s="53" t="str">
        <f>IF(B491="","",VLOOKUP(B491,'Product Master'!$B:$G,4,FALSE))</f>
        <v/>
      </c>
      <c r="O491" s="53" t="str">
        <f>IF(B491="","",VLOOKUP(B491,'Product Master'!$B:$G,5,FALSE))</f>
        <v/>
      </c>
      <c r="P491" s="50" t="str">
        <f>IF(B491="","",VLOOKUP(B491,'Product Master'!$B:$I,7,FALSE))</f>
        <v/>
      </c>
      <c r="Q491" s="158"/>
      <c r="R491" s="58" t="str">
        <f t="shared" si="7"/>
        <v/>
      </c>
      <c r="S491" s="25"/>
      <c r="T491" s="25"/>
      <c r="U491" s="25"/>
      <c r="V491" s="25"/>
      <c r="W491" s="25"/>
      <c r="X491" s="25"/>
    </row>
    <row r="492" spans="1:24" x14ac:dyDescent="0.25">
      <c r="A492" s="31" t="s">
        <v>1052</v>
      </c>
      <c r="B492" s="32"/>
      <c r="C492" s="50" t="str">
        <f>IF(B492="","",VLOOKUP(B492,'Product Master'!$B:$G,2,FALSE))</f>
        <v/>
      </c>
      <c r="D492" s="50" t="str">
        <f>IF(B492="","",VLOOKUP(B492,'Product Master'!$B:$G,3,FALSE))</f>
        <v/>
      </c>
      <c r="E492" s="50"/>
      <c r="F492" s="50">
        <f>SUMIF('Stock Purchase'!$D:$D,B492,'Stock Purchase'!$F:$F)</f>
        <v>0</v>
      </c>
      <c r="G492" s="50">
        <f>SUMIFS('Stock Adjustment'!$E:$E,'Stock Adjustment'!$B:$B,$A492,'Stock Adjustment'!$D:$D,"Customer Returned")</f>
        <v>0</v>
      </c>
      <c r="H492" s="50">
        <f>SUMIF('Daily Sales Entry'!$D:$D,B492,'Daily Sales Entry'!$G:$G)</f>
        <v>0</v>
      </c>
      <c r="I492" s="50">
        <f>SUMIFS('Stock Adjustment'!$E:$E,'Stock Adjustment'!$B:$B,$A492,'Stock Adjustment'!$D:$D,"Staff Consumption")</f>
        <v>0</v>
      </c>
      <c r="J492" s="50">
        <f>SUMIFS('Stock Adjustment'!$E:$E,'Stock Adjustment'!$B:$B,$A492,'Stock Adjustment'!$D:$D,"Damaged")</f>
        <v>0</v>
      </c>
      <c r="K492" s="50">
        <f>SUMIFS('Stock Adjustment'!$E:$E,'Stock Adjustment'!$B:$B,$A492,'Stock Adjustment'!$D:$D,"Expired")</f>
        <v>0</v>
      </c>
      <c r="L492" s="50">
        <f>SUMIFS('Stock Adjustment'!$E:$E,'Stock Adjustment'!$B:$B,$A492,'Stock Adjustment'!$D:$D,"Supplier Returned")</f>
        <v>0</v>
      </c>
      <c r="M4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2" s="53" t="str">
        <f>IF(B492="","",VLOOKUP(B492,'Product Master'!$B:$G,4,FALSE))</f>
        <v/>
      </c>
      <c r="O492" s="53" t="str">
        <f>IF(B492="","",VLOOKUP(B492,'Product Master'!$B:$G,5,FALSE))</f>
        <v/>
      </c>
      <c r="P492" s="50" t="str">
        <f>IF(B492="","",VLOOKUP(B492,'Product Master'!$B:$I,7,FALSE))</f>
        <v/>
      </c>
      <c r="Q492" s="158"/>
      <c r="R492" s="58" t="str">
        <f t="shared" si="7"/>
        <v/>
      </c>
      <c r="S492" s="25"/>
      <c r="T492" s="25"/>
      <c r="U492" s="25"/>
      <c r="V492" s="25"/>
      <c r="W492" s="25"/>
      <c r="X492" s="25"/>
    </row>
    <row r="493" spans="1:24" x14ac:dyDescent="0.25">
      <c r="A493" s="31" t="s">
        <v>1053</v>
      </c>
      <c r="B493" s="32"/>
      <c r="C493" s="50" t="str">
        <f>IF(B493="","",VLOOKUP(B493,'Product Master'!$B:$G,2,FALSE))</f>
        <v/>
      </c>
      <c r="D493" s="50" t="str">
        <f>IF(B493="","",VLOOKUP(B493,'Product Master'!$B:$G,3,FALSE))</f>
        <v/>
      </c>
      <c r="E493" s="50"/>
      <c r="F493" s="50">
        <f>SUMIF('Stock Purchase'!$D:$D,B493,'Stock Purchase'!$F:$F)</f>
        <v>0</v>
      </c>
      <c r="G493" s="50">
        <f>SUMIFS('Stock Adjustment'!$E:$E,'Stock Adjustment'!$B:$B,$A493,'Stock Adjustment'!$D:$D,"Customer Returned")</f>
        <v>0</v>
      </c>
      <c r="H493" s="50">
        <f>SUMIF('Daily Sales Entry'!$D:$D,B493,'Daily Sales Entry'!$G:$G)</f>
        <v>0</v>
      </c>
      <c r="I493" s="50">
        <f>SUMIFS('Stock Adjustment'!$E:$E,'Stock Adjustment'!$B:$B,$A493,'Stock Adjustment'!$D:$D,"Staff Consumption")</f>
        <v>0</v>
      </c>
      <c r="J493" s="50">
        <f>SUMIFS('Stock Adjustment'!$E:$E,'Stock Adjustment'!$B:$B,$A493,'Stock Adjustment'!$D:$D,"Damaged")</f>
        <v>0</v>
      </c>
      <c r="K493" s="50">
        <f>SUMIFS('Stock Adjustment'!$E:$E,'Stock Adjustment'!$B:$B,$A493,'Stock Adjustment'!$D:$D,"Expired")</f>
        <v>0</v>
      </c>
      <c r="L493" s="50">
        <f>SUMIFS('Stock Adjustment'!$E:$E,'Stock Adjustment'!$B:$B,$A493,'Stock Adjustment'!$D:$D,"Supplier Returned")</f>
        <v>0</v>
      </c>
      <c r="M4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3" s="53" t="str">
        <f>IF(B493="","",VLOOKUP(B493,'Product Master'!$B:$G,4,FALSE))</f>
        <v/>
      </c>
      <c r="O493" s="53" t="str">
        <f>IF(B493="","",VLOOKUP(B493,'Product Master'!$B:$G,5,FALSE))</f>
        <v/>
      </c>
      <c r="P493" s="50" t="str">
        <f>IF(B493="","",VLOOKUP(B493,'Product Master'!$B:$I,7,FALSE))</f>
        <v/>
      </c>
      <c r="Q493" s="158"/>
      <c r="R493" s="58" t="str">
        <f t="shared" si="7"/>
        <v/>
      </c>
      <c r="S493" s="25"/>
      <c r="T493" s="25"/>
      <c r="U493" s="25"/>
      <c r="V493" s="25"/>
      <c r="W493" s="25"/>
      <c r="X493" s="25"/>
    </row>
    <row r="494" spans="1:24" x14ac:dyDescent="0.25">
      <c r="A494" s="31" t="s">
        <v>1054</v>
      </c>
      <c r="B494" s="32"/>
      <c r="C494" s="50" t="str">
        <f>IF(B494="","",VLOOKUP(B494,'Product Master'!$B:$G,2,FALSE))</f>
        <v/>
      </c>
      <c r="D494" s="50" t="str">
        <f>IF(B494="","",VLOOKUP(B494,'Product Master'!$B:$G,3,FALSE))</f>
        <v/>
      </c>
      <c r="E494" s="50"/>
      <c r="F494" s="50">
        <f>SUMIF('Stock Purchase'!$D:$D,B494,'Stock Purchase'!$F:$F)</f>
        <v>0</v>
      </c>
      <c r="G494" s="50">
        <f>SUMIFS('Stock Adjustment'!$E:$E,'Stock Adjustment'!$B:$B,$A494,'Stock Adjustment'!$D:$D,"Customer Returned")</f>
        <v>0</v>
      </c>
      <c r="H494" s="50">
        <f>SUMIF('Daily Sales Entry'!$D:$D,B494,'Daily Sales Entry'!$G:$G)</f>
        <v>0</v>
      </c>
      <c r="I494" s="50">
        <f>SUMIFS('Stock Adjustment'!$E:$E,'Stock Adjustment'!$B:$B,$A494,'Stock Adjustment'!$D:$D,"Staff Consumption")</f>
        <v>0</v>
      </c>
      <c r="J494" s="50">
        <f>SUMIFS('Stock Adjustment'!$E:$E,'Stock Adjustment'!$B:$B,$A494,'Stock Adjustment'!$D:$D,"Damaged")</f>
        <v>0</v>
      </c>
      <c r="K494" s="50">
        <f>SUMIFS('Stock Adjustment'!$E:$E,'Stock Adjustment'!$B:$B,$A494,'Stock Adjustment'!$D:$D,"Expired")</f>
        <v>0</v>
      </c>
      <c r="L494" s="50">
        <f>SUMIFS('Stock Adjustment'!$E:$E,'Stock Adjustment'!$B:$B,$A494,'Stock Adjustment'!$D:$D,"Supplier Returned")</f>
        <v>0</v>
      </c>
      <c r="M4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4" s="53" t="str">
        <f>IF(B494="","",VLOOKUP(B494,'Product Master'!$B:$G,4,FALSE))</f>
        <v/>
      </c>
      <c r="O494" s="53" t="str">
        <f>IF(B494="","",VLOOKUP(B494,'Product Master'!$B:$G,5,FALSE))</f>
        <v/>
      </c>
      <c r="P494" s="50" t="str">
        <f>IF(B494="","",VLOOKUP(B494,'Product Master'!$B:$I,7,FALSE))</f>
        <v/>
      </c>
      <c r="Q494" s="158"/>
      <c r="R494" s="58" t="str">
        <f t="shared" si="7"/>
        <v/>
      </c>
      <c r="S494" s="25"/>
      <c r="T494" s="25"/>
      <c r="U494" s="25"/>
      <c r="V494" s="25"/>
      <c r="W494" s="25"/>
      <c r="X494" s="25"/>
    </row>
    <row r="495" spans="1:24" x14ac:dyDescent="0.25">
      <c r="A495" s="31" t="s">
        <v>1055</v>
      </c>
      <c r="B495" s="32"/>
      <c r="C495" s="50" t="str">
        <f>IF(B495="","",VLOOKUP(B495,'Product Master'!$B:$G,2,FALSE))</f>
        <v/>
      </c>
      <c r="D495" s="50" t="str">
        <f>IF(B495="","",VLOOKUP(B495,'Product Master'!$B:$G,3,FALSE))</f>
        <v/>
      </c>
      <c r="E495" s="50"/>
      <c r="F495" s="50">
        <f>SUMIF('Stock Purchase'!$D:$D,B495,'Stock Purchase'!$F:$F)</f>
        <v>0</v>
      </c>
      <c r="G495" s="50">
        <f>SUMIFS('Stock Adjustment'!$E:$E,'Stock Adjustment'!$B:$B,$A495,'Stock Adjustment'!$D:$D,"Customer Returned")</f>
        <v>0</v>
      </c>
      <c r="H495" s="50">
        <f>SUMIF('Daily Sales Entry'!$D:$D,B495,'Daily Sales Entry'!$G:$G)</f>
        <v>0</v>
      </c>
      <c r="I495" s="50">
        <f>SUMIFS('Stock Adjustment'!$E:$E,'Stock Adjustment'!$B:$B,$A495,'Stock Adjustment'!$D:$D,"Staff Consumption")</f>
        <v>0</v>
      </c>
      <c r="J495" s="50">
        <f>SUMIFS('Stock Adjustment'!$E:$E,'Stock Adjustment'!$B:$B,$A495,'Stock Adjustment'!$D:$D,"Damaged")</f>
        <v>0</v>
      </c>
      <c r="K495" s="50">
        <f>SUMIFS('Stock Adjustment'!$E:$E,'Stock Adjustment'!$B:$B,$A495,'Stock Adjustment'!$D:$D,"Expired")</f>
        <v>0</v>
      </c>
      <c r="L495" s="50">
        <f>SUMIFS('Stock Adjustment'!$E:$E,'Stock Adjustment'!$B:$B,$A495,'Stock Adjustment'!$D:$D,"Supplier Returned")</f>
        <v>0</v>
      </c>
      <c r="M4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5" s="53" t="str">
        <f>IF(B495="","",VLOOKUP(B495,'Product Master'!$B:$G,4,FALSE))</f>
        <v/>
      </c>
      <c r="O495" s="53" t="str">
        <f>IF(B495="","",VLOOKUP(B495,'Product Master'!$B:$G,5,FALSE))</f>
        <v/>
      </c>
      <c r="P495" s="50" t="str">
        <f>IF(B495="","",VLOOKUP(B495,'Product Master'!$B:$I,7,FALSE))</f>
        <v/>
      </c>
      <c r="Q495" s="158"/>
      <c r="R495" s="58" t="str">
        <f t="shared" si="7"/>
        <v/>
      </c>
      <c r="S495" s="25"/>
      <c r="T495" s="25"/>
      <c r="U495" s="25"/>
      <c r="V495" s="25"/>
      <c r="W495" s="25"/>
      <c r="X495" s="25"/>
    </row>
    <row r="496" spans="1:24" x14ac:dyDescent="0.25">
      <c r="A496" s="31" t="s">
        <v>1056</v>
      </c>
      <c r="B496" s="32"/>
      <c r="C496" s="50" t="str">
        <f>IF(B496="","",VLOOKUP(B496,'Product Master'!$B:$G,2,FALSE))</f>
        <v/>
      </c>
      <c r="D496" s="50" t="str">
        <f>IF(B496="","",VLOOKUP(B496,'Product Master'!$B:$G,3,FALSE))</f>
        <v/>
      </c>
      <c r="E496" s="50"/>
      <c r="F496" s="50">
        <f>SUMIF('Stock Purchase'!$D:$D,B496,'Stock Purchase'!$F:$F)</f>
        <v>0</v>
      </c>
      <c r="G496" s="50">
        <f>SUMIFS('Stock Adjustment'!$E:$E,'Stock Adjustment'!$B:$B,$A496,'Stock Adjustment'!$D:$D,"Customer Returned")</f>
        <v>0</v>
      </c>
      <c r="H496" s="50">
        <f>SUMIF('Daily Sales Entry'!$D:$D,B496,'Daily Sales Entry'!$G:$G)</f>
        <v>0</v>
      </c>
      <c r="I496" s="50">
        <f>SUMIFS('Stock Adjustment'!$E:$E,'Stock Adjustment'!$B:$B,$A496,'Stock Adjustment'!$D:$D,"Staff Consumption")</f>
        <v>0</v>
      </c>
      <c r="J496" s="50">
        <f>SUMIFS('Stock Adjustment'!$E:$E,'Stock Adjustment'!$B:$B,$A496,'Stock Adjustment'!$D:$D,"Damaged")</f>
        <v>0</v>
      </c>
      <c r="K496" s="50">
        <f>SUMIFS('Stock Adjustment'!$E:$E,'Stock Adjustment'!$B:$B,$A496,'Stock Adjustment'!$D:$D,"Expired")</f>
        <v>0</v>
      </c>
      <c r="L496" s="50">
        <f>SUMIFS('Stock Adjustment'!$E:$E,'Stock Adjustment'!$B:$B,$A496,'Stock Adjustment'!$D:$D,"Supplier Returned")</f>
        <v>0</v>
      </c>
      <c r="M4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6" s="53" t="str">
        <f>IF(B496="","",VLOOKUP(B496,'Product Master'!$B:$G,4,FALSE))</f>
        <v/>
      </c>
      <c r="O496" s="53" t="str">
        <f>IF(B496="","",VLOOKUP(B496,'Product Master'!$B:$G,5,FALSE))</f>
        <v/>
      </c>
      <c r="P496" s="50" t="str">
        <f>IF(B496="","",VLOOKUP(B496,'Product Master'!$B:$I,7,FALSE))</f>
        <v/>
      </c>
      <c r="Q496" s="158"/>
      <c r="R496" s="58" t="str">
        <f t="shared" si="7"/>
        <v/>
      </c>
      <c r="S496" s="25"/>
      <c r="T496" s="25"/>
      <c r="U496" s="25"/>
      <c r="V496" s="25"/>
      <c r="W496" s="25"/>
      <c r="X496" s="25"/>
    </row>
    <row r="497" spans="1:24" x14ac:dyDescent="0.25">
      <c r="A497" s="31" t="s">
        <v>1057</v>
      </c>
      <c r="B497" s="32"/>
      <c r="C497" s="50" t="str">
        <f>IF(B497="","",VLOOKUP(B497,'Product Master'!$B:$G,2,FALSE))</f>
        <v/>
      </c>
      <c r="D497" s="50" t="str">
        <f>IF(B497="","",VLOOKUP(B497,'Product Master'!$B:$G,3,FALSE))</f>
        <v/>
      </c>
      <c r="E497" s="50"/>
      <c r="F497" s="50">
        <f>SUMIF('Stock Purchase'!$D:$D,B497,'Stock Purchase'!$F:$F)</f>
        <v>0</v>
      </c>
      <c r="G497" s="50">
        <f>SUMIFS('Stock Adjustment'!$E:$E,'Stock Adjustment'!$B:$B,$A497,'Stock Adjustment'!$D:$D,"Customer Returned")</f>
        <v>0</v>
      </c>
      <c r="H497" s="50">
        <f>SUMIF('Daily Sales Entry'!$D:$D,B497,'Daily Sales Entry'!$G:$G)</f>
        <v>0</v>
      </c>
      <c r="I497" s="50">
        <f>SUMIFS('Stock Adjustment'!$E:$E,'Stock Adjustment'!$B:$B,$A497,'Stock Adjustment'!$D:$D,"Staff Consumption")</f>
        <v>0</v>
      </c>
      <c r="J497" s="50">
        <f>SUMIFS('Stock Adjustment'!$E:$E,'Stock Adjustment'!$B:$B,$A497,'Stock Adjustment'!$D:$D,"Damaged")</f>
        <v>0</v>
      </c>
      <c r="K497" s="50">
        <f>SUMIFS('Stock Adjustment'!$E:$E,'Stock Adjustment'!$B:$B,$A497,'Stock Adjustment'!$D:$D,"Expired")</f>
        <v>0</v>
      </c>
      <c r="L497" s="50">
        <f>SUMIFS('Stock Adjustment'!$E:$E,'Stock Adjustment'!$B:$B,$A497,'Stock Adjustment'!$D:$D,"Supplier Returned")</f>
        <v>0</v>
      </c>
      <c r="M4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7" s="53" t="str">
        <f>IF(B497="","",VLOOKUP(B497,'Product Master'!$B:$G,4,FALSE))</f>
        <v/>
      </c>
      <c r="O497" s="53" t="str">
        <f>IF(B497="","",VLOOKUP(B497,'Product Master'!$B:$G,5,FALSE))</f>
        <v/>
      </c>
      <c r="P497" s="50" t="str">
        <f>IF(B497="","",VLOOKUP(B497,'Product Master'!$B:$I,7,FALSE))</f>
        <v/>
      </c>
      <c r="Q497" s="158"/>
      <c r="R497" s="58" t="str">
        <f t="shared" si="7"/>
        <v/>
      </c>
      <c r="S497" s="25"/>
      <c r="T497" s="25"/>
      <c r="U497" s="25"/>
      <c r="V497" s="25"/>
      <c r="W497" s="25"/>
      <c r="X497" s="25"/>
    </row>
    <row r="498" spans="1:24" x14ac:dyDescent="0.25">
      <c r="A498" s="31" t="s">
        <v>1058</v>
      </c>
      <c r="B498" s="32"/>
      <c r="C498" s="50" t="str">
        <f>IF(B498="","",VLOOKUP(B498,'Product Master'!$B:$G,2,FALSE))</f>
        <v/>
      </c>
      <c r="D498" s="50" t="str">
        <f>IF(B498="","",VLOOKUP(B498,'Product Master'!$B:$G,3,FALSE))</f>
        <v/>
      </c>
      <c r="E498" s="50"/>
      <c r="F498" s="50">
        <f>SUMIF('Stock Purchase'!$D:$D,B498,'Stock Purchase'!$F:$F)</f>
        <v>0</v>
      </c>
      <c r="G498" s="50">
        <f>SUMIFS('Stock Adjustment'!$E:$E,'Stock Adjustment'!$B:$B,$A498,'Stock Adjustment'!$D:$D,"Customer Returned")</f>
        <v>0</v>
      </c>
      <c r="H498" s="50">
        <f>SUMIF('Daily Sales Entry'!$D:$D,B498,'Daily Sales Entry'!$G:$G)</f>
        <v>0</v>
      </c>
      <c r="I498" s="50">
        <f>SUMIFS('Stock Adjustment'!$E:$E,'Stock Adjustment'!$B:$B,$A498,'Stock Adjustment'!$D:$D,"Staff Consumption")</f>
        <v>0</v>
      </c>
      <c r="J498" s="50">
        <f>SUMIFS('Stock Adjustment'!$E:$E,'Stock Adjustment'!$B:$B,$A498,'Stock Adjustment'!$D:$D,"Damaged")</f>
        <v>0</v>
      </c>
      <c r="K498" s="50">
        <f>SUMIFS('Stock Adjustment'!$E:$E,'Stock Adjustment'!$B:$B,$A498,'Stock Adjustment'!$D:$D,"Expired")</f>
        <v>0</v>
      </c>
      <c r="L498" s="50">
        <f>SUMIFS('Stock Adjustment'!$E:$E,'Stock Adjustment'!$B:$B,$A498,'Stock Adjustment'!$D:$D,"Supplier Returned")</f>
        <v>0</v>
      </c>
      <c r="M4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8" s="53" t="str">
        <f>IF(B498="","",VLOOKUP(B498,'Product Master'!$B:$G,4,FALSE))</f>
        <v/>
      </c>
      <c r="O498" s="53" t="str">
        <f>IF(B498="","",VLOOKUP(B498,'Product Master'!$B:$G,5,FALSE))</f>
        <v/>
      </c>
      <c r="P498" s="50" t="str">
        <f>IF(B498="","",VLOOKUP(B498,'Product Master'!$B:$I,7,FALSE))</f>
        <v/>
      </c>
      <c r="Q498" s="158"/>
      <c r="R498" s="58" t="str">
        <f t="shared" si="7"/>
        <v/>
      </c>
      <c r="S498" s="25"/>
      <c r="T498" s="25"/>
      <c r="U498" s="25"/>
      <c r="V498" s="25"/>
      <c r="W498" s="25"/>
      <c r="X498" s="25"/>
    </row>
    <row r="499" spans="1:24" x14ac:dyDescent="0.25">
      <c r="A499" s="31" t="s">
        <v>1059</v>
      </c>
      <c r="B499" s="32"/>
      <c r="C499" s="50" t="str">
        <f>IF(B499="","",VLOOKUP(B499,'Product Master'!$B:$G,2,FALSE))</f>
        <v/>
      </c>
      <c r="D499" s="50" t="str">
        <f>IF(B499="","",VLOOKUP(B499,'Product Master'!$B:$G,3,FALSE))</f>
        <v/>
      </c>
      <c r="E499" s="50"/>
      <c r="F499" s="50">
        <f>SUMIF('Stock Purchase'!$D:$D,B499,'Stock Purchase'!$F:$F)</f>
        <v>0</v>
      </c>
      <c r="G499" s="50">
        <f>SUMIFS('Stock Adjustment'!$E:$E,'Stock Adjustment'!$B:$B,$A499,'Stock Adjustment'!$D:$D,"Customer Returned")</f>
        <v>0</v>
      </c>
      <c r="H499" s="50">
        <f>SUMIF('Daily Sales Entry'!$D:$D,B499,'Daily Sales Entry'!$G:$G)</f>
        <v>0</v>
      </c>
      <c r="I499" s="50">
        <f>SUMIFS('Stock Adjustment'!$E:$E,'Stock Adjustment'!$B:$B,$A499,'Stock Adjustment'!$D:$D,"Staff Consumption")</f>
        <v>0</v>
      </c>
      <c r="J499" s="50">
        <f>SUMIFS('Stock Adjustment'!$E:$E,'Stock Adjustment'!$B:$B,$A499,'Stock Adjustment'!$D:$D,"Damaged")</f>
        <v>0</v>
      </c>
      <c r="K499" s="50">
        <f>SUMIFS('Stock Adjustment'!$E:$E,'Stock Adjustment'!$B:$B,$A499,'Stock Adjustment'!$D:$D,"Expired")</f>
        <v>0</v>
      </c>
      <c r="L499" s="50">
        <f>SUMIFS('Stock Adjustment'!$E:$E,'Stock Adjustment'!$B:$B,$A499,'Stock Adjustment'!$D:$D,"Supplier Returned")</f>
        <v>0</v>
      </c>
      <c r="M4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499" s="53" t="str">
        <f>IF(B499="","",VLOOKUP(B499,'Product Master'!$B:$G,4,FALSE))</f>
        <v/>
      </c>
      <c r="O499" s="53" t="str">
        <f>IF(B499="","",VLOOKUP(B499,'Product Master'!$B:$G,5,FALSE))</f>
        <v/>
      </c>
      <c r="P499" s="50" t="str">
        <f>IF(B499="","",VLOOKUP(B499,'Product Master'!$B:$I,7,FALSE))</f>
        <v/>
      </c>
      <c r="Q499" s="158"/>
      <c r="R499" s="58" t="str">
        <f t="shared" si="7"/>
        <v/>
      </c>
      <c r="S499" s="25"/>
      <c r="T499" s="25"/>
      <c r="U499" s="25"/>
      <c r="V499" s="25"/>
      <c r="W499" s="25"/>
      <c r="X499" s="25"/>
    </row>
    <row r="500" spans="1:24" x14ac:dyDescent="0.25">
      <c r="A500" s="31" t="s">
        <v>1060</v>
      </c>
      <c r="B500" s="32"/>
      <c r="C500" s="50" t="str">
        <f>IF(B500="","",VLOOKUP(B500,'Product Master'!$B:$G,2,FALSE))</f>
        <v/>
      </c>
      <c r="D500" s="50" t="str">
        <f>IF(B500="","",VLOOKUP(B500,'Product Master'!$B:$G,3,FALSE))</f>
        <v/>
      </c>
      <c r="E500" s="50"/>
      <c r="F500" s="50">
        <f>SUMIF('Stock Purchase'!$D:$D,B500,'Stock Purchase'!$F:$F)</f>
        <v>0</v>
      </c>
      <c r="G500" s="50">
        <f>SUMIFS('Stock Adjustment'!$E:$E,'Stock Adjustment'!$B:$B,$A500,'Stock Adjustment'!$D:$D,"Customer Returned")</f>
        <v>0</v>
      </c>
      <c r="H500" s="50">
        <f>SUMIF('Daily Sales Entry'!$D:$D,B500,'Daily Sales Entry'!$G:$G)</f>
        <v>0</v>
      </c>
      <c r="I500" s="50">
        <f>SUMIFS('Stock Adjustment'!$E:$E,'Stock Adjustment'!$B:$B,$A500,'Stock Adjustment'!$D:$D,"Staff Consumption")</f>
        <v>0</v>
      </c>
      <c r="J500" s="50">
        <f>SUMIFS('Stock Adjustment'!$E:$E,'Stock Adjustment'!$B:$B,$A500,'Stock Adjustment'!$D:$D,"Damaged")</f>
        <v>0</v>
      </c>
      <c r="K500" s="50">
        <f>SUMIFS('Stock Adjustment'!$E:$E,'Stock Adjustment'!$B:$B,$A500,'Stock Adjustment'!$D:$D,"Expired")</f>
        <v>0</v>
      </c>
      <c r="L500" s="50">
        <f>SUMIFS('Stock Adjustment'!$E:$E,'Stock Adjustment'!$B:$B,$A500,'Stock Adjustment'!$D:$D,"Supplier Returned")</f>
        <v>0</v>
      </c>
      <c r="M5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0" s="53" t="str">
        <f>IF(B500="","",VLOOKUP(B500,'Product Master'!$B:$G,4,FALSE))</f>
        <v/>
      </c>
      <c r="O500" s="53" t="str">
        <f>IF(B500="","",VLOOKUP(B500,'Product Master'!$B:$G,5,FALSE))</f>
        <v/>
      </c>
      <c r="P500" s="50" t="str">
        <f>IF(B500="","",VLOOKUP(B500,'Product Master'!$B:$I,7,FALSE))</f>
        <v/>
      </c>
      <c r="Q500" s="158"/>
      <c r="R500" s="58" t="str">
        <f t="shared" si="7"/>
        <v/>
      </c>
      <c r="S500" s="25"/>
      <c r="T500" s="25"/>
      <c r="U500" s="25"/>
      <c r="V500" s="25"/>
      <c r="W500" s="25"/>
      <c r="X500" s="25"/>
    </row>
    <row r="501" spans="1:24" x14ac:dyDescent="0.25">
      <c r="A501" s="31" t="s">
        <v>1061</v>
      </c>
      <c r="B501" s="32"/>
      <c r="C501" s="50" t="str">
        <f>IF(B501="","",VLOOKUP(B501,'Product Master'!$B:$G,2,FALSE))</f>
        <v/>
      </c>
      <c r="D501" s="50" t="str">
        <f>IF(B501="","",VLOOKUP(B501,'Product Master'!$B:$G,3,FALSE))</f>
        <v/>
      </c>
      <c r="E501" s="50"/>
      <c r="F501" s="50">
        <f>SUMIF('Stock Purchase'!$D:$D,B501,'Stock Purchase'!$F:$F)</f>
        <v>0</v>
      </c>
      <c r="G501" s="50">
        <f>SUMIFS('Stock Adjustment'!$E:$E,'Stock Adjustment'!$B:$B,$A501,'Stock Adjustment'!$D:$D,"Customer Returned")</f>
        <v>0</v>
      </c>
      <c r="H501" s="50">
        <f>SUMIF('Daily Sales Entry'!$D:$D,B501,'Daily Sales Entry'!$G:$G)</f>
        <v>0</v>
      </c>
      <c r="I501" s="50">
        <f>SUMIFS('Stock Adjustment'!$E:$E,'Stock Adjustment'!$B:$B,$A501,'Stock Adjustment'!$D:$D,"Staff Consumption")</f>
        <v>0</v>
      </c>
      <c r="J501" s="50">
        <f>SUMIFS('Stock Adjustment'!$E:$E,'Stock Adjustment'!$B:$B,$A501,'Stock Adjustment'!$D:$D,"Damaged")</f>
        <v>0</v>
      </c>
      <c r="K501" s="50">
        <f>SUMIFS('Stock Adjustment'!$E:$E,'Stock Adjustment'!$B:$B,$A501,'Stock Adjustment'!$D:$D,"Expired")</f>
        <v>0</v>
      </c>
      <c r="L501" s="50">
        <f>SUMIFS('Stock Adjustment'!$E:$E,'Stock Adjustment'!$B:$B,$A501,'Stock Adjustment'!$D:$D,"Supplier Returned")</f>
        <v>0</v>
      </c>
      <c r="M5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1" s="53" t="str">
        <f>IF(B501="","",VLOOKUP(B501,'Product Master'!$B:$G,4,FALSE))</f>
        <v/>
      </c>
      <c r="O501" s="53" t="str">
        <f>IF(B501="","",VLOOKUP(B501,'Product Master'!$B:$G,5,FALSE))</f>
        <v/>
      </c>
      <c r="P501" s="50" t="str">
        <f>IF(B501="","",VLOOKUP(B501,'Product Master'!$B:$I,7,FALSE))</f>
        <v/>
      </c>
      <c r="Q501" s="158"/>
      <c r="R501" s="58" t="str">
        <f t="shared" si="7"/>
        <v/>
      </c>
      <c r="S501" s="25"/>
      <c r="T501" s="25"/>
      <c r="U501" s="25"/>
      <c r="V501" s="25"/>
      <c r="W501" s="25"/>
      <c r="X501" s="25"/>
    </row>
    <row r="502" spans="1:24" x14ac:dyDescent="0.25">
      <c r="A502" s="31" t="s">
        <v>1062</v>
      </c>
      <c r="B502" s="32"/>
      <c r="C502" s="50" t="str">
        <f>IF(B502="","",VLOOKUP(B502,'Product Master'!$B:$G,2,FALSE))</f>
        <v/>
      </c>
      <c r="D502" s="50" t="str">
        <f>IF(B502="","",VLOOKUP(B502,'Product Master'!$B:$G,3,FALSE))</f>
        <v/>
      </c>
      <c r="E502" s="50"/>
      <c r="F502" s="50">
        <f>SUMIF('Stock Purchase'!$D:$D,B502,'Stock Purchase'!$F:$F)</f>
        <v>0</v>
      </c>
      <c r="G502" s="50">
        <f>SUMIFS('Stock Adjustment'!$E:$E,'Stock Adjustment'!$B:$B,$A502,'Stock Adjustment'!$D:$D,"Customer Returned")</f>
        <v>0</v>
      </c>
      <c r="H502" s="50">
        <f>SUMIF('Daily Sales Entry'!$D:$D,B502,'Daily Sales Entry'!$G:$G)</f>
        <v>0</v>
      </c>
      <c r="I502" s="50">
        <f>SUMIFS('Stock Adjustment'!$E:$E,'Stock Adjustment'!$B:$B,$A502,'Stock Adjustment'!$D:$D,"Staff Consumption")</f>
        <v>0</v>
      </c>
      <c r="J502" s="50">
        <f>SUMIFS('Stock Adjustment'!$E:$E,'Stock Adjustment'!$B:$B,$A502,'Stock Adjustment'!$D:$D,"Damaged")</f>
        <v>0</v>
      </c>
      <c r="K502" s="50">
        <f>SUMIFS('Stock Adjustment'!$E:$E,'Stock Adjustment'!$B:$B,$A502,'Stock Adjustment'!$D:$D,"Expired")</f>
        <v>0</v>
      </c>
      <c r="L502" s="50">
        <f>SUMIFS('Stock Adjustment'!$E:$E,'Stock Adjustment'!$B:$B,$A502,'Stock Adjustment'!$D:$D,"Supplier Returned")</f>
        <v>0</v>
      </c>
      <c r="M5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2" s="53" t="str">
        <f>IF(B502="","",VLOOKUP(B502,'Product Master'!$B:$G,4,FALSE))</f>
        <v/>
      </c>
      <c r="O502" s="53" t="str">
        <f>IF(B502="","",VLOOKUP(B502,'Product Master'!$B:$G,5,FALSE))</f>
        <v/>
      </c>
      <c r="P502" s="50" t="str">
        <f>IF(B502="","",VLOOKUP(B502,'Product Master'!$B:$I,7,FALSE))</f>
        <v/>
      </c>
      <c r="Q502" s="158"/>
      <c r="R502" s="58" t="str">
        <f t="shared" si="7"/>
        <v/>
      </c>
      <c r="S502" s="25"/>
      <c r="T502" s="25"/>
      <c r="U502" s="25"/>
      <c r="V502" s="25"/>
      <c r="W502" s="25"/>
      <c r="X502" s="25"/>
    </row>
    <row r="503" spans="1:24" x14ac:dyDescent="0.25">
      <c r="A503" s="31" t="s">
        <v>1063</v>
      </c>
      <c r="B503" s="32"/>
      <c r="C503" s="50" t="str">
        <f>IF(B503="","",VLOOKUP(B503,'Product Master'!$B:$G,2,FALSE))</f>
        <v/>
      </c>
      <c r="D503" s="50" t="str">
        <f>IF(B503="","",VLOOKUP(B503,'Product Master'!$B:$G,3,FALSE))</f>
        <v/>
      </c>
      <c r="E503" s="50"/>
      <c r="F503" s="50">
        <f>SUMIF('Stock Purchase'!$D:$D,B503,'Stock Purchase'!$F:$F)</f>
        <v>0</v>
      </c>
      <c r="G503" s="50">
        <f>SUMIFS('Stock Adjustment'!$E:$E,'Stock Adjustment'!$B:$B,$A503,'Stock Adjustment'!$D:$D,"Customer Returned")</f>
        <v>0</v>
      </c>
      <c r="H503" s="50">
        <f>SUMIF('Daily Sales Entry'!$D:$D,B503,'Daily Sales Entry'!$G:$G)</f>
        <v>0</v>
      </c>
      <c r="I503" s="50">
        <f>SUMIFS('Stock Adjustment'!$E:$E,'Stock Adjustment'!$B:$B,$A503,'Stock Adjustment'!$D:$D,"Staff Consumption")</f>
        <v>0</v>
      </c>
      <c r="J503" s="50">
        <f>SUMIFS('Stock Adjustment'!$E:$E,'Stock Adjustment'!$B:$B,$A503,'Stock Adjustment'!$D:$D,"Damaged")</f>
        <v>0</v>
      </c>
      <c r="K503" s="50">
        <f>SUMIFS('Stock Adjustment'!$E:$E,'Stock Adjustment'!$B:$B,$A503,'Stock Adjustment'!$D:$D,"Expired")</f>
        <v>0</v>
      </c>
      <c r="L503" s="50">
        <f>SUMIFS('Stock Adjustment'!$E:$E,'Stock Adjustment'!$B:$B,$A503,'Stock Adjustment'!$D:$D,"Supplier Returned")</f>
        <v>0</v>
      </c>
      <c r="M5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3" s="53" t="str">
        <f>IF(B503="","",VLOOKUP(B503,'Product Master'!$B:$G,4,FALSE))</f>
        <v/>
      </c>
      <c r="O503" s="53" t="str">
        <f>IF(B503="","",VLOOKUP(B503,'Product Master'!$B:$G,5,FALSE))</f>
        <v/>
      </c>
      <c r="P503" s="50" t="str">
        <f>IF(B503="","",VLOOKUP(B503,'Product Master'!$B:$I,7,FALSE))</f>
        <v/>
      </c>
      <c r="Q503" s="158"/>
      <c r="R503" s="58" t="str">
        <f t="shared" si="7"/>
        <v/>
      </c>
      <c r="S503" s="25"/>
      <c r="T503" s="25"/>
      <c r="U503" s="25"/>
      <c r="V503" s="25"/>
      <c r="W503" s="25"/>
      <c r="X503" s="25"/>
    </row>
    <row r="504" spans="1:24" x14ac:dyDescent="0.25">
      <c r="A504" s="31" t="s">
        <v>1064</v>
      </c>
      <c r="B504" s="32"/>
      <c r="C504" s="50" t="str">
        <f>IF(B504="","",VLOOKUP(B504,'Product Master'!$B:$G,2,FALSE))</f>
        <v/>
      </c>
      <c r="D504" s="50" t="str">
        <f>IF(B504="","",VLOOKUP(B504,'Product Master'!$B:$G,3,FALSE))</f>
        <v/>
      </c>
      <c r="E504" s="50"/>
      <c r="F504" s="50">
        <f>SUMIF('Stock Purchase'!$D:$D,B504,'Stock Purchase'!$F:$F)</f>
        <v>0</v>
      </c>
      <c r="G504" s="50">
        <f>SUMIFS('Stock Adjustment'!$E:$E,'Stock Adjustment'!$B:$B,$A504,'Stock Adjustment'!$D:$D,"Customer Returned")</f>
        <v>0</v>
      </c>
      <c r="H504" s="50">
        <f>SUMIF('Daily Sales Entry'!$D:$D,B504,'Daily Sales Entry'!$G:$G)</f>
        <v>0</v>
      </c>
      <c r="I504" s="50">
        <f>SUMIFS('Stock Adjustment'!$E:$E,'Stock Adjustment'!$B:$B,$A504,'Stock Adjustment'!$D:$D,"Staff Consumption")</f>
        <v>0</v>
      </c>
      <c r="J504" s="50">
        <f>SUMIFS('Stock Adjustment'!$E:$E,'Stock Adjustment'!$B:$B,$A504,'Stock Adjustment'!$D:$D,"Damaged")</f>
        <v>0</v>
      </c>
      <c r="K504" s="50">
        <f>SUMIFS('Stock Adjustment'!$E:$E,'Stock Adjustment'!$B:$B,$A504,'Stock Adjustment'!$D:$D,"Expired")</f>
        <v>0</v>
      </c>
      <c r="L504" s="50">
        <f>SUMIFS('Stock Adjustment'!$E:$E,'Stock Adjustment'!$B:$B,$A504,'Stock Adjustment'!$D:$D,"Supplier Returned")</f>
        <v>0</v>
      </c>
      <c r="M5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4" s="53" t="str">
        <f>IF(B504="","",VLOOKUP(B504,'Product Master'!$B:$G,4,FALSE))</f>
        <v/>
      </c>
      <c r="O504" s="53" t="str">
        <f>IF(B504="","",VLOOKUP(B504,'Product Master'!$B:$G,5,FALSE))</f>
        <v/>
      </c>
      <c r="P504" s="50" t="str">
        <f>IF(B504="","",VLOOKUP(B504,'Product Master'!$B:$I,7,FALSE))</f>
        <v/>
      </c>
      <c r="Q504" s="158"/>
      <c r="R504" s="58" t="str">
        <f t="shared" si="7"/>
        <v/>
      </c>
      <c r="S504" s="25"/>
      <c r="T504" s="25"/>
      <c r="U504" s="25"/>
      <c r="V504" s="25"/>
      <c r="W504" s="25"/>
      <c r="X504" s="25"/>
    </row>
    <row r="505" spans="1:24" x14ac:dyDescent="0.25">
      <c r="A505" s="31" t="s">
        <v>1065</v>
      </c>
      <c r="B505" s="32"/>
      <c r="C505" s="50" t="str">
        <f>IF(B505="","",VLOOKUP(B505,'Product Master'!$B:$G,2,FALSE))</f>
        <v/>
      </c>
      <c r="D505" s="50" t="str">
        <f>IF(B505="","",VLOOKUP(B505,'Product Master'!$B:$G,3,FALSE))</f>
        <v/>
      </c>
      <c r="E505" s="50"/>
      <c r="F505" s="50">
        <f>SUMIF('Stock Purchase'!$D:$D,B505,'Stock Purchase'!$F:$F)</f>
        <v>0</v>
      </c>
      <c r="G505" s="50">
        <f>SUMIFS('Stock Adjustment'!$E:$E,'Stock Adjustment'!$B:$B,$A505,'Stock Adjustment'!$D:$D,"Customer Returned")</f>
        <v>0</v>
      </c>
      <c r="H505" s="50">
        <f>SUMIF('Daily Sales Entry'!$D:$D,B505,'Daily Sales Entry'!$G:$G)</f>
        <v>0</v>
      </c>
      <c r="I505" s="50">
        <f>SUMIFS('Stock Adjustment'!$E:$E,'Stock Adjustment'!$B:$B,$A505,'Stock Adjustment'!$D:$D,"Staff Consumption")</f>
        <v>0</v>
      </c>
      <c r="J505" s="50">
        <f>SUMIFS('Stock Adjustment'!$E:$E,'Stock Adjustment'!$B:$B,$A505,'Stock Adjustment'!$D:$D,"Damaged")</f>
        <v>0</v>
      </c>
      <c r="K505" s="50">
        <f>SUMIFS('Stock Adjustment'!$E:$E,'Stock Adjustment'!$B:$B,$A505,'Stock Adjustment'!$D:$D,"Expired")</f>
        <v>0</v>
      </c>
      <c r="L505" s="50">
        <f>SUMIFS('Stock Adjustment'!$E:$E,'Stock Adjustment'!$B:$B,$A505,'Stock Adjustment'!$D:$D,"Supplier Returned")</f>
        <v>0</v>
      </c>
      <c r="M5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5" s="53" t="str">
        <f>IF(B505="","",VLOOKUP(B505,'Product Master'!$B:$G,4,FALSE))</f>
        <v/>
      </c>
      <c r="O505" s="53" t="str">
        <f>IF(B505="","",VLOOKUP(B505,'Product Master'!$B:$G,5,FALSE))</f>
        <v/>
      </c>
      <c r="P505" s="50" t="str">
        <f>IF(B505="","",VLOOKUP(B505,'Product Master'!$B:$I,7,FALSE))</f>
        <v/>
      </c>
      <c r="Q505" s="158"/>
      <c r="R505" s="58" t="str">
        <f t="shared" si="7"/>
        <v/>
      </c>
      <c r="S505" s="25"/>
      <c r="T505" s="25"/>
      <c r="U505" s="25"/>
      <c r="V505" s="25"/>
      <c r="W505" s="25"/>
      <c r="X505" s="25"/>
    </row>
    <row r="506" spans="1:24" x14ac:dyDescent="0.25">
      <c r="A506" s="31" t="s">
        <v>1066</v>
      </c>
      <c r="B506" s="32"/>
      <c r="C506" s="50" t="str">
        <f>IF(B506="","",VLOOKUP(B506,'Product Master'!$B:$G,2,FALSE))</f>
        <v/>
      </c>
      <c r="D506" s="50" t="str">
        <f>IF(B506="","",VLOOKUP(B506,'Product Master'!$B:$G,3,FALSE))</f>
        <v/>
      </c>
      <c r="E506" s="50"/>
      <c r="F506" s="50">
        <f>SUMIF('Stock Purchase'!$D:$D,B506,'Stock Purchase'!$F:$F)</f>
        <v>0</v>
      </c>
      <c r="G506" s="50">
        <f>SUMIFS('Stock Adjustment'!$E:$E,'Stock Adjustment'!$B:$B,$A506,'Stock Adjustment'!$D:$D,"Customer Returned")</f>
        <v>0</v>
      </c>
      <c r="H506" s="50">
        <f>SUMIF('Daily Sales Entry'!$D:$D,B506,'Daily Sales Entry'!$G:$G)</f>
        <v>0</v>
      </c>
      <c r="I506" s="50">
        <f>SUMIFS('Stock Adjustment'!$E:$E,'Stock Adjustment'!$B:$B,$A506,'Stock Adjustment'!$D:$D,"Staff Consumption")</f>
        <v>0</v>
      </c>
      <c r="J506" s="50">
        <f>SUMIFS('Stock Adjustment'!$E:$E,'Stock Adjustment'!$B:$B,$A506,'Stock Adjustment'!$D:$D,"Damaged")</f>
        <v>0</v>
      </c>
      <c r="K506" s="50">
        <f>SUMIFS('Stock Adjustment'!$E:$E,'Stock Adjustment'!$B:$B,$A506,'Stock Adjustment'!$D:$D,"Expired")</f>
        <v>0</v>
      </c>
      <c r="L506" s="50">
        <f>SUMIFS('Stock Adjustment'!$E:$E,'Stock Adjustment'!$B:$B,$A506,'Stock Adjustment'!$D:$D,"Supplier Returned")</f>
        <v>0</v>
      </c>
      <c r="M5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6" s="53" t="str">
        <f>IF(B506="","",VLOOKUP(B506,'Product Master'!$B:$G,4,FALSE))</f>
        <v/>
      </c>
      <c r="O506" s="53" t="str">
        <f>IF(B506="","",VLOOKUP(B506,'Product Master'!$B:$G,5,FALSE))</f>
        <v/>
      </c>
      <c r="P506" s="50" t="str">
        <f>IF(B506="","",VLOOKUP(B506,'Product Master'!$B:$I,7,FALSE))</f>
        <v/>
      </c>
      <c r="Q506" s="158"/>
      <c r="R506" s="58" t="str">
        <f t="shared" si="7"/>
        <v/>
      </c>
      <c r="S506" s="25"/>
      <c r="T506" s="25"/>
      <c r="U506" s="25"/>
      <c r="V506" s="25"/>
      <c r="W506" s="25"/>
      <c r="X506" s="25"/>
    </row>
    <row r="507" spans="1:24" x14ac:dyDescent="0.25">
      <c r="A507" s="31" t="s">
        <v>1067</v>
      </c>
      <c r="B507" s="32"/>
      <c r="C507" s="50" t="str">
        <f>IF(B507="","",VLOOKUP(B507,'Product Master'!$B:$G,2,FALSE))</f>
        <v/>
      </c>
      <c r="D507" s="50" t="str">
        <f>IF(B507="","",VLOOKUP(B507,'Product Master'!$B:$G,3,FALSE))</f>
        <v/>
      </c>
      <c r="E507" s="50"/>
      <c r="F507" s="50">
        <f>SUMIF('Stock Purchase'!$D:$D,B507,'Stock Purchase'!$F:$F)</f>
        <v>0</v>
      </c>
      <c r="G507" s="50">
        <f>SUMIFS('Stock Adjustment'!$E:$E,'Stock Adjustment'!$B:$B,$A507,'Stock Adjustment'!$D:$D,"Customer Returned")</f>
        <v>0</v>
      </c>
      <c r="H507" s="50">
        <f>SUMIF('Daily Sales Entry'!$D:$D,B507,'Daily Sales Entry'!$G:$G)</f>
        <v>0</v>
      </c>
      <c r="I507" s="50">
        <f>SUMIFS('Stock Adjustment'!$E:$E,'Stock Adjustment'!$B:$B,$A507,'Stock Adjustment'!$D:$D,"Staff Consumption")</f>
        <v>0</v>
      </c>
      <c r="J507" s="50">
        <f>SUMIFS('Stock Adjustment'!$E:$E,'Stock Adjustment'!$B:$B,$A507,'Stock Adjustment'!$D:$D,"Damaged")</f>
        <v>0</v>
      </c>
      <c r="K507" s="50">
        <f>SUMIFS('Stock Adjustment'!$E:$E,'Stock Adjustment'!$B:$B,$A507,'Stock Adjustment'!$D:$D,"Expired")</f>
        <v>0</v>
      </c>
      <c r="L507" s="50">
        <f>SUMIFS('Stock Adjustment'!$E:$E,'Stock Adjustment'!$B:$B,$A507,'Stock Adjustment'!$D:$D,"Supplier Returned")</f>
        <v>0</v>
      </c>
      <c r="M5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7" s="53" t="str">
        <f>IF(B507="","",VLOOKUP(B507,'Product Master'!$B:$G,4,FALSE))</f>
        <v/>
      </c>
      <c r="O507" s="53" t="str">
        <f>IF(B507="","",VLOOKUP(B507,'Product Master'!$B:$G,5,FALSE))</f>
        <v/>
      </c>
      <c r="P507" s="50" t="str">
        <f>IF(B507="","",VLOOKUP(B507,'Product Master'!$B:$I,7,FALSE))</f>
        <v/>
      </c>
      <c r="Q507" s="158"/>
      <c r="R507" s="58" t="str">
        <f t="shared" si="7"/>
        <v/>
      </c>
      <c r="S507" s="25"/>
      <c r="T507" s="25"/>
      <c r="U507" s="25"/>
      <c r="V507" s="25"/>
      <c r="W507" s="25"/>
      <c r="X507" s="25"/>
    </row>
    <row r="508" spans="1:24" x14ac:dyDescent="0.25">
      <c r="A508" s="31" t="s">
        <v>1068</v>
      </c>
      <c r="B508" s="32"/>
      <c r="C508" s="50" t="str">
        <f>IF(B508="","",VLOOKUP(B508,'Product Master'!$B:$G,2,FALSE))</f>
        <v/>
      </c>
      <c r="D508" s="50" t="str">
        <f>IF(B508="","",VLOOKUP(B508,'Product Master'!$B:$G,3,FALSE))</f>
        <v/>
      </c>
      <c r="E508" s="50"/>
      <c r="F508" s="50">
        <f>SUMIF('Stock Purchase'!$D:$D,B508,'Stock Purchase'!$F:$F)</f>
        <v>0</v>
      </c>
      <c r="G508" s="50">
        <f>SUMIFS('Stock Adjustment'!$E:$E,'Stock Adjustment'!$B:$B,$A508,'Stock Adjustment'!$D:$D,"Customer Returned")</f>
        <v>0</v>
      </c>
      <c r="H508" s="50">
        <f>SUMIF('Daily Sales Entry'!$D:$D,B508,'Daily Sales Entry'!$G:$G)</f>
        <v>0</v>
      </c>
      <c r="I508" s="50">
        <f>SUMIFS('Stock Adjustment'!$E:$E,'Stock Adjustment'!$B:$B,$A508,'Stock Adjustment'!$D:$D,"Staff Consumption")</f>
        <v>0</v>
      </c>
      <c r="J508" s="50">
        <f>SUMIFS('Stock Adjustment'!$E:$E,'Stock Adjustment'!$B:$B,$A508,'Stock Adjustment'!$D:$D,"Damaged")</f>
        <v>0</v>
      </c>
      <c r="K508" s="50">
        <f>SUMIFS('Stock Adjustment'!$E:$E,'Stock Adjustment'!$B:$B,$A508,'Stock Adjustment'!$D:$D,"Expired")</f>
        <v>0</v>
      </c>
      <c r="L508" s="50">
        <f>SUMIFS('Stock Adjustment'!$E:$E,'Stock Adjustment'!$B:$B,$A508,'Stock Adjustment'!$D:$D,"Supplier Returned")</f>
        <v>0</v>
      </c>
      <c r="M5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8" s="53" t="str">
        <f>IF(B508="","",VLOOKUP(B508,'Product Master'!$B:$G,4,FALSE))</f>
        <v/>
      </c>
      <c r="O508" s="53" t="str">
        <f>IF(B508="","",VLOOKUP(B508,'Product Master'!$B:$G,5,FALSE))</f>
        <v/>
      </c>
      <c r="P508" s="50" t="str">
        <f>IF(B508="","",VLOOKUP(B508,'Product Master'!$B:$I,7,FALSE))</f>
        <v/>
      </c>
      <c r="Q508" s="158"/>
      <c r="R508" s="58" t="str">
        <f t="shared" si="7"/>
        <v/>
      </c>
      <c r="S508" s="25"/>
      <c r="T508" s="25"/>
      <c r="U508" s="25"/>
      <c r="V508" s="25"/>
      <c r="W508" s="25"/>
      <c r="X508" s="25"/>
    </row>
    <row r="509" spans="1:24" x14ac:dyDescent="0.25">
      <c r="A509" s="31" t="s">
        <v>1069</v>
      </c>
      <c r="B509" s="32"/>
      <c r="C509" s="50" t="str">
        <f>IF(B509="","",VLOOKUP(B509,'Product Master'!$B:$G,2,FALSE))</f>
        <v/>
      </c>
      <c r="D509" s="50" t="str">
        <f>IF(B509="","",VLOOKUP(B509,'Product Master'!$B:$G,3,FALSE))</f>
        <v/>
      </c>
      <c r="E509" s="50"/>
      <c r="F509" s="50">
        <f>SUMIF('Stock Purchase'!$D:$D,B509,'Stock Purchase'!$F:$F)</f>
        <v>0</v>
      </c>
      <c r="G509" s="50">
        <f>SUMIFS('Stock Adjustment'!$E:$E,'Stock Adjustment'!$B:$B,$A509,'Stock Adjustment'!$D:$D,"Customer Returned")</f>
        <v>0</v>
      </c>
      <c r="H509" s="50">
        <f>SUMIF('Daily Sales Entry'!$D:$D,B509,'Daily Sales Entry'!$G:$G)</f>
        <v>0</v>
      </c>
      <c r="I509" s="50">
        <f>SUMIFS('Stock Adjustment'!$E:$E,'Stock Adjustment'!$B:$B,$A509,'Stock Adjustment'!$D:$D,"Staff Consumption")</f>
        <v>0</v>
      </c>
      <c r="J509" s="50">
        <f>SUMIFS('Stock Adjustment'!$E:$E,'Stock Adjustment'!$B:$B,$A509,'Stock Adjustment'!$D:$D,"Damaged")</f>
        <v>0</v>
      </c>
      <c r="K509" s="50">
        <f>SUMIFS('Stock Adjustment'!$E:$E,'Stock Adjustment'!$B:$B,$A509,'Stock Adjustment'!$D:$D,"Expired")</f>
        <v>0</v>
      </c>
      <c r="L509" s="50">
        <f>SUMIFS('Stock Adjustment'!$E:$E,'Stock Adjustment'!$B:$B,$A509,'Stock Adjustment'!$D:$D,"Supplier Returned")</f>
        <v>0</v>
      </c>
      <c r="M5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09" s="53" t="str">
        <f>IF(B509="","",VLOOKUP(B509,'Product Master'!$B:$G,4,FALSE))</f>
        <v/>
      </c>
      <c r="O509" s="53" t="str">
        <f>IF(B509="","",VLOOKUP(B509,'Product Master'!$B:$G,5,FALSE))</f>
        <v/>
      </c>
      <c r="P509" s="50" t="str">
        <f>IF(B509="","",VLOOKUP(B509,'Product Master'!$B:$I,7,FALSE))</f>
        <v/>
      </c>
      <c r="Q509" s="158"/>
      <c r="R509" s="58" t="str">
        <f t="shared" si="7"/>
        <v/>
      </c>
      <c r="S509" s="25"/>
      <c r="T509" s="25"/>
      <c r="U509" s="25"/>
      <c r="V509" s="25"/>
      <c r="W509" s="25"/>
      <c r="X509" s="25"/>
    </row>
    <row r="510" spans="1:24" x14ac:dyDescent="0.25">
      <c r="A510" s="31" t="s">
        <v>1070</v>
      </c>
      <c r="B510" s="32"/>
      <c r="C510" s="50" t="str">
        <f>IF(B510="","",VLOOKUP(B510,'Product Master'!$B:$G,2,FALSE))</f>
        <v/>
      </c>
      <c r="D510" s="50" t="str">
        <f>IF(B510="","",VLOOKUP(B510,'Product Master'!$B:$G,3,FALSE))</f>
        <v/>
      </c>
      <c r="E510" s="50"/>
      <c r="F510" s="50">
        <f>SUMIF('Stock Purchase'!$D:$D,B510,'Stock Purchase'!$F:$F)</f>
        <v>0</v>
      </c>
      <c r="G510" s="50">
        <f>SUMIFS('Stock Adjustment'!$E:$E,'Stock Adjustment'!$B:$B,$A510,'Stock Adjustment'!$D:$D,"Customer Returned")</f>
        <v>0</v>
      </c>
      <c r="H510" s="50">
        <f>SUMIF('Daily Sales Entry'!$D:$D,B510,'Daily Sales Entry'!$G:$G)</f>
        <v>0</v>
      </c>
      <c r="I510" s="50">
        <f>SUMIFS('Stock Adjustment'!$E:$E,'Stock Adjustment'!$B:$B,$A510,'Stock Adjustment'!$D:$D,"Staff Consumption")</f>
        <v>0</v>
      </c>
      <c r="J510" s="50">
        <f>SUMIFS('Stock Adjustment'!$E:$E,'Stock Adjustment'!$B:$B,$A510,'Stock Adjustment'!$D:$D,"Damaged")</f>
        <v>0</v>
      </c>
      <c r="K510" s="50">
        <f>SUMIFS('Stock Adjustment'!$E:$E,'Stock Adjustment'!$B:$B,$A510,'Stock Adjustment'!$D:$D,"Expired")</f>
        <v>0</v>
      </c>
      <c r="L510" s="50">
        <f>SUMIFS('Stock Adjustment'!$E:$E,'Stock Adjustment'!$B:$B,$A510,'Stock Adjustment'!$D:$D,"Supplier Returned")</f>
        <v>0</v>
      </c>
      <c r="M5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0" s="53" t="str">
        <f>IF(B510="","",VLOOKUP(B510,'Product Master'!$B:$G,4,FALSE))</f>
        <v/>
      </c>
      <c r="O510" s="53" t="str">
        <f>IF(B510="","",VLOOKUP(B510,'Product Master'!$B:$G,5,FALSE))</f>
        <v/>
      </c>
      <c r="P510" s="50" t="str">
        <f>IF(B510="","",VLOOKUP(B510,'Product Master'!$B:$I,7,FALSE))</f>
        <v/>
      </c>
      <c r="Q510" s="158"/>
      <c r="R510" s="58" t="str">
        <f t="shared" si="7"/>
        <v/>
      </c>
      <c r="S510" s="25"/>
      <c r="T510" s="25"/>
      <c r="U510" s="25"/>
      <c r="V510" s="25"/>
      <c r="W510" s="25"/>
      <c r="X510" s="25"/>
    </row>
    <row r="511" spans="1:24" x14ac:dyDescent="0.25">
      <c r="A511" s="31" t="s">
        <v>1071</v>
      </c>
      <c r="B511" s="32"/>
      <c r="C511" s="50" t="str">
        <f>IF(B511="","",VLOOKUP(B511,'Product Master'!$B:$G,2,FALSE))</f>
        <v/>
      </c>
      <c r="D511" s="50" t="str">
        <f>IF(B511="","",VLOOKUP(B511,'Product Master'!$B:$G,3,FALSE))</f>
        <v/>
      </c>
      <c r="E511" s="50"/>
      <c r="F511" s="50">
        <f>SUMIF('Stock Purchase'!$D:$D,B511,'Stock Purchase'!$F:$F)</f>
        <v>0</v>
      </c>
      <c r="G511" s="50">
        <f>SUMIFS('Stock Adjustment'!$E:$E,'Stock Adjustment'!$B:$B,$A511,'Stock Adjustment'!$D:$D,"Customer Returned")</f>
        <v>0</v>
      </c>
      <c r="H511" s="50">
        <f>SUMIF('Daily Sales Entry'!$D:$D,B511,'Daily Sales Entry'!$G:$G)</f>
        <v>0</v>
      </c>
      <c r="I511" s="50">
        <f>SUMIFS('Stock Adjustment'!$E:$E,'Stock Adjustment'!$B:$B,$A511,'Stock Adjustment'!$D:$D,"Staff Consumption")</f>
        <v>0</v>
      </c>
      <c r="J511" s="50">
        <f>SUMIFS('Stock Adjustment'!$E:$E,'Stock Adjustment'!$B:$B,$A511,'Stock Adjustment'!$D:$D,"Damaged")</f>
        <v>0</v>
      </c>
      <c r="K511" s="50">
        <f>SUMIFS('Stock Adjustment'!$E:$E,'Stock Adjustment'!$B:$B,$A511,'Stock Adjustment'!$D:$D,"Expired")</f>
        <v>0</v>
      </c>
      <c r="L511" s="50">
        <f>SUMIFS('Stock Adjustment'!$E:$E,'Stock Adjustment'!$B:$B,$A511,'Stock Adjustment'!$D:$D,"Supplier Returned")</f>
        <v>0</v>
      </c>
      <c r="M5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1" s="53" t="str">
        <f>IF(B511="","",VLOOKUP(B511,'Product Master'!$B:$G,4,FALSE))</f>
        <v/>
      </c>
      <c r="O511" s="53" t="str">
        <f>IF(B511="","",VLOOKUP(B511,'Product Master'!$B:$G,5,FALSE))</f>
        <v/>
      </c>
      <c r="P511" s="50" t="str">
        <f>IF(B511="","",VLOOKUP(B511,'Product Master'!$B:$I,7,FALSE))</f>
        <v/>
      </c>
      <c r="Q511" s="158"/>
      <c r="R511" s="58" t="str">
        <f t="shared" si="7"/>
        <v/>
      </c>
      <c r="S511" s="25"/>
      <c r="T511" s="25"/>
      <c r="U511" s="25"/>
      <c r="V511" s="25"/>
      <c r="W511" s="25"/>
      <c r="X511" s="25"/>
    </row>
    <row r="512" spans="1:24" x14ac:dyDescent="0.25">
      <c r="A512" s="31" t="s">
        <v>1072</v>
      </c>
      <c r="B512" s="32"/>
      <c r="C512" s="50" t="str">
        <f>IF(B512="","",VLOOKUP(B512,'Product Master'!$B:$G,2,FALSE))</f>
        <v/>
      </c>
      <c r="D512" s="50" t="str">
        <f>IF(B512="","",VLOOKUP(B512,'Product Master'!$B:$G,3,FALSE))</f>
        <v/>
      </c>
      <c r="E512" s="50"/>
      <c r="F512" s="50">
        <f>SUMIF('Stock Purchase'!$D:$D,B512,'Stock Purchase'!$F:$F)</f>
        <v>0</v>
      </c>
      <c r="G512" s="50">
        <f>SUMIFS('Stock Adjustment'!$E:$E,'Stock Adjustment'!$B:$B,$A512,'Stock Adjustment'!$D:$D,"Customer Returned")</f>
        <v>0</v>
      </c>
      <c r="H512" s="50">
        <f>SUMIF('Daily Sales Entry'!$D:$D,B512,'Daily Sales Entry'!$G:$G)</f>
        <v>0</v>
      </c>
      <c r="I512" s="50">
        <f>SUMIFS('Stock Adjustment'!$E:$E,'Stock Adjustment'!$B:$B,$A512,'Stock Adjustment'!$D:$D,"Staff Consumption")</f>
        <v>0</v>
      </c>
      <c r="J512" s="50">
        <f>SUMIFS('Stock Adjustment'!$E:$E,'Stock Adjustment'!$B:$B,$A512,'Stock Adjustment'!$D:$D,"Damaged")</f>
        <v>0</v>
      </c>
      <c r="K512" s="50">
        <f>SUMIFS('Stock Adjustment'!$E:$E,'Stock Adjustment'!$B:$B,$A512,'Stock Adjustment'!$D:$D,"Expired")</f>
        <v>0</v>
      </c>
      <c r="L512" s="50">
        <f>SUMIFS('Stock Adjustment'!$E:$E,'Stock Adjustment'!$B:$B,$A512,'Stock Adjustment'!$D:$D,"Supplier Returned")</f>
        <v>0</v>
      </c>
      <c r="M5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2" s="53" t="str">
        <f>IF(B512="","",VLOOKUP(B512,'Product Master'!$B:$G,4,FALSE))</f>
        <v/>
      </c>
      <c r="O512" s="53" t="str">
        <f>IF(B512="","",VLOOKUP(B512,'Product Master'!$B:$G,5,FALSE))</f>
        <v/>
      </c>
      <c r="P512" s="50" t="str">
        <f>IF(B512="","",VLOOKUP(B512,'Product Master'!$B:$I,7,FALSE))</f>
        <v/>
      </c>
      <c r="Q512" s="158"/>
      <c r="R512" s="58" t="str">
        <f t="shared" si="7"/>
        <v/>
      </c>
      <c r="S512" s="25"/>
      <c r="T512" s="25"/>
      <c r="U512" s="25"/>
      <c r="V512" s="25"/>
      <c r="W512" s="25"/>
      <c r="X512" s="25"/>
    </row>
    <row r="513" spans="1:24" x14ac:dyDescent="0.25">
      <c r="A513" s="31" t="s">
        <v>1073</v>
      </c>
      <c r="B513" s="32"/>
      <c r="C513" s="50" t="str">
        <f>IF(B513="","",VLOOKUP(B513,'Product Master'!$B:$G,2,FALSE))</f>
        <v/>
      </c>
      <c r="D513" s="50" t="str">
        <f>IF(B513="","",VLOOKUP(B513,'Product Master'!$B:$G,3,FALSE))</f>
        <v/>
      </c>
      <c r="E513" s="50"/>
      <c r="F513" s="50">
        <f>SUMIF('Stock Purchase'!$D:$D,B513,'Stock Purchase'!$F:$F)</f>
        <v>0</v>
      </c>
      <c r="G513" s="50">
        <f>SUMIFS('Stock Adjustment'!$E:$E,'Stock Adjustment'!$B:$B,$A513,'Stock Adjustment'!$D:$D,"Customer Returned")</f>
        <v>0</v>
      </c>
      <c r="H513" s="50">
        <f>SUMIF('Daily Sales Entry'!$D:$D,B513,'Daily Sales Entry'!$G:$G)</f>
        <v>0</v>
      </c>
      <c r="I513" s="50">
        <f>SUMIFS('Stock Adjustment'!$E:$E,'Stock Adjustment'!$B:$B,$A513,'Stock Adjustment'!$D:$D,"Staff Consumption")</f>
        <v>0</v>
      </c>
      <c r="J513" s="50">
        <f>SUMIFS('Stock Adjustment'!$E:$E,'Stock Adjustment'!$B:$B,$A513,'Stock Adjustment'!$D:$D,"Damaged")</f>
        <v>0</v>
      </c>
      <c r="K513" s="50">
        <f>SUMIFS('Stock Adjustment'!$E:$E,'Stock Adjustment'!$B:$B,$A513,'Stock Adjustment'!$D:$D,"Expired")</f>
        <v>0</v>
      </c>
      <c r="L513" s="50">
        <f>SUMIFS('Stock Adjustment'!$E:$E,'Stock Adjustment'!$B:$B,$A513,'Stock Adjustment'!$D:$D,"Supplier Returned")</f>
        <v>0</v>
      </c>
      <c r="M5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3" s="53" t="str">
        <f>IF(B513="","",VLOOKUP(B513,'Product Master'!$B:$G,4,FALSE))</f>
        <v/>
      </c>
      <c r="O513" s="53" t="str">
        <f>IF(B513="","",VLOOKUP(B513,'Product Master'!$B:$G,5,FALSE))</f>
        <v/>
      </c>
      <c r="P513" s="50" t="str">
        <f>IF(B513="","",VLOOKUP(B513,'Product Master'!$B:$I,7,FALSE))</f>
        <v/>
      </c>
      <c r="Q513" s="158"/>
      <c r="R513" s="58" t="str">
        <f t="shared" si="7"/>
        <v/>
      </c>
      <c r="S513" s="25"/>
      <c r="T513" s="25"/>
      <c r="U513" s="25"/>
      <c r="V513" s="25"/>
      <c r="W513" s="25"/>
      <c r="X513" s="25"/>
    </row>
    <row r="514" spans="1:24" x14ac:dyDescent="0.25">
      <c r="A514" s="31" t="s">
        <v>1074</v>
      </c>
      <c r="B514" s="32"/>
      <c r="C514" s="50" t="str">
        <f>IF(B514="","",VLOOKUP(B514,'Product Master'!$B:$G,2,FALSE))</f>
        <v/>
      </c>
      <c r="D514" s="50" t="str">
        <f>IF(B514="","",VLOOKUP(B514,'Product Master'!$B:$G,3,FALSE))</f>
        <v/>
      </c>
      <c r="E514" s="50"/>
      <c r="F514" s="50">
        <f>SUMIF('Stock Purchase'!$D:$D,B514,'Stock Purchase'!$F:$F)</f>
        <v>0</v>
      </c>
      <c r="G514" s="50">
        <f>SUMIFS('Stock Adjustment'!$E:$E,'Stock Adjustment'!$B:$B,$A514,'Stock Adjustment'!$D:$D,"Customer Returned")</f>
        <v>0</v>
      </c>
      <c r="H514" s="50">
        <f>SUMIF('Daily Sales Entry'!$D:$D,B514,'Daily Sales Entry'!$G:$G)</f>
        <v>0</v>
      </c>
      <c r="I514" s="50">
        <f>SUMIFS('Stock Adjustment'!$E:$E,'Stock Adjustment'!$B:$B,$A514,'Stock Adjustment'!$D:$D,"Staff Consumption")</f>
        <v>0</v>
      </c>
      <c r="J514" s="50">
        <f>SUMIFS('Stock Adjustment'!$E:$E,'Stock Adjustment'!$B:$B,$A514,'Stock Adjustment'!$D:$D,"Damaged")</f>
        <v>0</v>
      </c>
      <c r="K514" s="50">
        <f>SUMIFS('Stock Adjustment'!$E:$E,'Stock Adjustment'!$B:$B,$A514,'Stock Adjustment'!$D:$D,"Expired")</f>
        <v>0</v>
      </c>
      <c r="L514" s="50">
        <f>SUMIFS('Stock Adjustment'!$E:$E,'Stock Adjustment'!$B:$B,$A514,'Stock Adjustment'!$D:$D,"Supplier Returned")</f>
        <v>0</v>
      </c>
      <c r="M5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4" s="53" t="str">
        <f>IF(B514="","",VLOOKUP(B514,'Product Master'!$B:$G,4,FALSE))</f>
        <v/>
      </c>
      <c r="O514" s="53" t="str">
        <f>IF(B514="","",VLOOKUP(B514,'Product Master'!$B:$G,5,FALSE))</f>
        <v/>
      </c>
      <c r="P514" s="50" t="str">
        <f>IF(B514="","",VLOOKUP(B514,'Product Master'!$B:$I,7,FALSE))</f>
        <v/>
      </c>
      <c r="Q514" s="158"/>
      <c r="R514" s="58" t="str">
        <f t="shared" ref="R514:R577" si="8">IF(B514="","",IF(M514=0,"Out of Stock",IF(M514&lt;=10,"Low Stock","In Stock")))</f>
        <v/>
      </c>
      <c r="S514" s="25"/>
      <c r="T514" s="25"/>
      <c r="U514" s="25"/>
      <c r="V514" s="25"/>
      <c r="W514" s="25"/>
      <c r="X514" s="25"/>
    </row>
    <row r="515" spans="1:24" x14ac:dyDescent="0.25">
      <c r="A515" s="31" t="s">
        <v>1075</v>
      </c>
      <c r="B515" s="32"/>
      <c r="C515" s="50" t="str">
        <f>IF(B515="","",VLOOKUP(B515,'Product Master'!$B:$G,2,FALSE))</f>
        <v/>
      </c>
      <c r="D515" s="50" t="str">
        <f>IF(B515="","",VLOOKUP(B515,'Product Master'!$B:$G,3,FALSE))</f>
        <v/>
      </c>
      <c r="E515" s="50"/>
      <c r="F515" s="50">
        <f>SUMIF('Stock Purchase'!$D:$D,B515,'Stock Purchase'!$F:$F)</f>
        <v>0</v>
      </c>
      <c r="G515" s="50">
        <f>SUMIFS('Stock Adjustment'!$E:$E,'Stock Adjustment'!$B:$B,$A515,'Stock Adjustment'!$D:$D,"Customer Returned")</f>
        <v>0</v>
      </c>
      <c r="H515" s="50">
        <f>SUMIF('Daily Sales Entry'!$D:$D,B515,'Daily Sales Entry'!$G:$G)</f>
        <v>0</v>
      </c>
      <c r="I515" s="50">
        <f>SUMIFS('Stock Adjustment'!$E:$E,'Stock Adjustment'!$B:$B,$A515,'Stock Adjustment'!$D:$D,"Staff Consumption")</f>
        <v>0</v>
      </c>
      <c r="J515" s="50">
        <f>SUMIFS('Stock Adjustment'!$E:$E,'Stock Adjustment'!$B:$B,$A515,'Stock Adjustment'!$D:$D,"Damaged")</f>
        <v>0</v>
      </c>
      <c r="K515" s="50">
        <f>SUMIFS('Stock Adjustment'!$E:$E,'Stock Adjustment'!$B:$B,$A515,'Stock Adjustment'!$D:$D,"Expired")</f>
        <v>0</v>
      </c>
      <c r="L515" s="50">
        <f>SUMIFS('Stock Adjustment'!$E:$E,'Stock Adjustment'!$B:$B,$A515,'Stock Adjustment'!$D:$D,"Supplier Returned")</f>
        <v>0</v>
      </c>
      <c r="M5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5" s="53" t="str">
        <f>IF(B515="","",VLOOKUP(B515,'Product Master'!$B:$G,4,FALSE))</f>
        <v/>
      </c>
      <c r="O515" s="53" t="str">
        <f>IF(B515="","",VLOOKUP(B515,'Product Master'!$B:$G,5,FALSE))</f>
        <v/>
      </c>
      <c r="P515" s="50" t="str">
        <f>IF(B515="","",VLOOKUP(B515,'Product Master'!$B:$I,7,FALSE))</f>
        <v/>
      </c>
      <c r="Q515" s="158"/>
      <c r="R515" s="58" t="str">
        <f t="shared" si="8"/>
        <v/>
      </c>
      <c r="S515" s="25"/>
      <c r="T515" s="25"/>
      <c r="U515" s="25"/>
      <c r="V515" s="25"/>
      <c r="W515" s="25"/>
      <c r="X515" s="25"/>
    </row>
    <row r="516" spans="1:24" x14ac:dyDescent="0.25">
      <c r="A516" s="31" t="s">
        <v>1076</v>
      </c>
      <c r="B516" s="32"/>
      <c r="C516" s="50" t="str">
        <f>IF(B516="","",VLOOKUP(B516,'Product Master'!$B:$G,2,FALSE))</f>
        <v/>
      </c>
      <c r="D516" s="50" t="str">
        <f>IF(B516="","",VLOOKUP(B516,'Product Master'!$B:$G,3,FALSE))</f>
        <v/>
      </c>
      <c r="E516" s="50"/>
      <c r="F516" s="50">
        <f>SUMIF('Stock Purchase'!$D:$D,B516,'Stock Purchase'!$F:$F)</f>
        <v>0</v>
      </c>
      <c r="G516" s="50">
        <f>SUMIFS('Stock Adjustment'!$E:$E,'Stock Adjustment'!$B:$B,$A516,'Stock Adjustment'!$D:$D,"Customer Returned")</f>
        <v>0</v>
      </c>
      <c r="H516" s="50">
        <f>SUMIF('Daily Sales Entry'!$D:$D,B516,'Daily Sales Entry'!$G:$G)</f>
        <v>0</v>
      </c>
      <c r="I516" s="50">
        <f>SUMIFS('Stock Adjustment'!$E:$E,'Stock Adjustment'!$B:$B,$A516,'Stock Adjustment'!$D:$D,"Staff Consumption")</f>
        <v>0</v>
      </c>
      <c r="J516" s="50">
        <f>SUMIFS('Stock Adjustment'!$E:$E,'Stock Adjustment'!$B:$B,$A516,'Stock Adjustment'!$D:$D,"Damaged")</f>
        <v>0</v>
      </c>
      <c r="K516" s="50">
        <f>SUMIFS('Stock Adjustment'!$E:$E,'Stock Adjustment'!$B:$B,$A516,'Stock Adjustment'!$D:$D,"Expired")</f>
        <v>0</v>
      </c>
      <c r="L516" s="50">
        <f>SUMIFS('Stock Adjustment'!$E:$E,'Stock Adjustment'!$B:$B,$A516,'Stock Adjustment'!$D:$D,"Supplier Returned")</f>
        <v>0</v>
      </c>
      <c r="M5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6" s="53" t="str">
        <f>IF(B516="","",VLOOKUP(B516,'Product Master'!$B:$G,4,FALSE))</f>
        <v/>
      </c>
      <c r="O516" s="53" t="str">
        <f>IF(B516="","",VLOOKUP(B516,'Product Master'!$B:$G,5,FALSE))</f>
        <v/>
      </c>
      <c r="P516" s="50" t="str">
        <f>IF(B516="","",VLOOKUP(B516,'Product Master'!$B:$I,7,FALSE))</f>
        <v/>
      </c>
      <c r="Q516" s="158"/>
      <c r="R516" s="58" t="str">
        <f t="shared" si="8"/>
        <v/>
      </c>
      <c r="S516" s="25"/>
      <c r="T516" s="25"/>
      <c r="U516" s="25"/>
      <c r="V516" s="25"/>
      <c r="W516" s="25"/>
      <c r="X516" s="25"/>
    </row>
    <row r="517" spans="1:24" x14ac:dyDescent="0.25">
      <c r="A517" s="31" t="s">
        <v>1077</v>
      </c>
      <c r="B517" s="32"/>
      <c r="C517" s="50" t="str">
        <f>IF(B517="","",VLOOKUP(B517,'Product Master'!$B:$G,2,FALSE))</f>
        <v/>
      </c>
      <c r="D517" s="50" t="str">
        <f>IF(B517="","",VLOOKUP(B517,'Product Master'!$B:$G,3,FALSE))</f>
        <v/>
      </c>
      <c r="E517" s="50"/>
      <c r="F517" s="50">
        <f>SUMIF('Stock Purchase'!$D:$D,B517,'Stock Purchase'!$F:$F)</f>
        <v>0</v>
      </c>
      <c r="G517" s="50">
        <f>SUMIFS('Stock Adjustment'!$E:$E,'Stock Adjustment'!$B:$B,$A517,'Stock Adjustment'!$D:$D,"Customer Returned")</f>
        <v>0</v>
      </c>
      <c r="H517" s="50">
        <f>SUMIF('Daily Sales Entry'!$D:$D,B517,'Daily Sales Entry'!$G:$G)</f>
        <v>0</v>
      </c>
      <c r="I517" s="50">
        <f>SUMIFS('Stock Adjustment'!$E:$E,'Stock Adjustment'!$B:$B,$A517,'Stock Adjustment'!$D:$D,"Staff Consumption")</f>
        <v>0</v>
      </c>
      <c r="J517" s="50">
        <f>SUMIFS('Stock Adjustment'!$E:$E,'Stock Adjustment'!$B:$B,$A517,'Stock Adjustment'!$D:$D,"Damaged")</f>
        <v>0</v>
      </c>
      <c r="K517" s="50">
        <f>SUMIFS('Stock Adjustment'!$E:$E,'Stock Adjustment'!$B:$B,$A517,'Stock Adjustment'!$D:$D,"Expired")</f>
        <v>0</v>
      </c>
      <c r="L517" s="50">
        <f>SUMIFS('Stock Adjustment'!$E:$E,'Stock Adjustment'!$B:$B,$A517,'Stock Adjustment'!$D:$D,"Supplier Returned")</f>
        <v>0</v>
      </c>
      <c r="M5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7" s="53" t="str">
        <f>IF(B517="","",VLOOKUP(B517,'Product Master'!$B:$G,4,FALSE))</f>
        <v/>
      </c>
      <c r="O517" s="53" t="str">
        <f>IF(B517="","",VLOOKUP(B517,'Product Master'!$B:$G,5,FALSE))</f>
        <v/>
      </c>
      <c r="P517" s="50" t="str">
        <f>IF(B517="","",VLOOKUP(B517,'Product Master'!$B:$I,7,FALSE))</f>
        <v/>
      </c>
      <c r="Q517" s="158"/>
      <c r="R517" s="58" t="str">
        <f t="shared" si="8"/>
        <v/>
      </c>
      <c r="S517" s="25"/>
      <c r="T517" s="25"/>
      <c r="U517" s="25"/>
      <c r="V517" s="25"/>
      <c r="W517" s="25"/>
      <c r="X517" s="25"/>
    </row>
    <row r="518" spans="1:24" x14ac:dyDescent="0.25">
      <c r="A518" s="31" t="s">
        <v>1078</v>
      </c>
      <c r="B518" s="32"/>
      <c r="C518" s="50" t="str">
        <f>IF(B518="","",VLOOKUP(B518,'Product Master'!$B:$G,2,FALSE))</f>
        <v/>
      </c>
      <c r="D518" s="50" t="str">
        <f>IF(B518="","",VLOOKUP(B518,'Product Master'!$B:$G,3,FALSE))</f>
        <v/>
      </c>
      <c r="E518" s="50"/>
      <c r="F518" s="50">
        <f>SUMIF('Stock Purchase'!$D:$D,B518,'Stock Purchase'!$F:$F)</f>
        <v>0</v>
      </c>
      <c r="G518" s="50">
        <f>SUMIFS('Stock Adjustment'!$E:$E,'Stock Adjustment'!$B:$B,$A518,'Stock Adjustment'!$D:$D,"Customer Returned")</f>
        <v>0</v>
      </c>
      <c r="H518" s="50">
        <f>SUMIF('Daily Sales Entry'!$D:$D,B518,'Daily Sales Entry'!$G:$G)</f>
        <v>0</v>
      </c>
      <c r="I518" s="50">
        <f>SUMIFS('Stock Adjustment'!$E:$E,'Stock Adjustment'!$B:$B,$A518,'Stock Adjustment'!$D:$D,"Staff Consumption")</f>
        <v>0</v>
      </c>
      <c r="J518" s="50">
        <f>SUMIFS('Stock Adjustment'!$E:$E,'Stock Adjustment'!$B:$B,$A518,'Stock Adjustment'!$D:$D,"Damaged")</f>
        <v>0</v>
      </c>
      <c r="K518" s="50">
        <f>SUMIFS('Stock Adjustment'!$E:$E,'Stock Adjustment'!$B:$B,$A518,'Stock Adjustment'!$D:$D,"Expired")</f>
        <v>0</v>
      </c>
      <c r="L518" s="50">
        <f>SUMIFS('Stock Adjustment'!$E:$E,'Stock Adjustment'!$B:$B,$A518,'Stock Adjustment'!$D:$D,"Supplier Returned")</f>
        <v>0</v>
      </c>
      <c r="M5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8" s="53" t="str">
        <f>IF(B518="","",VLOOKUP(B518,'Product Master'!$B:$G,4,FALSE))</f>
        <v/>
      </c>
      <c r="O518" s="53" t="str">
        <f>IF(B518="","",VLOOKUP(B518,'Product Master'!$B:$G,5,FALSE))</f>
        <v/>
      </c>
      <c r="P518" s="50" t="str">
        <f>IF(B518="","",VLOOKUP(B518,'Product Master'!$B:$I,7,FALSE))</f>
        <v/>
      </c>
      <c r="Q518" s="158"/>
      <c r="R518" s="58" t="str">
        <f t="shared" si="8"/>
        <v/>
      </c>
      <c r="S518" s="25"/>
      <c r="T518" s="25"/>
      <c r="U518" s="25"/>
      <c r="V518" s="25"/>
      <c r="W518" s="25"/>
      <c r="X518" s="25"/>
    </row>
    <row r="519" spans="1:24" x14ac:dyDescent="0.25">
      <c r="A519" s="31" t="s">
        <v>1079</v>
      </c>
      <c r="B519" s="32"/>
      <c r="C519" s="50" t="str">
        <f>IF(B519="","",VLOOKUP(B519,'Product Master'!$B:$G,2,FALSE))</f>
        <v/>
      </c>
      <c r="D519" s="50" t="str">
        <f>IF(B519="","",VLOOKUP(B519,'Product Master'!$B:$G,3,FALSE))</f>
        <v/>
      </c>
      <c r="E519" s="50"/>
      <c r="F519" s="50">
        <f>SUMIF('Stock Purchase'!$D:$D,B519,'Stock Purchase'!$F:$F)</f>
        <v>0</v>
      </c>
      <c r="G519" s="50">
        <f>SUMIFS('Stock Adjustment'!$E:$E,'Stock Adjustment'!$B:$B,$A519,'Stock Adjustment'!$D:$D,"Customer Returned")</f>
        <v>0</v>
      </c>
      <c r="H519" s="50">
        <f>SUMIF('Daily Sales Entry'!$D:$D,B519,'Daily Sales Entry'!$G:$G)</f>
        <v>0</v>
      </c>
      <c r="I519" s="50">
        <f>SUMIFS('Stock Adjustment'!$E:$E,'Stock Adjustment'!$B:$B,$A519,'Stock Adjustment'!$D:$D,"Staff Consumption")</f>
        <v>0</v>
      </c>
      <c r="J519" s="50">
        <f>SUMIFS('Stock Adjustment'!$E:$E,'Stock Adjustment'!$B:$B,$A519,'Stock Adjustment'!$D:$D,"Damaged")</f>
        <v>0</v>
      </c>
      <c r="K519" s="50">
        <f>SUMIFS('Stock Adjustment'!$E:$E,'Stock Adjustment'!$B:$B,$A519,'Stock Adjustment'!$D:$D,"Expired")</f>
        <v>0</v>
      </c>
      <c r="L519" s="50">
        <f>SUMIFS('Stock Adjustment'!$E:$E,'Stock Adjustment'!$B:$B,$A519,'Stock Adjustment'!$D:$D,"Supplier Returned")</f>
        <v>0</v>
      </c>
      <c r="M5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19" s="53" t="str">
        <f>IF(B519="","",VLOOKUP(B519,'Product Master'!$B:$G,4,FALSE))</f>
        <v/>
      </c>
      <c r="O519" s="53" t="str">
        <f>IF(B519="","",VLOOKUP(B519,'Product Master'!$B:$G,5,FALSE))</f>
        <v/>
      </c>
      <c r="P519" s="50" t="str">
        <f>IF(B519="","",VLOOKUP(B519,'Product Master'!$B:$I,7,FALSE))</f>
        <v/>
      </c>
      <c r="Q519" s="158"/>
      <c r="R519" s="58" t="str">
        <f t="shared" si="8"/>
        <v/>
      </c>
      <c r="S519" s="25"/>
      <c r="T519" s="25"/>
      <c r="U519" s="25"/>
      <c r="V519" s="25"/>
      <c r="W519" s="25"/>
      <c r="X519" s="25"/>
    </row>
    <row r="520" spans="1:24" x14ac:dyDescent="0.25">
      <c r="A520" s="31" t="s">
        <v>1080</v>
      </c>
      <c r="B520" s="32"/>
      <c r="C520" s="50" t="str">
        <f>IF(B520="","",VLOOKUP(B520,'Product Master'!$B:$G,2,FALSE))</f>
        <v/>
      </c>
      <c r="D520" s="50" t="str">
        <f>IF(B520="","",VLOOKUP(B520,'Product Master'!$B:$G,3,FALSE))</f>
        <v/>
      </c>
      <c r="E520" s="50"/>
      <c r="F520" s="50">
        <f>SUMIF('Stock Purchase'!$D:$D,B520,'Stock Purchase'!$F:$F)</f>
        <v>0</v>
      </c>
      <c r="G520" s="50">
        <f>SUMIFS('Stock Adjustment'!$E:$E,'Stock Adjustment'!$B:$B,$A520,'Stock Adjustment'!$D:$D,"Customer Returned")</f>
        <v>0</v>
      </c>
      <c r="H520" s="50">
        <f>SUMIF('Daily Sales Entry'!$D:$D,B520,'Daily Sales Entry'!$G:$G)</f>
        <v>0</v>
      </c>
      <c r="I520" s="50">
        <f>SUMIFS('Stock Adjustment'!$E:$E,'Stock Adjustment'!$B:$B,$A520,'Stock Adjustment'!$D:$D,"Staff Consumption")</f>
        <v>0</v>
      </c>
      <c r="J520" s="50">
        <f>SUMIFS('Stock Adjustment'!$E:$E,'Stock Adjustment'!$B:$B,$A520,'Stock Adjustment'!$D:$D,"Damaged")</f>
        <v>0</v>
      </c>
      <c r="K520" s="50">
        <f>SUMIFS('Stock Adjustment'!$E:$E,'Stock Adjustment'!$B:$B,$A520,'Stock Adjustment'!$D:$D,"Expired")</f>
        <v>0</v>
      </c>
      <c r="L520" s="50">
        <f>SUMIFS('Stock Adjustment'!$E:$E,'Stock Adjustment'!$B:$B,$A520,'Stock Adjustment'!$D:$D,"Supplier Returned")</f>
        <v>0</v>
      </c>
      <c r="M5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0" s="53" t="str">
        <f>IF(B520="","",VLOOKUP(B520,'Product Master'!$B:$G,4,FALSE))</f>
        <v/>
      </c>
      <c r="O520" s="53" t="str">
        <f>IF(B520="","",VLOOKUP(B520,'Product Master'!$B:$G,5,FALSE))</f>
        <v/>
      </c>
      <c r="P520" s="50" t="str">
        <f>IF(B520="","",VLOOKUP(B520,'Product Master'!$B:$I,7,FALSE))</f>
        <v/>
      </c>
      <c r="Q520" s="158"/>
      <c r="R520" s="58" t="str">
        <f t="shared" si="8"/>
        <v/>
      </c>
      <c r="S520" s="25"/>
      <c r="T520" s="25"/>
      <c r="U520" s="25"/>
      <c r="V520" s="25"/>
      <c r="W520" s="25"/>
      <c r="X520" s="25"/>
    </row>
    <row r="521" spans="1:24" x14ac:dyDescent="0.25">
      <c r="A521" s="31" t="s">
        <v>1081</v>
      </c>
      <c r="B521" s="32"/>
      <c r="C521" s="50" t="str">
        <f>IF(B521="","",VLOOKUP(B521,'Product Master'!$B:$G,2,FALSE))</f>
        <v/>
      </c>
      <c r="D521" s="50" t="str">
        <f>IF(B521="","",VLOOKUP(B521,'Product Master'!$B:$G,3,FALSE))</f>
        <v/>
      </c>
      <c r="E521" s="50"/>
      <c r="F521" s="50">
        <f>SUMIF('Stock Purchase'!$D:$D,B521,'Stock Purchase'!$F:$F)</f>
        <v>0</v>
      </c>
      <c r="G521" s="50">
        <f>SUMIFS('Stock Adjustment'!$E:$E,'Stock Adjustment'!$B:$B,$A521,'Stock Adjustment'!$D:$D,"Customer Returned")</f>
        <v>0</v>
      </c>
      <c r="H521" s="50">
        <f>SUMIF('Daily Sales Entry'!$D:$D,B521,'Daily Sales Entry'!$G:$G)</f>
        <v>0</v>
      </c>
      <c r="I521" s="50">
        <f>SUMIFS('Stock Adjustment'!$E:$E,'Stock Adjustment'!$B:$B,$A521,'Stock Adjustment'!$D:$D,"Staff Consumption")</f>
        <v>0</v>
      </c>
      <c r="J521" s="50">
        <f>SUMIFS('Stock Adjustment'!$E:$E,'Stock Adjustment'!$B:$B,$A521,'Stock Adjustment'!$D:$D,"Damaged")</f>
        <v>0</v>
      </c>
      <c r="K521" s="50">
        <f>SUMIFS('Stock Adjustment'!$E:$E,'Stock Adjustment'!$B:$B,$A521,'Stock Adjustment'!$D:$D,"Expired")</f>
        <v>0</v>
      </c>
      <c r="L521" s="50">
        <f>SUMIFS('Stock Adjustment'!$E:$E,'Stock Adjustment'!$B:$B,$A521,'Stock Adjustment'!$D:$D,"Supplier Returned")</f>
        <v>0</v>
      </c>
      <c r="M5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1" s="53" t="str">
        <f>IF(B521="","",VLOOKUP(B521,'Product Master'!$B:$G,4,FALSE))</f>
        <v/>
      </c>
      <c r="O521" s="53" t="str">
        <f>IF(B521="","",VLOOKUP(B521,'Product Master'!$B:$G,5,FALSE))</f>
        <v/>
      </c>
      <c r="P521" s="50" t="str">
        <f>IF(B521="","",VLOOKUP(B521,'Product Master'!$B:$I,7,FALSE))</f>
        <v/>
      </c>
      <c r="Q521" s="158"/>
      <c r="R521" s="58" t="str">
        <f t="shared" si="8"/>
        <v/>
      </c>
      <c r="S521" s="25"/>
      <c r="T521" s="25"/>
      <c r="U521" s="25"/>
      <c r="V521" s="25"/>
      <c r="W521" s="25"/>
      <c r="X521" s="25"/>
    </row>
    <row r="522" spans="1:24" x14ac:dyDescent="0.25">
      <c r="A522" s="31" t="s">
        <v>1082</v>
      </c>
      <c r="B522" s="32"/>
      <c r="C522" s="50" t="str">
        <f>IF(B522="","",VLOOKUP(B522,'Product Master'!$B:$G,2,FALSE))</f>
        <v/>
      </c>
      <c r="D522" s="50" t="str">
        <f>IF(B522="","",VLOOKUP(B522,'Product Master'!$B:$G,3,FALSE))</f>
        <v/>
      </c>
      <c r="E522" s="50"/>
      <c r="F522" s="50">
        <f>SUMIF('Stock Purchase'!$D:$D,B522,'Stock Purchase'!$F:$F)</f>
        <v>0</v>
      </c>
      <c r="G522" s="50">
        <f>SUMIFS('Stock Adjustment'!$E:$E,'Stock Adjustment'!$B:$B,$A522,'Stock Adjustment'!$D:$D,"Customer Returned")</f>
        <v>0</v>
      </c>
      <c r="H522" s="50">
        <f>SUMIF('Daily Sales Entry'!$D:$D,B522,'Daily Sales Entry'!$G:$G)</f>
        <v>0</v>
      </c>
      <c r="I522" s="50">
        <f>SUMIFS('Stock Adjustment'!$E:$E,'Stock Adjustment'!$B:$B,$A522,'Stock Adjustment'!$D:$D,"Staff Consumption")</f>
        <v>0</v>
      </c>
      <c r="J522" s="50">
        <f>SUMIFS('Stock Adjustment'!$E:$E,'Stock Adjustment'!$B:$B,$A522,'Stock Adjustment'!$D:$D,"Damaged")</f>
        <v>0</v>
      </c>
      <c r="K522" s="50">
        <f>SUMIFS('Stock Adjustment'!$E:$E,'Stock Adjustment'!$B:$B,$A522,'Stock Adjustment'!$D:$D,"Expired")</f>
        <v>0</v>
      </c>
      <c r="L522" s="50">
        <f>SUMIFS('Stock Adjustment'!$E:$E,'Stock Adjustment'!$B:$B,$A522,'Stock Adjustment'!$D:$D,"Supplier Returned")</f>
        <v>0</v>
      </c>
      <c r="M5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2" s="53" t="str">
        <f>IF(B522="","",VLOOKUP(B522,'Product Master'!$B:$G,4,FALSE))</f>
        <v/>
      </c>
      <c r="O522" s="53" t="str">
        <f>IF(B522="","",VLOOKUP(B522,'Product Master'!$B:$G,5,FALSE))</f>
        <v/>
      </c>
      <c r="P522" s="50" t="str">
        <f>IF(B522="","",VLOOKUP(B522,'Product Master'!$B:$I,7,FALSE))</f>
        <v/>
      </c>
      <c r="Q522" s="158"/>
      <c r="R522" s="58" t="str">
        <f t="shared" si="8"/>
        <v/>
      </c>
      <c r="S522" s="25"/>
      <c r="T522" s="25"/>
      <c r="U522" s="25"/>
      <c r="V522" s="25"/>
      <c r="W522" s="25"/>
      <c r="X522" s="25"/>
    </row>
    <row r="523" spans="1:24" x14ac:dyDescent="0.25">
      <c r="A523" s="31" t="s">
        <v>1083</v>
      </c>
      <c r="B523" s="32"/>
      <c r="C523" s="50" t="str">
        <f>IF(B523="","",VLOOKUP(B523,'Product Master'!$B:$G,2,FALSE))</f>
        <v/>
      </c>
      <c r="D523" s="50" t="str">
        <f>IF(B523="","",VLOOKUP(B523,'Product Master'!$B:$G,3,FALSE))</f>
        <v/>
      </c>
      <c r="E523" s="50"/>
      <c r="F523" s="50">
        <f>SUMIF('Stock Purchase'!$D:$D,B523,'Stock Purchase'!$F:$F)</f>
        <v>0</v>
      </c>
      <c r="G523" s="50">
        <f>SUMIFS('Stock Adjustment'!$E:$E,'Stock Adjustment'!$B:$B,$A523,'Stock Adjustment'!$D:$D,"Customer Returned")</f>
        <v>0</v>
      </c>
      <c r="H523" s="50">
        <f>SUMIF('Daily Sales Entry'!$D:$D,B523,'Daily Sales Entry'!$G:$G)</f>
        <v>0</v>
      </c>
      <c r="I523" s="50">
        <f>SUMIFS('Stock Adjustment'!$E:$E,'Stock Adjustment'!$B:$B,$A523,'Stock Adjustment'!$D:$D,"Staff Consumption")</f>
        <v>0</v>
      </c>
      <c r="J523" s="50">
        <f>SUMIFS('Stock Adjustment'!$E:$E,'Stock Adjustment'!$B:$B,$A523,'Stock Adjustment'!$D:$D,"Damaged")</f>
        <v>0</v>
      </c>
      <c r="K523" s="50">
        <f>SUMIFS('Stock Adjustment'!$E:$E,'Stock Adjustment'!$B:$B,$A523,'Stock Adjustment'!$D:$D,"Expired")</f>
        <v>0</v>
      </c>
      <c r="L523" s="50">
        <f>SUMIFS('Stock Adjustment'!$E:$E,'Stock Adjustment'!$B:$B,$A523,'Stock Adjustment'!$D:$D,"Supplier Returned")</f>
        <v>0</v>
      </c>
      <c r="M5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3" s="53" t="str">
        <f>IF(B523="","",VLOOKUP(B523,'Product Master'!$B:$G,4,FALSE))</f>
        <v/>
      </c>
      <c r="O523" s="53" t="str">
        <f>IF(B523="","",VLOOKUP(B523,'Product Master'!$B:$G,5,FALSE))</f>
        <v/>
      </c>
      <c r="P523" s="50" t="str">
        <f>IF(B523="","",VLOOKUP(B523,'Product Master'!$B:$I,7,FALSE))</f>
        <v/>
      </c>
      <c r="Q523" s="158"/>
      <c r="R523" s="58" t="str">
        <f t="shared" si="8"/>
        <v/>
      </c>
      <c r="S523" s="25"/>
      <c r="T523" s="25"/>
      <c r="U523" s="25"/>
      <c r="V523" s="25"/>
      <c r="W523" s="25"/>
      <c r="X523" s="25"/>
    </row>
    <row r="524" spans="1:24" x14ac:dyDescent="0.25">
      <c r="A524" s="31" t="s">
        <v>1084</v>
      </c>
      <c r="B524" s="32"/>
      <c r="C524" s="50" t="str">
        <f>IF(B524="","",VLOOKUP(B524,'Product Master'!$B:$G,2,FALSE))</f>
        <v/>
      </c>
      <c r="D524" s="50" t="str">
        <f>IF(B524="","",VLOOKUP(B524,'Product Master'!$B:$G,3,FALSE))</f>
        <v/>
      </c>
      <c r="E524" s="50"/>
      <c r="F524" s="50">
        <f>SUMIF('Stock Purchase'!$D:$D,B524,'Stock Purchase'!$F:$F)</f>
        <v>0</v>
      </c>
      <c r="G524" s="50">
        <f>SUMIFS('Stock Adjustment'!$E:$E,'Stock Adjustment'!$B:$B,$A524,'Stock Adjustment'!$D:$D,"Customer Returned")</f>
        <v>0</v>
      </c>
      <c r="H524" s="50">
        <f>SUMIF('Daily Sales Entry'!$D:$D,B524,'Daily Sales Entry'!$G:$G)</f>
        <v>0</v>
      </c>
      <c r="I524" s="50">
        <f>SUMIFS('Stock Adjustment'!$E:$E,'Stock Adjustment'!$B:$B,$A524,'Stock Adjustment'!$D:$D,"Staff Consumption")</f>
        <v>0</v>
      </c>
      <c r="J524" s="50">
        <f>SUMIFS('Stock Adjustment'!$E:$E,'Stock Adjustment'!$B:$B,$A524,'Stock Adjustment'!$D:$D,"Damaged")</f>
        <v>0</v>
      </c>
      <c r="K524" s="50">
        <f>SUMIFS('Stock Adjustment'!$E:$E,'Stock Adjustment'!$B:$B,$A524,'Stock Adjustment'!$D:$D,"Expired")</f>
        <v>0</v>
      </c>
      <c r="L524" s="50">
        <f>SUMIFS('Stock Adjustment'!$E:$E,'Stock Adjustment'!$B:$B,$A524,'Stock Adjustment'!$D:$D,"Supplier Returned")</f>
        <v>0</v>
      </c>
      <c r="M5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4" s="53" t="str">
        <f>IF(B524="","",VLOOKUP(B524,'Product Master'!$B:$G,4,FALSE))</f>
        <v/>
      </c>
      <c r="O524" s="53" t="str">
        <f>IF(B524="","",VLOOKUP(B524,'Product Master'!$B:$G,5,FALSE))</f>
        <v/>
      </c>
      <c r="P524" s="50" t="str">
        <f>IF(B524="","",VLOOKUP(B524,'Product Master'!$B:$I,7,FALSE))</f>
        <v/>
      </c>
      <c r="Q524" s="158"/>
      <c r="R524" s="58" t="str">
        <f t="shared" si="8"/>
        <v/>
      </c>
      <c r="S524" s="25"/>
      <c r="T524" s="25"/>
      <c r="U524" s="25"/>
      <c r="V524" s="25"/>
      <c r="W524" s="25"/>
      <c r="X524" s="25"/>
    </row>
    <row r="525" spans="1:24" x14ac:dyDescent="0.25">
      <c r="A525" s="31" t="s">
        <v>1085</v>
      </c>
      <c r="B525" s="32"/>
      <c r="C525" s="50" t="str">
        <f>IF(B525="","",VLOOKUP(B525,'Product Master'!$B:$G,2,FALSE))</f>
        <v/>
      </c>
      <c r="D525" s="50" t="str">
        <f>IF(B525="","",VLOOKUP(B525,'Product Master'!$B:$G,3,FALSE))</f>
        <v/>
      </c>
      <c r="E525" s="50"/>
      <c r="F525" s="50">
        <f>SUMIF('Stock Purchase'!$D:$D,B525,'Stock Purchase'!$F:$F)</f>
        <v>0</v>
      </c>
      <c r="G525" s="50">
        <f>SUMIFS('Stock Adjustment'!$E:$E,'Stock Adjustment'!$B:$B,$A525,'Stock Adjustment'!$D:$D,"Customer Returned")</f>
        <v>0</v>
      </c>
      <c r="H525" s="50">
        <f>SUMIF('Daily Sales Entry'!$D:$D,B525,'Daily Sales Entry'!$G:$G)</f>
        <v>0</v>
      </c>
      <c r="I525" s="50">
        <f>SUMIFS('Stock Adjustment'!$E:$E,'Stock Adjustment'!$B:$B,$A525,'Stock Adjustment'!$D:$D,"Staff Consumption")</f>
        <v>0</v>
      </c>
      <c r="J525" s="50">
        <f>SUMIFS('Stock Adjustment'!$E:$E,'Stock Adjustment'!$B:$B,$A525,'Stock Adjustment'!$D:$D,"Damaged")</f>
        <v>0</v>
      </c>
      <c r="K525" s="50">
        <f>SUMIFS('Stock Adjustment'!$E:$E,'Stock Adjustment'!$B:$B,$A525,'Stock Adjustment'!$D:$D,"Expired")</f>
        <v>0</v>
      </c>
      <c r="L525" s="50">
        <f>SUMIFS('Stock Adjustment'!$E:$E,'Stock Adjustment'!$B:$B,$A525,'Stock Adjustment'!$D:$D,"Supplier Returned")</f>
        <v>0</v>
      </c>
      <c r="M5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5" s="53" t="str">
        <f>IF(B525="","",VLOOKUP(B525,'Product Master'!$B:$G,4,FALSE))</f>
        <v/>
      </c>
      <c r="O525" s="53" t="str">
        <f>IF(B525="","",VLOOKUP(B525,'Product Master'!$B:$G,5,FALSE))</f>
        <v/>
      </c>
      <c r="P525" s="50" t="str">
        <f>IF(B525="","",VLOOKUP(B525,'Product Master'!$B:$I,7,FALSE))</f>
        <v/>
      </c>
      <c r="Q525" s="158"/>
      <c r="R525" s="58" t="str">
        <f t="shared" si="8"/>
        <v/>
      </c>
      <c r="S525" s="25"/>
      <c r="T525" s="25"/>
      <c r="U525" s="25"/>
      <c r="V525" s="25"/>
      <c r="W525" s="25"/>
      <c r="X525" s="25"/>
    </row>
    <row r="526" spans="1:24" x14ac:dyDescent="0.25">
      <c r="A526" s="31" t="s">
        <v>1086</v>
      </c>
      <c r="B526" s="32"/>
      <c r="C526" s="50" t="str">
        <f>IF(B526="","",VLOOKUP(B526,'Product Master'!$B:$G,2,FALSE))</f>
        <v/>
      </c>
      <c r="D526" s="50" t="str">
        <f>IF(B526="","",VLOOKUP(B526,'Product Master'!$B:$G,3,FALSE))</f>
        <v/>
      </c>
      <c r="E526" s="50"/>
      <c r="F526" s="50">
        <f>SUMIF('Stock Purchase'!$D:$D,B526,'Stock Purchase'!$F:$F)</f>
        <v>0</v>
      </c>
      <c r="G526" s="50">
        <f>SUMIFS('Stock Adjustment'!$E:$E,'Stock Adjustment'!$B:$B,$A526,'Stock Adjustment'!$D:$D,"Customer Returned")</f>
        <v>0</v>
      </c>
      <c r="H526" s="50">
        <f>SUMIF('Daily Sales Entry'!$D:$D,B526,'Daily Sales Entry'!$G:$G)</f>
        <v>0</v>
      </c>
      <c r="I526" s="50">
        <f>SUMIFS('Stock Adjustment'!$E:$E,'Stock Adjustment'!$B:$B,$A526,'Stock Adjustment'!$D:$D,"Staff Consumption")</f>
        <v>0</v>
      </c>
      <c r="J526" s="50">
        <f>SUMIFS('Stock Adjustment'!$E:$E,'Stock Adjustment'!$B:$B,$A526,'Stock Adjustment'!$D:$D,"Damaged")</f>
        <v>0</v>
      </c>
      <c r="K526" s="50">
        <f>SUMIFS('Stock Adjustment'!$E:$E,'Stock Adjustment'!$B:$B,$A526,'Stock Adjustment'!$D:$D,"Expired")</f>
        <v>0</v>
      </c>
      <c r="L526" s="50">
        <f>SUMIFS('Stock Adjustment'!$E:$E,'Stock Adjustment'!$B:$B,$A526,'Stock Adjustment'!$D:$D,"Supplier Returned")</f>
        <v>0</v>
      </c>
      <c r="M5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6" s="53" t="str">
        <f>IF(B526="","",VLOOKUP(B526,'Product Master'!$B:$G,4,FALSE))</f>
        <v/>
      </c>
      <c r="O526" s="53" t="str">
        <f>IF(B526="","",VLOOKUP(B526,'Product Master'!$B:$G,5,FALSE))</f>
        <v/>
      </c>
      <c r="P526" s="50" t="str">
        <f>IF(B526="","",VLOOKUP(B526,'Product Master'!$B:$I,7,FALSE))</f>
        <v/>
      </c>
      <c r="Q526" s="158"/>
      <c r="R526" s="58" t="str">
        <f t="shared" si="8"/>
        <v/>
      </c>
      <c r="S526" s="25"/>
      <c r="T526" s="25"/>
      <c r="U526" s="25"/>
      <c r="V526" s="25"/>
      <c r="W526" s="25"/>
      <c r="X526" s="25"/>
    </row>
    <row r="527" spans="1:24" x14ac:dyDescent="0.25">
      <c r="A527" s="31" t="s">
        <v>1087</v>
      </c>
      <c r="B527" s="32"/>
      <c r="C527" s="50" t="str">
        <f>IF(B527="","",VLOOKUP(B527,'Product Master'!$B:$G,2,FALSE))</f>
        <v/>
      </c>
      <c r="D527" s="50" t="str">
        <f>IF(B527="","",VLOOKUP(B527,'Product Master'!$B:$G,3,FALSE))</f>
        <v/>
      </c>
      <c r="E527" s="50"/>
      <c r="F527" s="50">
        <f>SUMIF('Stock Purchase'!$D:$D,B527,'Stock Purchase'!$F:$F)</f>
        <v>0</v>
      </c>
      <c r="G527" s="50">
        <f>SUMIFS('Stock Adjustment'!$E:$E,'Stock Adjustment'!$B:$B,$A527,'Stock Adjustment'!$D:$D,"Customer Returned")</f>
        <v>0</v>
      </c>
      <c r="H527" s="50">
        <f>SUMIF('Daily Sales Entry'!$D:$D,B527,'Daily Sales Entry'!$G:$G)</f>
        <v>0</v>
      </c>
      <c r="I527" s="50">
        <f>SUMIFS('Stock Adjustment'!$E:$E,'Stock Adjustment'!$B:$B,$A527,'Stock Adjustment'!$D:$D,"Staff Consumption")</f>
        <v>0</v>
      </c>
      <c r="J527" s="50">
        <f>SUMIFS('Stock Adjustment'!$E:$E,'Stock Adjustment'!$B:$B,$A527,'Stock Adjustment'!$D:$D,"Damaged")</f>
        <v>0</v>
      </c>
      <c r="K527" s="50">
        <f>SUMIFS('Stock Adjustment'!$E:$E,'Stock Adjustment'!$B:$B,$A527,'Stock Adjustment'!$D:$D,"Expired")</f>
        <v>0</v>
      </c>
      <c r="L527" s="50">
        <f>SUMIFS('Stock Adjustment'!$E:$E,'Stock Adjustment'!$B:$B,$A527,'Stock Adjustment'!$D:$D,"Supplier Returned")</f>
        <v>0</v>
      </c>
      <c r="M5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7" s="53" t="str">
        <f>IF(B527="","",VLOOKUP(B527,'Product Master'!$B:$G,4,FALSE))</f>
        <v/>
      </c>
      <c r="O527" s="53" t="str">
        <f>IF(B527="","",VLOOKUP(B527,'Product Master'!$B:$G,5,FALSE))</f>
        <v/>
      </c>
      <c r="P527" s="50" t="str">
        <f>IF(B527="","",VLOOKUP(B527,'Product Master'!$B:$I,7,FALSE))</f>
        <v/>
      </c>
      <c r="Q527" s="158"/>
      <c r="R527" s="58" t="str">
        <f t="shared" si="8"/>
        <v/>
      </c>
      <c r="S527" s="25"/>
      <c r="T527" s="25"/>
      <c r="U527" s="25"/>
      <c r="V527" s="25"/>
      <c r="W527" s="25"/>
      <c r="X527" s="25"/>
    </row>
    <row r="528" spans="1:24" x14ac:dyDescent="0.25">
      <c r="A528" s="31" t="s">
        <v>1088</v>
      </c>
      <c r="B528" s="32"/>
      <c r="C528" s="50" t="str">
        <f>IF(B528="","",VLOOKUP(B528,'Product Master'!$B:$G,2,FALSE))</f>
        <v/>
      </c>
      <c r="D528" s="50" t="str">
        <f>IF(B528="","",VLOOKUP(B528,'Product Master'!$B:$G,3,FALSE))</f>
        <v/>
      </c>
      <c r="E528" s="50"/>
      <c r="F528" s="50">
        <f>SUMIF('Stock Purchase'!$D:$D,B528,'Stock Purchase'!$F:$F)</f>
        <v>0</v>
      </c>
      <c r="G528" s="50">
        <f>SUMIFS('Stock Adjustment'!$E:$E,'Stock Adjustment'!$B:$B,$A528,'Stock Adjustment'!$D:$D,"Customer Returned")</f>
        <v>0</v>
      </c>
      <c r="H528" s="50">
        <f>SUMIF('Daily Sales Entry'!$D:$D,B528,'Daily Sales Entry'!$G:$G)</f>
        <v>0</v>
      </c>
      <c r="I528" s="50">
        <f>SUMIFS('Stock Adjustment'!$E:$E,'Stock Adjustment'!$B:$B,$A528,'Stock Adjustment'!$D:$D,"Staff Consumption")</f>
        <v>0</v>
      </c>
      <c r="J528" s="50">
        <f>SUMIFS('Stock Adjustment'!$E:$E,'Stock Adjustment'!$B:$B,$A528,'Stock Adjustment'!$D:$D,"Damaged")</f>
        <v>0</v>
      </c>
      <c r="K528" s="50">
        <f>SUMIFS('Stock Adjustment'!$E:$E,'Stock Adjustment'!$B:$B,$A528,'Stock Adjustment'!$D:$D,"Expired")</f>
        <v>0</v>
      </c>
      <c r="L528" s="50">
        <f>SUMIFS('Stock Adjustment'!$E:$E,'Stock Adjustment'!$B:$B,$A528,'Stock Adjustment'!$D:$D,"Supplier Returned")</f>
        <v>0</v>
      </c>
      <c r="M5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8" s="53" t="str">
        <f>IF(B528="","",VLOOKUP(B528,'Product Master'!$B:$G,4,FALSE))</f>
        <v/>
      </c>
      <c r="O528" s="53" t="str">
        <f>IF(B528="","",VLOOKUP(B528,'Product Master'!$B:$G,5,FALSE))</f>
        <v/>
      </c>
      <c r="P528" s="50" t="str">
        <f>IF(B528="","",VLOOKUP(B528,'Product Master'!$B:$I,7,FALSE))</f>
        <v/>
      </c>
      <c r="Q528" s="158"/>
      <c r="R528" s="58" t="str">
        <f t="shared" si="8"/>
        <v/>
      </c>
      <c r="S528" s="25"/>
      <c r="T528" s="25"/>
      <c r="U528" s="25"/>
      <c r="V528" s="25"/>
      <c r="W528" s="25"/>
      <c r="X528" s="25"/>
    </row>
    <row r="529" spans="1:24" x14ac:dyDescent="0.25">
      <c r="A529" s="31" t="s">
        <v>1089</v>
      </c>
      <c r="B529" s="32"/>
      <c r="C529" s="50" t="str">
        <f>IF(B529="","",VLOOKUP(B529,'Product Master'!$B:$G,2,FALSE))</f>
        <v/>
      </c>
      <c r="D529" s="50" t="str">
        <f>IF(B529="","",VLOOKUP(B529,'Product Master'!$B:$G,3,FALSE))</f>
        <v/>
      </c>
      <c r="E529" s="50"/>
      <c r="F529" s="50">
        <f>SUMIF('Stock Purchase'!$D:$D,B529,'Stock Purchase'!$F:$F)</f>
        <v>0</v>
      </c>
      <c r="G529" s="50">
        <f>SUMIFS('Stock Adjustment'!$E:$E,'Stock Adjustment'!$B:$B,$A529,'Stock Adjustment'!$D:$D,"Customer Returned")</f>
        <v>0</v>
      </c>
      <c r="H529" s="50">
        <f>SUMIF('Daily Sales Entry'!$D:$D,B529,'Daily Sales Entry'!$G:$G)</f>
        <v>0</v>
      </c>
      <c r="I529" s="50">
        <f>SUMIFS('Stock Adjustment'!$E:$E,'Stock Adjustment'!$B:$B,$A529,'Stock Adjustment'!$D:$D,"Staff Consumption")</f>
        <v>0</v>
      </c>
      <c r="J529" s="50">
        <f>SUMIFS('Stock Adjustment'!$E:$E,'Stock Adjustment'!$B:$B,$A529,'Stock Adjustment'!$D:$D,"Damaged")</f>
        <v>0</v>
      </c>
      <c r="K529" s="50">
        <f>SUMIFS('Stock Adjustment'!$E:$E,'Stock Adjustment'!$B:$B,$A529,'Stock Adjustment'!$D:$D,"Expired")</f>
        <v>0</v>
      </c>
      <c r="L529" s="50">
        <f>SUMIFS('Stock Adjustment'!$E:$E,'Stock Adjustment'!$B:$B,$A529,'Stock Adjustment'!$D:$D,"Supplier Returned")</f>
        <v>0</v>
      </c>
      <c r="M5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29" s="53" t="str">
        <f>IF(B529="","",VLOOKUP(B529,'Product Master'!$B:$G,4,FALSE))</f>
        <v/>
      </c>
      <c r="O529" s="53" t="str">
        <f>IF(B529="","",VLOOKUP(B529,'Product Master'!$B:$G,5,FALSE))</f>
        <v/>
      </c>
      <c r="P529" s="50" t="str">
        <f>IF(B529="","",VLOOKUP(B529,'Product Master'!$B:$I,7,FALSE))</f>
        <v/>
      </c>
      <c r="Q529" s="158"/>
      <c r="R529" s="58" t="str">
        <f t="shared" si="8"/>
        <v/>
      </c>
      <c r="S529" s="25"/>
      <c r="T529" s="25"/>
      <c r="U529" s="25"/>
      <c r="V529" s="25"/>
      <c r="W529" s="25"/>
      <c r="X529" s="25"/>
    </row>
    <row r="530" spans="1:24" x14ac:dyDescent="0.25">
      <c r="A530" s="31" t="s">
        <v>1090</v>
      </c>
      <c r="B530" s="32"/>
      <c r="C530" s="50" t="str">
        <f>IF(B530="","",VLOOKUP(B530,'Product Master'!$B:$G,2,FALSE))</f>
        <v/>
      </c>
      <c r="D530" s="50" t="str">
        <f>IF(B530="","",VLOOKUP(B530,'Product Master'!$B:$G,3,FALSE))</f>
        <v/>
      </c>
      <c r="E530" s="50"/>
      <c r="F530" s="50">
        <f>SUMIF('Stock Purchase'!$D:$D,B530,'Stock Purchase'!$F:$F)</f>
        <v>0</v>
      </c>
      <c r="G530" s="50">
        <f>SUMIFS('Stock Adjustment'!$E:$E,'Stock Adjustment'!$B:$B,$A530,'Stock Adjustment'!$D:$D,"Customer Returned")</f>
        <v>0</v>
      </c>
      <c r="H530" s="50">
        <f>SUMIF('Daily Sales Entry'!$D:$D,B530,'Daily Sales Entry'!$G:$G)</f>
        <v>0</v>
      </c>
      <c r="I530" s="50">
        <f>SUMIFS('Stock Adjustment'!$E:$E,'Stock Adjustment'!$B:$B,$A530,'Stock Adjustment'!$D:$D,"Staff Consumption")</f>
        <v>0</v>
      </c>
      <c r="J530" s="50">
        <f>SUMIFS('Stock Adjustment'!$E:$E,'Stock Adjustment'!$B:$B,$A530,'Stock Adjustment'!$D:$D,"Damaged")</f>
        <v>0</v>
      </c>
      <c r="K530" s="50">
        <f>SUMIFS('Stock Adjustment'!$E:$E,'Stock Adjustment'!$B:$B,$A530,'Stock Adjustment'!$D:$D,"Expired")</f>
        <v>0</v>
      </c>
      <c r="L530" s="50">
        <f>SUMIFS('Stock Adjustment'!$E:$E,'Stock Adjustment'!$B:$B,$A530,'Stock Adjustment'!$D:$D,"Supplier Returned")</f>
        <v>0</v>
      </c>
      <c r="M5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0" s="53" t="str">
        <f>IF(B530="","",VLOOKUP(B530,'Product Master'!$B:$G,4,FALSE))</f>
        <v/>
      </c>
      <c r="O530" s="53" t="str">
        <f>IF(B530="","",VLOOKUP(B530,'Product Master'!$B:$G,5,FALSE))</f>
        <v/>
      </c>
      <c r="P530" s="50" t="str">
        <f>IF(B530="","",VLOOKUP(B530,'Product Master'!$B:$I,7,FALSE))</f>
        <v/>
      </c>
      <c r="Q530" s="158"/>
      <c r="R530" s="58" t="str">
        <f t="shared" si="8"/>
        <v/>
      </c>
      <c r="S530" s="25"/>
      <c r="T530" s="25"/>
      <c r="U530" s="25"/>
      <c r="V530" s="25"/>
      <c r="W530" s="25"/>
      <c r="X530" s="25"/>
    </row>
    <row r="531" spans="1:24" x14ac:dyDescent="0.25">
      <c r="A531" s="31" t="s">
        <v>1091</v>
      </c>
      <c r="B531" s="32"/>
      <c r="C531" s="50" t="str">
        <f>IF(B531="","",VLOOKUP(B531,'Product Master'!$B:$G,2,FALSE))</f>
        <v/>
      </c>
      <c r="D531" s="50" t="str">
        <f>IF(B531="","",VLOOKUP(B531,'Product Master'!$B:$G,3,FALSE))</f>
        <v/>
      </c>
      <c r="E531" s="50"/>
      <c r="F531" s="50">
        <f>SUMIF('Stock Purchase'!$D:$D,B531,'Stock Purchase'!$F:$F)</f>
        <v>0</v>
      </c>
      <c r="G531" s="50">
        <f>SUMIFS('Stock Adjustment'!$E:$E,'Stock Adjustment'!$B:$B,$A531,'Stock Adjustment'!$D:$D,"Customer Returned")</f>
        <v>0</v>
      </c>
      <c r="H531" s="50">
        <f>SUMIF('Daily Sales Entry'!$D:$D,B531,'Daily Sales Entry'!$G:$G)</f>
        <v>0</v>
      </c>
      <c r="I531" s="50">
        <f>SUMIFS('Stock Adjustment'!$E:$E,'Stock Adjustment'!$B:$B,$A531,'Stock Adjustment'!$D:$D,"Staff Consumption")</f>
        <v>0</v>
      </c>
      <c r="J531" s="50">
        <f>SUMIFS('Stock Adjustment'!$E:$E,'Stock Adjustment'!$B:$B,$A531,'Stock Adjustment'!$D:$D,"Damaged")</f>
        <v>0</v>
      </c>
      <c r="K531" s="50">
        <f>SUMIFS('Stock Adjustment'!$E:$E,'Stock Adjustment'!$B:$B,$A531,'Stock Adjustment'!$D:$D,"Expired")</f>
        <v>0</v>
      </c>
      <c r="L531" s="50">
        <f>SUMIFS('Stock Adjustment'!$E:$E,'Stock Adjustment'!$B:$B,$A531,'Stock Adjustment'!$D:$D,"Supplier Returned")</f>
        <v>0</v>
      </c>
      <c r="M5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1" s="53" t="str">
        <f>IF(B531="","",VLOOKUP(B531,'Product Master'!$B:$G,4,FALSE))</f>
        <v/>
      </c>
      <c r="O531" s="53" t="str">
        <f>IF(B531="","",VLOOKUP(B531,'Product Master'!$B:$G,5,FALSE))</f>
        <v/>
      </c>
      <c r="P531" s="50" t="str">
        <f>IF(B531="","",VLOOKUP(B531,'Product Master'!$B:$I,7,FALSE))</f>
        <v/>
      </c>
      <c r="Q531" s="158"/>
      <c r="R531" s="58" t="str">
        <f t="shared" si="8"/>
        <v/>
      </c>
      <c r="S531" s="25"/>
      <c r="T531" s="25"/>
      <c r="U531" s="25"/>
      <c r="V531" s="25"/>
      <c r="W531" s="25"/>
      <c r="X531" s="25"/>
    </row>
    <row r="532" spans="1:24" x14ac:dyDescent="0.25">
      <c r="A532" s="31" t="s">
        <v>1092</v>
      </c>
      <c r="B532" s="32"/>
      <c r="C532" s="50" t="str">
        <f>IF(B532="","",VLOOKUP(B532,'Product Master'!$B:$G,2,FALSE))</f>
        <v/>
      </c>
      <c r="D532" s="50" t="str">
        <f>IF(B532="","",VLOOKUP(B532,'Product Master'!$B:$G,3,FALSE))</f>
        <v/>
      </c>
      <c r="E532" s="50"/>
      <c r="F532" s="50">
        <f>SUMIF('Stock Purchase'!$D:$D,B532,'Stock Purchase'!$F:$F)</f>
        <v>0</v>
      </c>
      <c r="G532" s="50">
        <f>SUMIFS('Stock Adjustment'!$E:$E,'Stock Adjustment'!$B:$B,$A532,'Stock Adjustment'!$D:$D,"Customer Returned")</f>
        <v>0</v>
      </c>
      <c r="H532" s="50">
        <f>SUMIF('Daily Sales Entry'!$D:$D,B532,'Daily Sales Entry'!$G:$G)</f>
        <v>0</v>
      </c>
      <c r="I532" s="50">
        <f>SUMIFS('Stock Adjustment'!$E:$E,'Stock Adjustment'!$B:$B,$A532,'Stock Adjustment'!$D:$D,"Staff Consumption")</f>
        <v>0</v>
      </c>
      <c r="J532" s="50">
        <f>SUMIFS('Stock Adjustment'!$E:$E,'Stock Adjustment'!$B:$B,$A532,'Stock Adjustment'!$D:$D,"Damaged")</f>
        <v>0</v>
      </c>
      <c r="K532" s="50">
        <f>SUMIFS('Stock Adjustment'!$E:$E,'Stock Adjustment'!$B:$B,$A532,'Stock Adjustment'!$D:$D,"Expired")</f>
        <v>0</v>
      </c>
      <c r="L532" s="50">
        <f>SUMIFS('Stock Adjustment'!$E:$E,'Stock Adjustment'!$B:$B,$A532,'Stock Adjustment'!$D:$D,"Supplier Returned")</f>
        <v>0</v>
      </c>
      <c r="M5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2" s="53" t="str">
        <f>IF(B532="","",VLOOKUP(B532,'Product Master'!$B:$G,4,FALSE))</f>
        <v/>
      </c>
      <c r="O532" s="53" t="str">
        <f>IF(B532="","",VLOOKUP(B532,'Product Master'!$B:$G,5,FALSE))</f>
        <v/>
      </c>
      <c r="P532" s="50" t="str">
        <f>IF(B532="","",VLOOKUP(B532,'Product Master'!$B:$I,7,FALSE))</f>
        <v/>
      </c>
      <c r="Q532" s="158"/>
      <c r="R532" s="58" t="str">
        <f t="shared" si="8"/>
        <v/>
      </c>
      <c r="S532" s="25"/>
      <c r="T532" s="25"/>
      <c r="U532" s="25"/>
      <c r="V532" s="25"/>
      <c r="W532" s="25"/>
      <c r="X532" s="25"/>
    </row>
    <row r="533" spans="1:24" x14ac:dyDescent="0.25">
      <c r="A533" s="31" t="s">
        <v>1093</v>
      </c>
      <c r="B533" s="32"/>
      <c r="C533" s="50" t="str">
        <f>IF(B533="","",VLOOKUP(B533,'Product Master'!$B:$G,2,FALSE))</f>
        <v/>
      </c>
      <c r="D533" s="50" t="str">
        <f>IF(B533="","",VLOOKUP(B533,'Product Master'!$B:$G,3,FALSE))</f>
        <v/>
      </c>
      <c r="E533" s="50"/>
      <c r="F533" s="50">
        <f>SUMIF('Stock Purchase'!$D:$D,B533,'Stock Purchase'!$F:$F)</f>
        <v>0</v>
      </c>
      <c r="G533" s="50">
        <f>SUMIFS('Stock Adjustment'!$E:$E,'Stock Adjustment'!$B:$B,$A533,'Stock Adjustment'!$D:$D,"Customer Returned")</f>
        <v>0</v>
      </c>
      <c r="H533" s="50">
        <f>SUMIF('Daily Sales Entry'!$D:$D,B533,'Daily Sales Entry'!$G:$G)</f>
        <v>0</v>
      </c>
      <c r="I533" s="50">
        <f>SUMIFS('Stock Adjustment'!$E:$E,'Stock Adjustment'!$B:$B,$A533,'Stock Adjustment'!$D:$D,"Staff Consumption")</f>
        <v>0</v>
      </c>
      <c r="J533" s="50">
        <f>SUMIFS('Stock Adjustment'!$E:$E,'Stock Adjustment'!$B:$B,$A533,'Stock Adjustment'!$D:$D,"Damaged")</f>
        <v>0</v>
      </c>
      <c r="K533" s="50">
        <f>SUMIFS('Stock Adjustment'!$E:$E,'Stock Adjustment'!$B:$B,$A533,'Stock Adjustment'!$D:$D,"Expired")</f>
        <v>0</v>
      </c>
      <c r="L533" s="50">
        <f>SUMIFS('Stock Adjustment'!$E:$E,'Stock Adjustment'!$B:$B,$A533,'Stock Adjustment'!$D:$D,"Supplier Returned")</f>
        <v>0</v>
      </c>
      <c r="M5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3" s="53" t="str">
        <f>IF(B533="","",VLOOKUP(B533,'Product Master'!$B:$G,4,FALSE))</f>
        <v/>
      </c>
      <c r="O533" s="53" t="str">
        <f>IF(B533="","",VLOOKUP(B533,'Product Master'!$B:$G,5,FALSE))</f>
        <v/>
      </c>
      <c r="P533" s="50" t="str">
        <f>IF(B533="","",VLOOKUP(B533,'Product Master'!$B:$I,7,FALSE))</f>
        <v/>
      </c>
      <c r="Q533" s="158"/>
      <c r="R533" s="58" t="str">
        <f t="shared" si="8"/>
        <v/>
      </c>
      <c r="S533" s="25"/>
      <c r="T533" s="25"/>
      <c r="U533" s="25"/>
      <c r="V533" s="25"/>
      <c r="W533" s="25"/>
      <c r="X533" s="25"/>
    </row>
    <row r="534" spans="1:24" x14ac:dyDescent="0.25">
      <c r="A534" s="31" t="s">
        <v>1094</v>
      </c>
      <c r="B534" s="32"/>
      <c r="C534" s="50" t="str">
        <f>IF(B534="","",VLOOKUP(B534,'Product Master'!$B:$G,2,FALSE))</f>
        <v/>
      </c>
      <c r="D534" s="50" t="str">
        <f>IF(B534="","",VLOOKUP(B534,'Product Master'!$B:$G,3,FALSE))</f>
        <v/>
      </c>
      <c r="E534" s="50"/>
      <c r="F534" s="50">
        <f>SUMIF('Stock Purchase'!$D:$D,B534,'Stock Purchase'!$F:$F)</f>
        <v>0</v>
      </c>
      <c r="G534" s="50">
        <f>SUMIFS('Stock Adjustment'!$E:$E,'Stock Adjustment'!$B:$B,$A534,'Stock Adjustment'!$D:$D,"Customer Returned")</f>
        <v>0</v>
      </c>
      <c r="H534" s="50">
        <f>SUMIF('Daily Sales Entry'!$D:$D,B534,'Daily Sales Entry'!$G:$G)</f>
        <v>0</v>
      </c>
      <c r="I534" s="50">
        <f>SUMIFS('Stock Adjustment'!$E:$E,'Stock Adjustment'!$B:$B,$A534,'Stock Adjustment'!$D:$D,"Staff Consumption")</f>
        <v>0</v>
      </c>
      <c r="J534" s="50">
        <f>SUMIFS('Stock Adjustment'!$E:$E,'Stock Adjustment'!$B:$B,$A534,'Stock Adjustment'!$D:$D,"Damaged")</f>
        <v>0</v>
      </c>
      <c r="K534" s="50">
        <f>SUMIFS('Stock Adjustment'!$E:$E,'Stock Adjustment'!$B:$B,$A534,'Stock Adjustment'!$D:$D,"Expired")</f>
        <v>0</v>
      </c>
      <c r="L534" s="50">
        <f>SUMIFS('Stock Adjustment'!$E:$E,'Stock Adjustment'!$B:$B,$A534,'Stock Adjustment'!$D:$D,"Supplier Returned")</f>
        <v>0</v>
      </c>
      <c r="M5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4" s="53" t="str">
        <f>IF(B534="","",VLOOKUP(B534,'Product Master'!$B:$G,4,FALSE))</f>
        <v/>
      </c>
      <c r="O534" s="53" t="str">
        <f>IF(B534="","",VLOOKUP(B534,'Product Master'!$B:$G,5,FALSE))</f>
        <v/>
      </c>
      <c r="P534" s="50" t="str">
        <f>IF(B534="","",VLOOKUP(B534,'Product Master'!$B:$I,7,FALSE))</f>
        <v/>
      </c>
      <c r="Q534" s="158"/>
      <c r="R534" s="58" t="str">
        <f t="shared" si="8"/>
        <v/>
      </c>
      <c r="S534" s="25"/>
      <c r="T534" s="25"/>
      <c r="U534" s="25"/>
      <c r="V534" s="25"/>
      <c r="W534" s="25"/>
      <c r="X534" s="25"/>
    </row>
    <row r="535" spans="1:24" x14ac:dyDescent="0.25">
      <c r="A535" s="31" t="s">
        <v>1095</v>
      </c>
      <c r="B535" s="32"/>
      <c r="C535" s="50" t="str">
        <f>IF(B535="","",VLOOKUP(B535,'Product Master'!$B:$G,2,FALSE))</f>
        <v/>
      </c>
      <c r="D535" s="50" t="str">
        <f>IF(B535="","",VLOOKUP(B535,'Product Master'!$B:$G,3,FALSE))</f>
        <v/>
      </c>
      <c r="E535" s="50"/>
      <c r="F535" s="50">
        <f>SUMIF('Stock Purchase'!$D:$D,B535,'Stock Purchase'!$F:$F)</f>
        <v>0</v>
      </c>
      <c r="G535" s="50">
        <f>SUMIFS('Stock Adjustment'!$E:$E,'Stock Adjustment'!$B:$B,$A535,'Stock Adjustment'!$D:$D,"Customer Returned")</f>
        <v>0</v>
      </c>
      <c r="H535" s="50">
        <f>SUMIF('Daily Sales Entry'!$D:$D,B535,'Daily Sales Entry'!$G:$G)</f>
        <v>0</v>
      </c>
      <c r="I535" s="50">
        <f>SUMIFS('Stock Adjustment'!$E:$E,'Stock Adjustment'!$B:$B,$A535,'Stock Adjustment'!$D:$D,"Staff Consumption")</f>
        <v>0</v>
      </c>
      <c r="J535" s="50">
        <f>SUMIFS('Stock Adjustment'!$E:$E,'Stock Adjustment'!$B:$B,$A535,'Stock Adjustment'!$D:$D,"Damaged")</f>
        <v>0</v>
      </c>
      <c r="K535" s="50">
        <f>SUMIFS('Stock Adjustment'!$E:$E,'Stock Adjustment'!$B:$B,$A535,'Stock Adjustment'!$D:$D,"Expired")</f>
        <v>0</v>
      </c>
      <c r="L535" s="50">
        <f>SUMIFS('Stock Adjustment'!$E:$E,'Stock Adjustment'!$B:$B,$A535,'Stock Adjustment'!$D:$D,"Supplier Returned")</f>
        <v>0</v>
      </c>
      <c r="M5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5" s="53" t="str">
        <f>IF(B535="","",VLOOKUP(B535,'Product Master'!$B:$G,4,FALSE))</f>
        <v/>
      </c>
      <c r="O535" s="53" t="str">
        <f>IF(B535="","",VLOOKUP(B535,'Product Master'!$B:$G,5,FALSE))</f>
        <v/>
      </c>
      <c r="P535" s="50" t="str">
        <f>IF(B535="","",VLOOKUP(B535,'Product Master'!$B:$I,7,FALSE))</f>
        <v/>
      </c>
      <c r="Q535" s="158"/>
      <c r="R535" s="58" t="str">
        <f t="shared" si="8"/>
        <v/>
      </c>
      <c r="S535" s="25"/>
      <c r="T535" s="25"/>
      <c r="U535" s="25"/>
      <c r="V535" s="25"/>
      <c r="W535" s="25"/>
      <c r="X535" s="25"/>
    </row>
    <row r="536" spans="1:24" x14ac:dyDescent="0.25">
      <c r="A536" s="31" t="s">
        <v>1096</v>
      </c>
      <c r="B536" s="32"/>
      <c r="C536" s="50" t="str">
        <f>IF(B536="","",VLOOKUP(B536,'Product Master'!$B:$G,2,FALSE))</f>
        <v/>
      </c>
      <c r="D536" s="50" t="str">
        <f>IF(B536="","",VLOOKUP(B536,'Product Master'!$B:$G,3,FALSE))</f>
        <v/>
      </c>
      <c r="E536" s="50"/>
      <c r="F536" s="50">
        <f>SUMIF('Stock Purchase'!$D:$D,B536,'Stock Purchase'!$F:$F)</f>
        <v>0</v>
      </c>
      <c r="G536" s="50">
        <f>SUMIFS('Stock Adjustment'!$E:$E,'Stock Adjustment'!$B:$B,$A536,'Stock Adjustment'!$D:$D,"Customer Returned")</f>
        <v>0</v>
      </c>
      <c r="H536" s="50">
        <f>SUMIF('Daily Sales Entry'!$D:$D,B536,'Daily Sales Entry'!$G:$G)</f>
        <v>0</v>
      </c>
      <c r="I536" s="50">
        <f>SUMIFS('Stock Adjustment'!$E:$E,'Stock Adjustment'!$B:$B,$A536,'Stock Adjustment'!$D:$D,"Staff Consumption")</f>
        <v>0</v>
      </c>
      <c r="J536" s="50">
        <f>SUMIFS('Stock Adjustment'!$E:$E,'Stock Adjustment'!$B:$B,$A536,'Stock Adjustment'!$D:$D,"Damaged")</f>
        <v>0</v>
      </c>
      <c r="K536" s="50">
        <f>SUMIFS('Stock Adjustment'!$E:$E,'Stock Adjustment'!$B:$B,$A536,'Stock Adjustment'!$D:$D,"Expired")</f>
        <v>0</v>
      </c>
      <c r="L536" s="50">
        <f>SUMIFS('Stock Adjustment'!$E:$E,'Stock Adjustment'!$B:$B,$A536,'Stock Adjustment'!$D:$D,"Supplier Returned")</f>
        <v>0</v>
      </c>
      <c r="M5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6" s="53" t="str">
        <f>IF(B536="","",VLOOKUP(B536,'Product Master'!$B:$G,4,FALSE))</f>
        <v/>
      </c>
      <c r="O536" s="53" t="str">
        <f>IF(B536="","",VLOOKUP(B536,'Product Master'!$B:$G,5,FALSE))</f>
        <v/>
      </c>
      <c r="P536" s="50" t="str">
        <f>IF(B536="","",VLOOKUP(B536,'Product Master'!$B:$I,7,FALSE))</f>
        <v/>
      </c>
      <c r="Q536" s="158"/>
      <c r="R536" s="58" t="str">
        <f t="shared" si="8"/>
        <v/>
      </c>
      <c r="S536" s="25"/>
      <c r="T536" s="25"/>
      <c r="U536" s="25"/>
      <c r="V536" s="25"/>
      <c r="W536" s="25"/>
      <c r="X536" s="25"/>
    </row>
    <row r="537" spans="1:24" x14ac:dyDescent="0.25">
      <c r="A537" s="31" t="s">
        <v>1097</v>
      </c>
      <c r="B537" s="32"/>
      <c r="C537" s="50" t="str">
        <f>IF(B537="","",VLOOKUP(B537,'Product Master'!$B:$G,2,FALSE))</f>
        <v/>
      </c>
      <c r="D537" s="50" t="str">
        <f>IF(B537="","",VLOOKUP(B537,'Product Master'!$B:$G,3,FALSE))</f>
        <v/>
      </c>
      <c r="E537" s="50"/>
      <c r="F537" s="50">
        <f>SUMIF('Stock Purchase'!$D:$D,B537,'Stock Purchase'!$F:$F)</f>
        <v>0</v>
      </c>
      <c r="G537" s="50">
        <f>SUMIFS('Stock Adjustment'!$E:$E,'Stock Adjustment'!$B:$B,$A537,'Stock Adjustment'!$D:$D,"Customer Returned")</f>
        <v>0</v>
      </c>
      <c r="H537" s="50">
        <f>SUMIF('Daily Sales Entry'!$D:$D,B537,'Daily Sales Entry'!$G:$G)</f>
        <v>0</v>
      </c>
      <c r="I537" s="50">
        <f>SUMIFS('Stock Adjustment'!$E:$E,'Stock Adjustment'!$B:$B,$A537,'Stock Adjustment'!$D:$D,"Staff Consumption")</f>
        <v>0</v>
      </c>
      <c r="J537" s="50">
        <f>SUMIFS('Stock Adjustment'!$E:$E,'Stock Adjustment'!$B:$B,$A537,'Stock Adjustment'!$D:$D,"Damaged")</f>
        <v>0</v>
      </c>
      <c r="K537" s="50">
        <f>SUMIFS('Stock Adjustment'!$E:$E,'Stock Adjustment'!$B:$B,$A537,'Stock Adjustment'!$D:$D,"Expired")</f>
        <v>0</v>
      </c>
      <c r="L537" s="50">
        <f>SUMIFS('Stock Adjustment'!$E:$E,'Stock Adjustment'!$B:$B,$A537,'Stock Adjustment'!$D:$D,"Supplier Returned")</f>
        <v>0</v>
      </c>
      <c r="M5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7" s="53" t="str">
        <f>IF(B537="","",VLOOKUP(B537,'Product Master'!$B:$G,4,FALSE))</f>
        <v/>
      </c>
      <c r="O537" s="53" t="str">
        <f>IF(B537="","",VLOOKUP(B537,'Product Master'!$B:$G,5,FALSE))</f>
        <v/>
      </c>
      <c r="P537" s="50" t="str">
        <f>IF(B537="","",VLOOKUP(B537,'Product Master'!$B:$I,7,FALSE))</f>
        <v/>
      </c>
      <c r="Q537" s="158"/>
      <c r="R537" s="58" t="str">
        <f t="shared" si="8"/>
        <v/>
      </c>
      <c r="S537" s="25"/>
      <c r="T537" s="25"/>
      <c r="U537" s="25"/>
      <c r="V537" s="25"/>
      <c r="W537" s="25"/>
      <c r="X537" s="25"/>
    </row>
    <row r="538" spans="1:24" x14ac:dyDescent="0.25">
      <c r="A538" s="31" t="s">
        <v>1098</v>
      </c>
      <c r="B538" s="32"/>
      <c r="C538" s="50" t="str">
        <f>IF(B538="","",VLOOKUP(B538,'Product Master'!$B:$G,2,FALSE))</f>
        <v/>
      </c>
      <c r="D538" s="50" t="str">
        <f>IF(B538="","",VLOOKUP(B538,'Product Master'!$B:$G,3,FALSE))</f>
        <v/>
      </c>
      <c r="E538" s="50"/>
      <c r="F538" s="50">
        <f>SUMIF('Stock Purchase'!$D:$D,B538,'Stock Purchase'!$F:$F)</f>
        <v>0</v>
      </c>
      <c r="G538" s="50">
        <f>SUMIFS('Stock Adjustment'!$E:$E,'Stock Adjustment'!$B:$B,$A538,'Stock Adjustment'!$D:$D,"Customer Returned")</f>
        <v>0</v>
      </c>
      <c r="H538" s="50">
        <f>SUMIF('Daily Sales Entry'!$D:$D,B538,'Daily Sales Entry'!$G:$G)</f>
        <v>0</v>
      </c>
      <c r="I538" s="50">
        <f>SUMIFS('Stock Adjustment'!$E:$E,'Stock Adjustment'!$B:$B,$A538,'Stock Adjustment'!$D:$D,"Staff Consumption")</f>
        <v>0</v>
      </c>
      <c r="J538" s="50">
        <f>SUMIFS('Stock Adjustment'!$E:$E,'Stock Adjustment'!$B:$B,$A538,'Stock Adjustment'!$D:$D,"Damaged")</f>
        <v>0</v>
      </c>
      <c r="K538" s="50">
        <f>SUMIFS('Stock Adjustment'!$E:$E,'Stock Adjustment'!$B:$B,$A538,'Stock Adjustment'!$D:$D,"Expired")</f>
        <v>0</v>
      </c>
      <c r="L538" s="50">
        <f>SUMIFS('Stock Adjustment'!$E:$E,'Stock Adjustment'!$B:$B,$A538,'Stock Adjustment'!$D:$D,"Supplier Returned")</f>
        <v>0</v>
      </c>
      <c r="M5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8" s="53" t="str">
        <f>IF(B538="","",VLOOKUP(B538,'Product Master'!$B:$G,4,FALSE))</f>
        <v/>
      </c>
      <c r="O538" s="53" t="str">
        <f>IF(B538="","",VLOOKUP(B538,'Product Master'!$B:$G,5,FALSE))</f>
        <v/>
      </c>
      <c r="P538" s="50" t="str">
        <f>IF(B538="","",VLOOKUP(B538,'Product Master'!$B:$I,7,FALSE))</f>
        <v/>
      </c>
      <c r="Q538" s="158"/>
      <c r="R538" s="58" t="str">
        <f t="shared" si="8"/>
        <v/>
      </c>
      <c r="S538" s="25"/>
      <c r="T538" s="25"/>
      <c r="U538" s="25"/>
      <c r="V538" s="25"/>
      <c r="W538" s="25"/>
      <c r="X538" s="25"/>
    </row>
    <row r="539" spans="1:24" x14ac:dyDescent="0.25">
      <c r="A539" s="31" t="s">
        <v>1099</v>
      </c>
      <c r="B539" s="32"/>
      <c r="C539" s="50" t="str">
        <f>IF(B539="","",VLOOKUP(B539,'Product Master'!$B:$G,2,FALSE))</f>
        <v/>
      </c>
      <c r="D539" s="50" t="str">
        <f>IF(B539="","",VLOOKUP(B539,'Product Master'!$B:$G,3,FALSE))</f>
        <v/>
      </c>
      <c r="E539" s="50"/>
      <c r="F539" s="50">
        <f>SUMIF('Stock Purchase'!$D:$D,B539,'Stock Purchase'!$F:$F)</f>
        <v>0</v>
      </c>
      <c r="G539" s="50">
        <f>SUMIFS('Stock Adjustment'!$E:$E,'Stock Adjustment'!$B:$B,$A539,'Stock Adjustment'!$D:$D,"Customer Returned")</f>
        <v>0</v>
      </c>
      <c r="H539" s="50">
        <f>SUMIF('Daily Sales Entry'!$D:$D,B539,'Daily Sales Entry'!$G:$G)</f>
        <v>0</v>
      </c>
      <c r="I539" s="50">
        <f>SUMIFS('Stock Adjustment'!$E:$E,'Stock Adjustment'!$B:$B,$A539,'Stock Adjustment'!$D:$D,"Staff Consumption")</f>
        <v>0</v>
      </c>
      <c r="J539" s="50">
        <f>SUMIFS('Stock Adjustment'!$E:$E,'Stock Adjustment'!$B:$B,$A539,'Stock Adjustment'!$D:$D,"Damaged")</f>
        <v>0</v>
      </c>
      <c r="K539" s="50">
        <f>SUMIFS('Stock Adjustment'!$E:$E,'Stock Adjustment'!$B:$B,$A539,'Stock Adjustment'!$D:$D,"Expired")</f>
        <v>0</v>
      </c>
      <c r="L539" s="50">
        <f>SUMIFS('Stock Adjustment'!$E:$E,'Stock Adjustment'!$B:$B,$A539,'Stock Adjustment'!$D:$D,"Supplier Returned")</f>
        <v>0</v>
      </c>
      <c r="M5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39" s="53" t="str">
        <f>IF(B539="","",VLOOKUP(B539,'Product Master'!$B:$G,4,FALSE))</f>
        <v/>
      </c>
      <c r="O539" s="53" t="str">
        <f>IF(B539="","",VLOOKUP(B539,'Product Master'!$B:$G,5,FALSE))</f>
        <v/>
      </c>
      <c r="P539" s="50" t="str">
        <f>IF(B539="","",VLOOKUP(B539,'Product Master'!$B:$I,7,FALSE))</f>
        <v/>
      </c>
      <c r="Q539" s="158"/>
      <c r="R539" s="58" t="str">
        <f t="shared" si="8"/>
        <v/>
      </c>
      <c r="S539" s="25"/>
      <c r="T539" s="25"/>
      <c r="U539" s="25"/>
      <c r="V539" s="25"/>
      <c r="W539" s="25"/>
      <c r="X539" s="25"/>
    </row>
    <row r="540" spans="1:24" x14ac:dyDescent="0.25">
      <c r="A540" s="31" t="s">
        <v>1100</v>
      </c>
      <c r="B540" s="32"/>
      <c r="C540" s="50" t="str">
        <f>IF(B540="","",VLOOKUP(B540,'Product Master'!$B:$G,2,FALSE))</f>
        <v/>
      </c>
      <c r="D540" s="50" t="str">
        <f>IF(B540="","",VLOOKUP(B540,'Product Master'!$B:$G,3,FALSE))</f>
        <v/>
      </c>
      <c r="E540" s="50"/>
      <c r="F540" s="50">
        <f>SUMIF('Stock Purchase'!$D:$D,B540,'Stock Purchase'!$F:$F)</f>
        <v>0</v>
      </c>
      <c r="G540" s="50">
        <f>SUMIFS('Stock Adjustment'!$E:$E,'Stock Adjustment'!$B:$B,$A540,'Stock Adjustment'!$D:$D,"Customer Returned")</f>
        <v>0</v>
      </c>
      <c r="H540" s="50">
        <f>SUMIF('Daily Sales Entry'!$D:$D,B540,'Daily Sales Entry'!$G:$G)</f>
        <v>0</v>
      </c>
      <c r="I540" s="50">
        <f>SUMIFS('Stock Adjustment'!$E:$E,'Stock Adjustment'!$B:$B,$A540,'Stock Adjustment'!$D:$D,"Staff Consumption")</f>
        <v>0</v>
      </c>
      <c r="J540" s="50">
        <f>SUMIFS('Stock Adjustment'!$E:$E,'Stock Adjustment'!$B:$B,$A540,'Stock Adjustment'!$D:$D,"Damaged")</f>
        <v>0</v>
      </c>
      <c r="K540" s="50">
        <f>SUMIFS('Stock Adjustment'!$E:$E,'Stock Adjustment'!$B:$B,$A540,'Stock Adjustment'!$D:$D,"Expired")</f>
        <v>0</v>
      </c>
      <c r="L540" s="50">
        <f>SUMIFS('Stock Adjustment'!$E:$E,'Stock Adjustment'!$B:$B,$A540,'Stock Adjustment'!$D:$D,"Supplier Returned")</f>
        <v>0</v>
      </c>
      <c r="M5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0" s="53" t="str">
        <f>IF(B540="","",VLOOKUP(B540,'Product Master'!$B:$G,4,FALSE))</f>
        <v/>
      </c>
      <c r="O540" s="53" t="str">
        <f>IF(B540="","",VLOOKUP(B540,'Product Master'!$B:$G,5,FALSE))</f>
        <v/>
      </c>
      <c r="P540" s="50" t="str">
        <f>IF(B540="","",VLOOKUP(B540,'Product Master'!$B:$I,7,FALSE))</f>
        <v/>
      </c>
      <c r="Q540" s="158"/>
      <c r="R540" s="58" t="str">
        <f t="shared" si="8"/>
        <v/>
      </c>
      <c r="S540" s="25"/>
      <c r="T540" s="25"/>
      <c r="U540" s="25"/>
      <c r="V540" s="25"/>
      <c r="W540" s="25"/>
      <c r="X540" s="25"/>
    </row>
    <row r="541" spans="1:24" x14ac:dyDescent="0.25">
      <c r="A541" s="31" t="s">
        <v>1101</v>
      </c>
      <c r="B541" s="32"/>
      <c r="C541" s="50" t="str">
        <f>IF(B541="","",VLOOKUP(B541,'Product Master'!$B:$G,2,FALSE))</f>
        <v/>
      </c>
      <c r="D541" s="50" t="str">
        <f>IF(B541="","",VLOOKUP(B541,'Product Master'!$B:$G,3,FALSE))</f>
        <v/>
      </c>
      <c r="E541" s="50"/>
      <c r="F541" s="50">
        <f>SUMIF('Stock Purchase'!$D:$D,B541,'Stock Purchase'!$F:$F)</f>
        <v>0</v>
      </c>
      <c r="G541" s="50">
        <f>SUMIFS('Stock Adjustment'!$E:$E,'Stock Adjustment'!$B:$B,$A541,'Stock Adjustment'!$D:$D,"Customer Returned")</f>
        <v>0</v>
      </c>
      <c r="H541" s="50">
        <f>SUMIF('Daily Sales Entry'!$D:$D,B541,'Daily Sales Entry'!$G:$G)</f>
        <v>0</v>
      </c>
      <c r="I541" s="50">
        <f>SUMIFS('Stock Adjustment'!$E:$E,'Stock Adjustment'!$B:$B,$A541,'Stock Adjustment'!$D:$D,"Staff Consumption")</f>
        <v>0</v>
      </c>
      <c r="J541" s="50">
        <f>SUMIFS('Stock Adjustment'!$E:$E,'Stock Adjustment'!$B:$B,$A541,'Stock Adjustment'!$D:$D,"Damaged")</f>
        <v>0</v>
      </c>
      <c r="K541" s="50">
        <f>SUMIFS('Stock Adjustment'!$E:$E,'Stock Adjustment'!$B:$B,$A541,'Stock Adjustment'!$D:$D,"Expired")</f>
        <v>0</v>
      </c>
      <c r="L541" s="50">
        <f>SUMIFS('Stock Adjustment'!$E:$E,'Stock Adjustment'!$B:$B,$A541,'Stock Adjustment'!$D:$D,"Supplier Returned")</f>
        <v>0</v>
      </c>
      <c r="M5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1" s="53" t="str">
        <f>IF(B541="","",VLOOKUP(B541,'Product Master'!$B:$G,4,FALSE))</f>
        <v/>
      </c>
      <c r="O541" s="53" t="str">
        <f>IF(B541="","",VLOOKUP(B541,'Product Master'!$B:$G,5,FALSE))</f>
        <v/>
      </c>
      <c r="P541" s="50" t="str">
        <f>IF(B541="","",VLOOKUP(B541,'Product Master'!$B:$I,7,FALSE))</f>
        <v/>
      </c>
      <c r="Q541" s="158"/>
      <c r="R541" s="58" t="str">
        <f t="shared" si="8"/>
        <v/>
      </c>
      <c r="S541" s="25"/>
      <c r="T541" s="25"/>
      <c r="U541" s="25"/>
      <c r="V541" s="25"/>
      <c r="W541" s="25"/>
      <c r="X541" s="25"/>
    </row>
    <row r="542" spans="1:24" x14ac:dyDescent="0.25">
      <c r="A542" s="31" t="s">
        <v>1102</v>
      </c>
      <c r="B542" s="32"/>
      <c r="C542" s="50" t="str">
        <f>IF(B542="","",VLOOKUP(B542,'Product Master'!$B:$G,2,FALSE))</f>
        <v/>
      </c>
      <c r="D542" s="50" t="str">
        <f>IF(B542="","",VLOOKUP(B542,'Product Master'!$B:$G,3,FALSE))</f>
        <v/>
      </c>
      <c r="E542" s="50"/>
      <c r="F542" s="50">
        <f>SUMIF('Stock Purchase'!$D:$D,B542,'Stock Purchase'!$F:$F)</f>
        <v>0</v>
      </c>
      <c r="G542" s="50">
        <f>SUMIFS('Stock Adjustment'!$E:$E,'Stock Adjustment'!$B:$B,$A542,'Stock Adjustment'!$D:$D,"Customer Returned")</f>
        <v>0</v>
      </c>
      <c r="H542" s="50">
        <f>SUMIF('Daily Sales Entry'!$D:$D,B542,'Daily Sales Entry'!$G:$G)</f>
        <v>0</v>
      </c>
      <c r="I542" s="50">
        <f>SUMIFS('Stock Adjustment'!$E:$E,'Stock Adjustment'!$B:$B,$A542,'Stock Adjustment'!$D:$D,"Staff Consumption")</f>
        <v>0</v>
      </c>
      <c r="J542" s="50">
        <f>SUMIFS('Stock Adjustment'!$E:$E,'Stock Adjustment'!$B:$B,$A542,'Stock Adjustment'!$D:$D,"Damaged")</f>
        <v>0</v>
      </c>
      <c r="K542" s="50">
        <f>SUMIFS('Stock Adjustment'!$E:$E,'Stock Adjustment'!$B:$B,$A542,'Stock Adjustment'!$D:$D,"Expired")</f>
        <v>0</v>
      </c>
      <c r="L542" s="50">
        <f>SUMIFS('Stock Adjustment'!$E:$E,'Stock Adjustment'!$B:$B,$A542,'Stock Adjustment'!$D:$D,"Supplier Returned")</f>
        <v>0</v>
      </c>
      <c r="M5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2" s="53" t="str">
        <f>IF(B542="","",VLOOKUP(B542,'Product Master'!$B:$G,4,FALSE))</f>
        <v/>
      </c>
      <c r="O542" s="53" t="str">
        <f>IF(B542="","",VLOOKUP(B542,'Product Master'!$B:$G,5,FALSE))</f>
        <v/>
      </c>
      <c r="P542" s="50" t="str">
        <f>IF(B542="","",VLOOKUP(B542,'Product Master'!$B:$I,7,FALSE))</f>
        <v/>
      </c>
      <c r="Q542" s="158"/>
      <c r="R542" s="58" t="str">
        <f t="shared" si="8"/>
        <v/>
      </c>
      <c r="S542" s="25"/>
      <c r="T542" s="25"/>
      <c r="U542" s="25"/>
      <c r="V542" s="25"/>
      <c r="W542" s="25"/>
      <c r="X542" s="25"/>
    </row>
    <row r="543" spans="1:24" x14ac:dyDescent="0.25">
      <c r="A543" s="31" t="s">
        <v>1103</v>
      </c>
      <c r="B543" s="32"/>
      <c r="C543" s="50" t="str">
        <f>IF(B543="","",VLOOKUP(B543,'Product Master'!$B:$G,2,FALSE))</f>
        <v/>
      </c>
      <c r="D543" s="50" t="str">
        <f>IF(B543="","",VLOOKUP(B543,'Product Master'!$B:$G,3,FALSE))</f>
        <v/>
      </c>
      <c r="E543" s="50"/>
      <c r="F543" s="50">
        <f>SUMIF('Stock Purchase'!$D:$D,B543,'Stock Purchase'!$F:$F)</f>
        <v>0</v>
      </c>
      <c r="G543" s="50">
        <f>SUMIFS('Stock Adjustment'!$E:$E,'Stock Adjustment'!$B:$B,$A543,'Stock Adjustment'!$D:$D,"Customer Returned")</f>
        <v>0</v>
      </c>
      <c r="H543" s="50">
        <f>SUMIF('Daily Sales Entry'!$D:$D,B543,'Daily Sales Entry'!$G:$G)</f>
        <v>0</v>
      </c>
      <c r="I543" s="50">
        <f>SUMIFS('Stock Adjustment'!$E:$E,'Stock Adjustment'!$B:$B,$A543,'Stock Adjustment'!$D:$D,"Staff Consumption")</f>
        <v>0</v>
      </c>
      <c r="J543" s="50">
        <f>SUMIFS('Stock Adjustment'!$E:$E,'Stock Adjustment'!$B:$B,$A543,'Stock Adjustment'!$D:$D,"Damaged")</f>
        <v>0</v>
      </c>
      <c r="K543" s="50">
        <f>SUMIFS('Stock Adjustment'!$E:$E,'Stock Adjustment'!$B:$B,$A543,'Stock Adjustment'!$D:$D,"Expired")</f>
        <v>0</v>
      </c>
      <c r="L543" s="50">
        <f>SUMIFS('Stock Adjustment'!$E:$E,'Stock Adjustment'!$B:$B,$A543,'Stock Adjustment'!$D:$D,"Supplier Returned")</f>
        <v>0</v>
      </c>
      <c r="M5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3" s="53" t="str">
        <f>IF(B543="","",VLOOKUP(B543,'Product Master'!$B:$G,4,FALSE))</f>
        <v/>
      </c>
      <c r="O543" s="53" t="str">
        <f>IF(B543="","",VLOOKUP(B543,'Product Master'!$B:$G,5,FALSE))</f>
        <v/>
      </c>
      <c r="P543" s="50" t="str">
        <f>IF(B543="","",VLOOKUP(B543,'Product Master'!$B:$I,7,FALSE))</f>
        <v/>
      </c>
      <c r="Q543" s="158"/>
      <c r="R543" s="58" t="str">
        <f t="shared" si="8"/>
        <v/>
      </c>
      <c r="S543" s="25"/>
      <c r="T543" s="25"/>
      <c r="U543" s="25"/>
      <c r="V543" s="25"/>
      <c r="W543" s="25"/>
      <c r="X543" s="25"/>
    </row>
    <row r="544" spans="1:24" x14ac:dyDescent="0.25">
      <c r="A544" s="31" t="s">
        <v>1104</v>
      </c>
      <c r="B544" s="32"/>
      <c r="C544" s="50" t="str">
        <f>IF(B544="","",VLOOKUP(B544,'Product Master'!$B:$G,2,FALSE))</f>
        <v/>
      </c>
      <c r="D544" s="50" t="str">
        <f>IF(B544="","",VLOOKUP(B544,'Product Master'!$B:$G,3,FALSE))</f>
        <v/>
      </c>
      <c r="E544" s="50"/>
      <c r="F544" s="50">
        <f>SUMIF('Stock Purchase'!$D:$D,B544,'Stock Purchase'!$F:$F)</f>
        <v>0</v>
      </c>
      <c r="G544" s="50">
        <f>SUMIFS('Stock Adjustment'!$E:$E,'Stock Adjustment'!$B:$B,$A544,'Stock Adjustment'!$D:$D,"Customer Returned")</f>
        <v>0</v>
      </c>
      <c r="H544" s="50">
        <f>SUMIF('Daily Sales Entry'!$D:$D,B544,'Daily Sales Entry'!$G:$G)</f>
        <v>0</v>
      </c>
      <c r="I544" s="50">
        <f>SUMIFS('Stock Adjustment'!$E:$E,'Stock Adjustment'!$B:$B,$A544,'Stock Adjustment'!$D:$D,"Staff Consumption")</f>
        <v>0</v>
      </c>
      <c r="J544" s="50">
        <f>SUMIFS('Stock Adjustment'!$E:$E,'Stock Adjustment'!$B:$B,$A544,'Stock Adjustment'!$D:$D,"Damaged")</f>
        <v>0</v>
      </c>
      <c r="K544" s="50">
        <f>SUMIFS('Stock Adjustment'!$E:$E,'Stock Adjustment'!$B:$B,$A544,'Stock Adjustment'!$D:$D,"Expired")</f>
        <v>0</v>
      </c>
      <c r="L544" s="50">
        <f>SUMIFS('Stock Adjustment'!$E:$E,'Stock Adjustment'!$B:$B,$A544,'Stock Adjustment'!$D:$D,"Supplier Returned")</f>
        <v>0</v>
      </c>
      <c r="M5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4" s="53" t="str">
        <f>IF(B544="","",VLOOKUP(B544,'Product Master'!$B:$G,4,FALSE))</f>
        <v/>
      </c>
      <c r="O544" s="53" t="str">
        <f>IF(B544="","",VLOOKUP(B544,'Product Master'!$B:$G,5,FALSE))</f>
        <v/>
      </c>
      <c r="P544" s="50" t="str">
        <f>IF(B544="","",VLOOKUP(B544,'Product Master'!$B:$I,7,FALSE))</f>
        <v/>
      </c>
      <c r="Q544" s="158"/>
      <c r="R544" s="58" t="str">
        <f t="shared" si="8"/>
        <v/>
      </c>
      <c r="S544" s="25"/>
      <c r="T544" s="25"/>
      <c r="U544" s="25"/>
      <c r="V544" s="25"/>
      <c r="W544" s="25"/>
      <c r="X544" s="25"/>
    </row>
    <row r="545" spans="1:24" x14ac:dyDescent="0.25">
      <c r="A545" s="31" t="s">
        <v>1105</v>
      </c>
      <c r="B545" s="32"/>
      <c r="C545" s="50" t="str">
        <f>IF(B545="","",VLOOKUP(B545,'Product Master'!$B:$G,2,FALSE))</f>
        <v/>
      </c>
      <c r="D545" s="50" t="str">
        <f>IF(B545="","",VLOOKUP(B545,'Product Master'!$B:$G,3,FALSE))</f>
        <v/>
      </c>
      <c r="E545" s="50"/>
      <c r="F545" s="50">
        <f>SUMIF('Stock Purchase'!$D:$D,B545,'Stock Purchase'!$F:$F)</f>
        <v>0</v>
      </c>
      <c r="G545" s="50">
        <f>SUMIFS('Stock Adjustment'!$E:$E,'Stock Adjustment'!$B:$B,$A545,'Stock Adjustment'!$D:$D,"Customer Returned")</f>
        <v>0</v>
      </c>
      <c r="H545" s="50">
        <f>SUMIF('Daily Sales Entry'!$D:$D,B545,'Daily Sales Entry'!$G:$G)</f>
        <v>0</v>
      </c>
      <c r="I545" s="50">
        <f>SUMIFS('Stock Adjustment'!$E:$E,'Stock Adjustment'!$B:$B,$A545,'Stock Adjustment'!$D:$D,"Staff Consumption")</f>
        <v>0</v>
      </c>
      <c r="J545" s="50">
        <f>SUMIFS('Stock Adjustment'!$E:$E,'Stock Adjustment'!$B:$B,$A545,'Stock Adjustment'!$D:$D,"Damaged")</f>
        <v>0</v>
      </c>
      <c r="K545" s="50">
        <f>SUMIFS('Stock Adjustment'!$E:$E,'Stock Adjustment'!$B:$B,$A545,'Stock Adjustment'!$D:$D,"Expired")</f>
        <v>0</v>
      </c>
      <c r="L545" s="50">
        <f>SUMIFS('Stock Adjustment'!$E:$E,'Stock Adjustment'!$B:$B,$A545,'Stock Adjustment'!$D:$D,"Supplier Returned")</f>
        <v>0</v>
      </c>
      <c r="M5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5" s="53" t="str">
        <f>IF(B545="","",VLOOKUP(B545,'Product Master'!$B:$G,4,FALSE))</f>
        <v/>
      </c>
      <c r="O545" s="53" t="str">
        <f>IF(B545="","",VLOOKUP(B545,'Product Master'!$B:$G,5,FALSE))</f>
        <v/>
      </c>
      <c r="P545" s="50" t="str">
        <f>IF(B545="","",VLOOKUP(B545,'Product Master'!$B:$I,7,FALSE))</f>
        <v/>
      </c>
      <c r="Q545" s="158"/>
      <c r="R545" s="58" t="str">
        <f t="shared" si="8"/>
        <v/>
      </c>
      <c r="S545" s="25"/>
      <c r="T545" s="25"/>
      <c r="U545" s="25"/>
      <c r="V545" s="25"/>
      <c r="W545" s="25"/>
      <c r="X545" s="25"/>
    </row>
    <row r="546" spans="1:24" x14ac:dyDescent="0.25">
      <c r="A546" s="31" t="s">
        <v>1106</v>
      </c>
      <c r="B546" s="32"/>
      <c r="C546" s="50" t="str">
        <f>IF(B546="","",VLOOKUP(B546,'Product Master'!$B:$G,2,FALSE))</f>
        <v/>
      </c>
      <c r="D546" s="50" t="str">
        <f>IF(B546="","",VLOOKUP(B546,'Product Master'!$B:$G,3,FALSE))</f>
        <v/>
      </c>
      <c r="E546" s="50"/>
      <c r="F546" s="50">
        <f>SUMIF('Stock Purchase'!$D:$D,B546,'Stock Purchase'!$F:$F)</f>
        <v>0</v>
      </c>
      <c r="G546" s="50">
        <f>SUMIFS('Stock Adjustment'!$E:$E,'Stock Adjustment'!$B:$B,$A546,'Stock Adjustment'!$D:$D,"Customer Returned")</f>
        <v>0</v>
      </c>
      <c r="H546" s="50">
        <f>SUMIF('Daily Sales Entry'!$D:$D,B546,'Daily Sales Entry'!$G:$G)</f>
        <v>0</v>
      </c>
      <c r="I546" s="50">
        <f>SUMIFS('Stock Adjustment'!$E:$E,'Stock Adjustment'!$B:$B,$A546,'Stock Adjustment'!$D:$D,"Staff Consumption")</f>
        <v>0</v>
      </c>
      <c r="J546" s="50">
        <f>SUMIFS('Stock Adjustment'!$E:$E,'Stock Adjustment'!$B:$B,$A546,'Stock Adjustment'!$D:$D,"Damaged")</f>
        <v>0</v>
      </c>
      <c r="K546" s="50">
        <f>SUMIFS('Stock Adjustment'!$E:$E,'Stock Adjustment'!$B:$B,$A546,'Stock Adjustment'!$D:$D,"Expired")</f>
        <v>0</v>
      </c>
      <c r="L546" s="50">
        <f>SUMIFS('Stock Adjustment'!$E:$E,'Stock Adjustment'!$B:$B,$A546,'Stock Adjustment'!$D:$D,"Supplier Returned")</f>
        <v>0</v>
      </c>
      <c r="M5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6" s="53" t="str">
        <f>IF(B546="","",VLOOKUP(B546,'Product Master'!$B:$G,4,FALSE))</f>
        <v/>
      </c>
      <c r="O546" s="53" t="str">
        <f>IF(B546="","",VLOOKUP(B546,'Product Master'!$B:$G,5,FALSE))</f>
        <v/>
      </c>
      <c r="P546" s="50" t="str">
        <f>IF(B546="","",VLOOKUP(B546,'Product Master'!$B:$I,7,FALSE))</f>
        <v/>
      </c>
      <c r="Q546" s="158"/>
      <c r="R546" s="58" t="str">
        <f t="shared" si="8"/>
        <v/>
      </c>
      <c r="S546" s="25"/>
      <c r="T546" s="25"/>
      <c r="U546" s="25"/>
      <c r="V546" s="25"/>
      <c r="W546" s="25"/>
      <c r="X546" s="25"/>
    </row>
    <row r="547" spans="1:24" x14ac:dyDescent="0.25">
      <c r="A547" s="31" t="s">
        <v>1107</v>
      </c>
      <c r="B547" s="32"/>
      <c r="C547" s="50" t="str">
        <f>IF(B547="","",VLOOKUP(B547,'Product Master'!$B:$G,2,FALSE))</f>
        <v/>
      </c>
      <c r="D547" s="50" t="str">
        <f>IF(B547="","",VLOOKUP(B547,'Product Master'!$B:$G,3,FALSE))</f>
        <v/>
      </c>
      <c r="E547" s="50"/>
      <c r="F547" s="50">
        <f>SUMIF('Stock Purchase'!$D:$D,B547,'Stock Purchase'!$F:$F)</f>
        <v>0</v>
      </c>
      <c r="G547" s="50">
        <f>SUMIFS('Stock Adjustment'!$E:$E,'Stock Adjustment'!$B:$B,$A547,'Stock Adjustment'!$D:$D,"Customer Returned")</f>
        <v>0</v>
      </c>
      <c r="H547" s="50">
        <f>SUMIF('Daily Sales Entry'!$D:$D,B547,'Daily Sales Entry'!$G:$G)</f>
        <v>0</v>
      </c>
      <c r="I547" s="50">
        <f>SUMIFS('Stock Adjustment'!$E:$E,'Stock Adjustment'!$B:$B,$A547,'Stock Adjustment'!$D:$D,"Staff Consumption")</f>
        <v>0</v>
      </c>
      <c r="J547" s="50">
        <f>SUMIFS('Stock Adjustment'!$E:$E,'Stock Adjustment'!$B:$B,$A547,'Stock Adjustment'!$D:$D,"Damaged")</f>
        <v>0</v>
      </c>
      <c r="K547" s="50">
        <f>SUMIFS('Stock Adjustment'!$E:$E,'Stock Adjustment'!$B:$B,$A547,'Stock Adjustment'!$D:$D,"Expired")</f>
        <v>0</v>
      </c>
      <c r="L547" s="50">
        <f>SUMIFS('Stock Adjustment'!$E:$E,'Stock Adjustment'!$B:$B,$A547,'Stock Adjustment'!$D:$D,"Supplier Returned")</f>
        <v>0</v>
      </c>
      <c r="M5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7" s="53" t="str">
        <f>IF(B547="","",VLOOKUP(B547,'Product Master'!$B:$G,4,FALSE))</f>
        <v/>
      </c>
      <c r="O547" s="53" t="str">
        <f>IF(B547="","",VLOOKUP(B547,'Product Master'!$B:$G,5,FALSE))</f>
        <v/>
      </c>
      <c r="P547" s="50" t="str">
        <f>IF(B547="","",VLOOKUP(B547,'Product Master'!$B:$I,7,FALSE))</f>
        <v/>
      </c>
      <c r="Q547" s="158"/>
      <c r="R547" s="58" t="str">
        <f t="shared" si="8"/>
        <v/>
      </c>
      <c r="S547" s="25"/>
      <c r="T547" s="25"/>
      <c r="U547" s="25"/>
      <c r="V547" s="25"/>
      <c r="W547" s="25"/>
      <c r="X547" s="25"/>
    </row>
    <row r="548" spans="1:24" x14ac:dyDescent="0.25">
      <c r="A548" s="31" t="s">
        <v>1108</v>
      </c>
      <c r="B548" s="32"/>
      <c r="C548" s="50" t="str">
        <f>IF(B548="","",VLOOKUP(B548,'Product Master'!$B:$G,2,FALSE))</f>
        <v/>
      </c>
      <c r="D548" s="50" t="str">
        <f>IF(B548="","",VLOOKUP(B548,'Product Master'!$B:$G,3,FALSE))</f>
        <v/>
      </c>
      <c r="E548" s="50"/>
      <c r="F548" s="50">
        <f>SUMIF('Stock Purchase'!$D:$D,B548,'Stock Purchase'!$F:$F)</f>
        <v>0</v>
      </c>
      <c r="G548" s="50">
        <f>SUMIFS('Stock Adjustment'!$E:$E,'Stock Adjustment'!$B:$B,$A548,'Stock Adjustment'!$D:$D,"Customer Returned")</f>
        <v>0</v>
      </c>
      <c r="H548" s="50">
        <f>SUMIF('Daily Sales Entry'!$D:$D,B548,'Daily Sales Entry'!$G:$G)</f>
        <v>0</v>
      </c>
      <c r="I548" s="50">
        <f>SUMIFS('Stock Adjustment'!$E:$E,'Stock Adjustment'!$B:$B,$A548,'Stock Adjustment'!$D:$D,"Staff Consumption")</f>
        <v>0</v>
      </c>
      <c r="J548" s="50">
        <f>SUMIFS('Stock Adjustment'!$E:$E,'Stock Adjustment'!$B:$B,$A548,'Stock Adjustment'!$D:$D,"Damaged")</f>
        <v>0</v>
      </c>
      <c r="K548" s="50">
        <f>SUMIFS('Stock Adjustment'!$E:$E,'Stock Adjustment'!$B:$B,$A548,'Stock Adjustment'!$D:$D,"Expired")</f>
        <v>0</v>
      </c>
      <c r="L548" s="50">
        <f>SUMIFS('Stock Adjustment'!$E:$E,'Stock Adjustment'!$B:$B,$A548,'Stock Adjustment'!$D:$D,"Supplier Returned")</f>
        <v>0</v>
      </c>
      <c r="M5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8" s="53" t="str">
        <f>IF(B548="","",VLOOKUP(B548,'Product Master'!$B:$G,4,FALSE))</f>
        <v/>
      </c>
      <c r="O548" s="53" t="str">
        <f>IF(B548="","",VLOOKUP(B548,'Product Master'!$B:$G,5,FALSE))</f>
        <v/>
      </c>
      <c r="P548" s="50" t="str">
        <f>IF(B548="","",VLOOKUP(B548,'Product Master'!$B:$I,7,FALSE))</f>
        <v/>
      </c>
      <c r="Q548" s="158"/>
      <c r="R548" s="58" t="str">
        <f t="shared" si="8"/>
        <v/>
      </c>
      <c r="S548" s="25"/>
      <c r="T548" s="25"/>
      <c r="U548" s="25"/>
      <c r="V548" s="25"/>
      <c r="W548" s="25"/>
      <c r="X548" s="25"/>
    </row>
    <row r="549" spans="1:24" x14ac:dyDescent="0.25">
      <c r="A549" s="31" t="s">
        <v>1109</v>
      </c>
      <c r="B549" s="32"/>
      <c r="C549" s="50" t="str">
        <f>IF(B549="","",VLOOKUP(B549,'Product Master'!$B:$G,2,FALSE))</f>
        <v/>
      </c>
      <c r="D549" s="50" t="str">
        <f>IF(B549="","",VLOOKUP(B549,'Product Master'!$B:$G,3,FALSE))</f>
        <v/>
      </c>
      <c r="E549" s="50"/>
      <c r="F549" s="50">
        <f>SUMIF('Stock Purchase'!$D:$D,B549,'Stock Purchase'!$F:$F)</f>
        <v>0</v>
      </c>
      <c r="G549" s="50">
        <f>SUMIFS('Stock Adjustment'!$E:$E,'Stock Adjustment'!$B:$B,$A549,'Stock Adjustment'!$D:$D,"Customer Returned")</f>
        <v>0</v>
      </c>
      <c r="H549" s="50">
        <f>SUMIF('Daily Sales Entry'!$D:$D,B549,'Daily Sales Entry'!$G:$G)</f>
        <v>0</v>
      </c>
      <c r="I549" s="50">
        <f>SUMIFS('Stock Adjustment'!$E:$E,'Stock Adjustment'!$B:$B,$A549,'Stock Adjustment'!$D:$D,"Staff Consumption")</f>
        <v>0</v>
      </c>
      <c r="J549" s="50">
        <f>SUMIFS('Stock Adjustment'!$E:$E,'Stock Adjustment'!$B:$B,$A549,'Stock Adjustment'!$D:$D,"Damaged")</f>
        <v>0</v>
      </c>
      <c r="K549" s="50">
        <f>SUMIFS('Stock Adjustment'!$E:$E,'Stock Adjustment'!$B:$B,$A549,'Stock Adjustment'!$D:$D,"Expired")</f>
        <v>0</v>
      </c>
      <c r="L549" s="50">
        <f>SUMIFS('Stock Adjustment'!$E:$E,'Stock Adjustment'!$B:$B,$A549,'Stock Adjustment'!$D:$D,"Supplier Returned")</f>
        <v>0</v>
      </c>
      <c r="M5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49" s="53" t="str">
        <f>IF(B549="","",VLOOKUP(B549,'Product Master'!$B:$G,4,FALSE))</f>
        <v/>
      </c>
      <c r="O549" s="53" t="str">
        <f>IF(B549="","",VLOOKUP(B549,'Product Master'!$B:$G,5,FALSE))</f>
        <v/>
      </c>
      <c r="P549" s="50" t="str">
        <f>IF(B549="","",VLOOKUP(B549,'Product Master'!$B:$I,7,FALSE))</f>
        <v/>
      </c>
      <c r="Q549" s="158"/>
      <c r="R549" s="58" t="str">
        <f t="shared" si="8"/>
        <v/>
      </c>
      <c r="S549" s="25"/>
      <c r="T549" s="25"/>
      <c r="U549" s="25"/>
      <c r="V549" s="25"/>
      <c r="W549" s="25"/>
      <c r="X549" s="25"/>
    </row>
    <row r="550" spans="1:24" x14ac:dyDescent="0.25">
      <c r="A550" s="31" t="s">
        <v>1110</v>
      </c>
      <c r="B550" s="32"/>
      <c r="C550" s="50" t="str">
        <f>IF(B550="","",VLOOKUP(B550,'Product Master'!$B:$G,2,FALSE))</f>
        <v/>
      </c>
      <c r="D550" s="50" t="str">
        <f>IF(B550="","",VLOOKUP(B550,'Product Master'!$B:$G,3,FALSE))</f>
        <v/>
      </c>
      <c r="E550" s="50"/>
      <c r="F550" s="50">
        <f>SUMIF('Stock Purchase'!$D:$D,B550,'Stock Purchase'!$F:$F)</f>
        <v>0</v>
      </c>
      <c r="G550" s="50">
        <f>SUMIFS('Stock Adjustment'!$E:$E,'Stock Adjustment'!$B:$B,$A550,'Stock Adjustment'!$D:$D,"Customer Returned")</f>
        <v>0</v>
      </c>
      <c r="H550" s="50">
        <f>SUMIF('Daily Sales Entry'!$D:$D,B550,'Daily Sales Entry'!$G:$G)</f>
        <v>0</v>
      </c>
      <c r="I550" s="50">
        <f>SUMIFS('Stock Adjustment'!$E:$E,'Stock Adjustment'!$B:$B,$A550,'Stock Adjustment'!$D:$D,"Staff Consumption")</f>
        <v>0</v>
      </c>
      <c r="J550" s="50">
        <f>SUMIFS('Stock Adjustment'!$E:$E,'Stock Adjustment'!$B:$B,$A550,'Stock Adjustment'!$D:$D,"Damaged")</f>
        <v>0</v>
      </c>
      <c r="K550" s="50">
        <f>SUMIFS('Stock Adjustment'!$E:$E,'Stock Adjustment'!$B:$B,$A550,'Stock Adjustment'!$D:$D,"Expired")</f>
        <v>0</v>
      </c>
      <c r="L550" s="50">
        <f>SUMIFS('Stock Adjustment'!$E:$E,'Stock Adjustment'!$B:$B,$A550,'Stock Adjustment'!$D:$D,"Supplier Returned")</f>
        <v>0</v>
      </c>
      <c r="M5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0" s="53" t="str">
        <f>IF(B550="","",VLOOKUP(B550,'Product Master'!$B:$G,4,FALSE))</f>
        <v/>
      </c>
      <c r="O550" s="53" t="str">
        <f>IF(B550="","",VLOOKUP(B550,'Product Master'!$B:$G,5,FALSE))</f>
        <v/>
      </c>
      <c r="P550" s="50" t="str">
        <f>IF(B550="","",VLOOKUP(B550,'Product Master'!$B:$I,7,FALSE))</f>
        <v/>
      </c>
      <c r="Q550" s="158"/>
      <c r="R550" s="58" t="str">
        <f t="shared" si="8"/>
        <v/>
      </c>
      <c r="S550" s="25"/>
      <c r="T550" s="25"/>
      <c r="U550" s="25"/>
      <c r="V550" s="25"/>
      <c r="W550" s="25"/>
      <c r="X550" s="25"/>
    </row>
    <row r="551" spans="1:24" x14ac:dyDescent="0.25">
      <c r="A551" s="31" t="s">
        <v>1111</v>
      </c>
      <c r="B551" s="32"/>
      <c r="C551" s="50" t="str">
        <f>IF(B551="","",VLOOKUP(B551,'Product Master'!$B:$G,2,FALSE))</f>
        <v/>
      </c>
      <c r="D551" s="50" t="str">
        <f>IF(B551="","",VLOOKUP(B551,'Product Master'!$B:$G,3,FALSE))</f>
        <v/>
      </c>
      <c r="E551" s="50"/>
      <c r="F551" s="50">
        <f>SUMIF('Stock Purchase'!$D:$D,B551,'Stock Purchase'!$F:$F)</f>
        <v>0</v>
      </c>
      <c r="G551" s="50">
        <f>SUMIFS('Stock Adjustment'!$E:$E,'Stock Adjustment'!$B:$B,$A551,'Stock Adjustment'!$D:$D,"Customer Returned")</f>
        <v>0</v>
      </c>
      <c r="H551" s="50">
        <f>SUMIF('Daily Sales Entry'!$D:$D,B551,'Daily Sales Entry'!$G:$G)</f>
        <v>0</v>
      </c>
      <c r="I551" s="50">
        <f>SUMIFS('Stock Adjustment'!$E:$E,'Stock Adjustment'!$B:$B,$A551,'Stock Adjustment'!$D:$D,"Staff Consumption")</f>
        <v>0</v>
      </c>
      <c r="J551" s="50">
        <f>SUMIFS('Stock Adjustment'!$E:$E,'Stock Adjustment'!$B:$B,$A551,'Stock Adjustment'!$D:$D,"Damaged")</f>
        <v>0</v>
      </c>
      <c r="K551" s="50">
        <f>SUMIFS('Stock Adjustment'!$E:$E,'Stock Adjustment'!$B:$B,$A551,'Stock Adjustment'!$D:$D,"Expired")</f>
        <v>0</v>
      </c>
      <c r="L551" s="50">
        <f>SUMIFS('Stock Adjustment'!$E:$E,'Stock Adjustment'!$B:$B,$A551,'Stock Adjustment'!$D:$D,"Supplier Returned")</f>
        <v>0</v>
      </c>
      <c r="M5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1" s="53" t="str">
        <f>IF(B551="","",VLOOKUP(B551,'Product Master'!$B:$G,4,FALSE))</f>
        <v/>
      </c>
      <c r="O551" s="53" t="str">
        <f>IF(B551="","",VLOOKUP(B551,'Product Master'!$B:$G,5,FALSE))</f>
        <v/>
      </c>
      <c r="P551" s="50" t="str">
        <f>IF(B551="","",VLOOKUP(B551,'Product Master'!$B:$I,7,FALSE))</f>
        <v/>
      </c>
      <c r="Q551" s="158"/>
      <c r="R551" s="58" t="str">
        <f t="shared" si="8"/>
        <v/>
      </c>
      <c r="S551" s="25"/>
      <c r="T551" s="25"/>
      <c r="U551" s="25"/>
      <c r="V551" s="25"/>
      <c r="W551" s="25"/>
      <c r="X551" s="25"/>
    </row>
    <row r="552" spans="1:24" x14ac:dyDescent="0.25">
      <c r="A552" s="31" t="s">
        <v>1112</v>
      </c>
      <c r="B552" s="32"/>
      <c r="C552" s="50" t="str">
        <f>IF(B552="","",VLOOKUP(B552,'Product Master'!$B:$G,2,FALSE))</f>
        <v/>
      </c>
      <c r="D552" s="50" t="str">
        <f>IF(B552="","",VLOOKUP(B552,'Product Master'!$B:$G,3,FALSE))</f>
        <v/>
      </c>
      <c r="E552" s="50"/>
      <c r="F552" s="50">
        <f>SUMIF('Stock Purchase'!$D:$D,B552,'Stock Purchase'!$F:$F)</f>
        <v>0</v>
      </c>
      <c r="G552" s="50">
        <f>SUMIFS('Stock Adjustment'!$E:$E,'Stock Adjustment'!$B:$B,$A552,'Stock Adjustment'!$D:$D,"Customer Returned")</f>
        <v>0</v>
      </c>
      <c r="H552" s="50">
        <f>SUMIF('Daily Sales Entry'!$D:$D,B552,'Daily Sales Entry'!$G:$G)</f>
        <v>0</v>
      </c>
      <c r="I552" s="50">
        <f>SUMIFS('Stock Adjustment'!$E:$E,'Stock Adjustment'!$B:$B,$A552,'Stock Adjustment'!$D:$D,"Staff Consumption")</f>
        <v>0</v>
      </c>
      <c r="J552" s="50">
        <f>SUMIFS('Stock Adjustment'!$E:$E,'Stock Adjustment'!$B:$B,$A552,'Stock Adjustment'!$D:$D,"Damaged")</f>
        <v>0</v>
      </c>
      <c r="K552" s="50">
        <f>SUMIFS('Stock Adjustment'!$E:$E,'Stock Adjustment'!$B:$B,$A552,'Stock Adjustment'!$D:$D,"Expired")</f>
        <v>0</v>
      </c>
      <c r="L552" s="50">
        <f>SUMIFS('Stock Adjustment'!$E:$E,'Stock Adjustment'!$B:$B,$A552,'Stock Adjustment'!$D:$D,"Supplier Returned")</f>
        <v>0</v>
      </c>
      <c r="M5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2" s="53" t="str">
        <f>IF(B552="","",VLOOKUP(B552,'Product Master'!$B:$G,4,FALSE))</f>
        <v/>
      </c>
      <c r="O552" s="53" t="str">
        <f>IF(B552="","",VLOOKUP(B552,'Product Master'!$B:$G,5,FALSE))</f>
        <v/>
      </c>
      <c r="P552" s="50" t="str">
        <f>IF(B552="","",VLOOKUP(B552,'Product Master'!$B:$I,7,FALSE))</f>
        <v/>
      </c>
      <c r="Q552" s="158"/>
      <c r="R552" s="58" t="str">
        <f t="shared" si="8"/>
        <v/>
      </c>
      <c r="S552" s="25"/>
      <c r="T552" s="25"/>
      <c r="U552" s="25"/>
      <c r="V552" s="25"/>
      <c r="W552" s="25"/>
      <c r="X552" s="25"/>
    </row>
    <row r="553" spans="1:24" x14ac:dyDescent="0.25">
      <c r="A553" s="31" t="s">
        <v>1113</v>
      </c>
      <c r="B553" s="32"/>
      <c r="C553" s="50" t="str">
        <f>IF(B553="","",VLOOKUP(B553,'Product Master'!$B:$G,2,FALSE))</f>
        <v/>
      </c>
      <c r="D553" s="50" t="str">
        <f>IF(B553="","",VLOOKUP(B553,'Product Master'!$B:$G,3,FALSE))</f>
        <v/>
      </c>
      <c r="E553" s="50"/>
      <c r="F553" s="50">
        <f>SUMIF('Stock Purchase'!$D:$D,B553,'Stock Purchase'!$F:$F)</f>
        <v>0</v>
      </c>
      <c r="G553" s="50">
        <f>SUMIFS('Stock Adjustment'!$E:$E,'Stock Adjustment'!$B:$B,$A553,'Stock Adjustment'!$D:$D,"Customer Returned")</f>
        <v>0</v>
      </c>
      <c r="H553" s="50">
        <f>SUMIF('Daily Sales Entry'!$D:$D,B553,'Daily Sales Entry'!$G:$G)</f>
        <v>0</v>
      </c>
      <c r="I553" s="50">
        <f>SUMIFS('Stock Adjustment'!$E:$E,'Stock Adjustment'!$B:$B,$A553,'Stock Adjustment'!$D:$D,"Staff Consumption")</f>
        <v>0</v>
      </c>
      <c r="J553" s="50">
        <f>SUMIFS('Stock Adjustment'!$E:$E,'Stock Adjustment'!$B:$B,$A553,'Stock Adjustment'!$D:$D,"Damaged")</f>
        <v>0</v>
      </c>
      <c r="K553" s="50">
        <f>SUMIFS('Stock Adjustment'!$E:$E,'Stock Adjustment'!$B:$B,$A553,'Stock Adjustment'!$D:$D,"Expired")</f>
        <v>0</v>
      </c>
      <c r="L553" s="50">
        <f>SUMIFS('Stock Adjustment'!$E:$E,'Stock Adjustment'!$B:$B,$A553,'Stock Adjustment'!$D:$D,"Supplier Returned")</f>
        <v>0</v>
      </c>
      <c r="M5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3" s="53" t="str">
        <f>IF(B553="","",VLOOKUP(B553,'Product Master'!$B:$G,4,FALSE))</f>
        <v/>
      </c>
      <c r="O553" s="53" t="str">
        <f>IF(B553="","",VLOOKUP(B553,'Product Master'!$B:$G,5,FALSE))</f>
        <v/>
      </c>
      <c r="P553" s="50" t="str">
        <f>IF(B553="","",VLOOKUP(B553,'Product Master'!$B:$I,7,FALSE))</f>
        <v/>
      </c>
      <c r="Q553" s="158"/>
      <c r="R553" s="58" t="str">
        <f t="shared" si="8"/>
        <v/>
      </c>
      <c r="S553" s="25"/>
      <c r="T553" s="25"/>
      <c r="U553" s="25"/>
      <c r="V553" s="25"/>
      <c r="W553" s="25"/>
      <c r="X553" s="25"/>
    </row>
    <row r="554" spans="1:24" x14ac:dyDescent="0.25">
      <c r="A554" s="31" t="s">
        <v>1114</v>
      </c>
      <c r="B554" s="32"/>
      <c r="C554" s="50" t="str">
        <f>IF(B554="","",VLOOKUP(B554,'Product Master'!$B:$G,2,FALSE))</f>
        <v/>
      </c>
      <c r="D554" s="50" t="str">
        <f>IF(B554="","",VLOOKUP(B554,'Product Master'!$B:$G,3,FALSE))</f>
        <v/>
      </c>
      <c r="E554" s="50"/>
      <c r="F554" s="50">
        <f>SUMIF('Stock Purchase'!$D:$D,B554,'Stock Purchase'!$F:$F)</f>
        <v>0</v>
      </c>
      <c r="G554" s="50">
        <f>SUMIFS('Stock Adjustment'!$E:$E,'Stock Adjustment'!$B:$B,$A554,'Stock Adjustment'!$D:$D,"Customer Returned")</f>
        <v>0</v>
      </c>
      <c r="H554" s="50">
        <f>SUMIF('Daily Sales Entry'!$D:$D,B554,'Daily Sales Entry'!$G:$G)</f>
        <v>0</v>
      </c>
      <c r="I554" s="50">
        <f>SUMIFS('Stock Adjustment'!$E:$E,'Stock Adjustment'!$B:$B,$A554,'Stock Adjustment'!$D:$D,"Staff Consumption")</f>
        <v>0</v>
      </c>
      <c r="J554" s="50">
        <f>SUMIFS('Stock Adjustment'!$E:$E,'Stock Adjustment'!$B:$B,$A554,'Stock Adjustment'!$D:$D,"Damaged")</f>
        <v>0</v>
      </c>
      <c r="K554" s="50">
        <f>SUMIFS('Stock Adjustment'!$E:$E,'Stock Adjustment'!$B:$B,$A554,'Stock Adjustment'!$D:$D,"Expired")</f>
        <v>0</v>
      </c>
      <c r="L554" s="50">
        <f>SUMIFS('Stock Adjustment'!$E:$E,'Stock Adjustment'!$B:$B,$A554,'Stock Adjustment'!$D:$D,"Supplier Returned")</f>
        <v>0</v>
      </c>
      <c r="M5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4" s="53" t="str">
        <f>IF(B554="","",VLOOKUP(B554,'Product Master'!$B:$G,4,FALSE))</f>
        <v/>
      </c>
      <c r="O554" s="53" t="str">
        <f>IF(B554="","",VLOOKUP(B554,'Product Master'!$B:$G,5,FALSE))</f>
        <v/>
      </c>
      <c r="P554" s="50" t="str">
        <f>IF(B554="","",VLOOKUP(B554,'Product Master'!$B:$I,7,FALSE))</f>
        <v/>
      </c>
      <c r="Q554" s="158"/>
      <c r="R554" s="58" t="str">
        <f t="shared" si="8"/>
        <v/>
      </c>
      <c r="S554" s="25"/>
      <c r="T554" s="25"/>
      <c r="U554" s="25"/>
      <c r="V554" s="25"/>
      <c r="W554" s="25"/>
      <c r="X554" s="25"/>
    </row>
    <row r="555" spans="1:24" x14ac:dyDescent="0.25">
      <c r="A555" s="31" t="s">
        <v>1115</v>
      </c>
      <c r="B555" s="32"/>
      <c r="C555" s="50" t="str">
        <f>IF(B555="","",VLOOKUP(B555,'Product Master'!$B:$G,2,FALSE))</f>
        <v/>
      </c>
      <c r="D555" s="50" t="str">
        <f>IF(B555="","",VLOOKUP(B555,'Product Master'!$B:$G,3,FALSE))</f>
        <v/>
      </c>
      <c r="E555" s="50"/>
      <c r="F555" s="50">
        <f>SUMIF('Stock Purchase'!$D:$D,B555,'Stock Purchase'!$F:$F)</f>
        <v>0</v>
      </c>
      <c r="G555" s="50">
        <f>SUMIFS('Stock Adjustment'!$E:$E,'Stock Adjustment'!$B:$B,$A555,'Stock Adjustment'!$D:$D,"Customer Returned")</f>
        <v>0</v>
      </c>
      <c r="H555" s="50">
        <f>SUMIF('Daily Sales Entry'!$D:$D,B555,'Daily Sales Entry'!$G:$G)</f>
        <v>0</v>
      </c>
      <c r="I555" s="50">
        <f>SUMIFS('Stock Adjustment'!$E:$E,'Stock Adjustment'!$B:$B,$A555,'Stock Adjustment'!$D:$D,"Staff Consumption")</f>
        <v>0</v>
      </c>
      <c r="J555" s="50">
        <f>SUMIFS('Stock Adjustment'!$E:$E,'Stock Adjustment'!$B:$B,$A555,'Stock Adjustment'!$D:$D,"Damaged")</f>
        <v>0</v>
      </c>
      <c r="K555" s="50">
        <f>SUMIFS('Stock Adjustment'!$E:$E,'Stock Adjustment'!$B:$B,$A555,'Stock Adjustment'!$D:$D,"Expired")</f>
        <v>0</v>
      </c>
      <c r="L555" s="50">
        <f>SUMIFS('Stock Adjustment'!$E:$E,'Stock Adjustment'!$B:$B,$A555,'Stock Adjustment'!$D:$D,"Supplier Returned")</f>
        <v>0</v>
      </c>
      <c r="M5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5" s="53" t="str">
        <f>IF(B555="","",VLOOKUP(B555,'Product Master'!$B:$G,4,FALSE))</f>
        <v/>
      </c>
      <c r="O555" s="53" t="str">
        <f>IF(B555="","",VLOOKUP(B555,'Product Master'!$B:$G,5,FALSE))</f>
        <v/>
      </c>
      <c r="P555" s="50" t="str">
        <f>IF(B555="","",VLOOKUP(B555,'Product Master'!$B:$I,7,FALSE))</f>
        <v/>
      </c>
      <c r="Q555" s="158"/>
      <c r="R555" s="58" t="str">
        <f t="shared" si="8"/>
        <v/>
      </c>
      <c r="S555" s="25"/>
      <c r="T555" s="25"/>
      <c r="U555" s="25"/>
      <c r="V555" s="25"/>
      <c r="W555" s="25"/>
      <c r="X555" s="25"/>
    </row>
    <row r="556" spans="1:24" x14ac:dyDescent="0.25">
      <c r="A556" s="31" t="s">
        <v>1116</v>
      </c>
      <c r="B556" s="32"/>
      <c r="C556" s="50" t="str">
        <f>IF(B556="","",VLOOKUP(B556,'Product Master'!$B:$G,2,FALSE))</f>
        <v/>
      </c>
      <c r="D556" s="50" t="str">
        <f>IF(B556="","",VLOOKUP(B556,'Product Master'!$B:$G,3,FALSE))</f>
        <v/>
      </c>
      <c r="E556" s="50"/>
      <c r="F556" s="50">
        <f>SUMIF('Stock Purchase'!$D:$D,B556,'Stock Purchase'!$F:$F)</f>
        <v>0</v>
      </c>
      <c r="G556" s="50">
        <f>SUMIFS('Stock Adjustment'!$E:$E,'Stock Adjustment'!$B:$B,$A556,'Stock Adjustment'!$D:$D,"Customer Returned")</f>
        <v>0</v>
      </c>
      <c r="H556" s="50">
        <f>SUMIF('Daily Sales Entry'!$D:$D,B556,'Daily Sales Entry'!$G:$G)</f>
        <v>0</v>
      </c>
      <c r="I556" s="50">
        <f>SUMIFS('Stock Adjustment'!$E:$E,'Stock Adjustment'!$B:$B,$A556,'Stock Adjustment'!$D:$D,"Staff Consumption")</f>
        <v>0</v>
      </c>
      <c r="J556" s="50">
        <f>SUMIFS('Stock Adjustment'!$E:$E,'Stock Adjustment'!$B:$B,$A556,'Stock Adjustment'!$D:$D,"Damaged")</f>
        <v>0</v>
      </c>
      <c r="K556" s="50">
        <f>SUMIFS('Stock Adjustment'!$E:$E,'Stock Adjustment'!$B:$B,$A556,'Stock Adjustment'!$D:$D,"Expired")</f>
        <v>0</v>
      </c>
      <c r="L556" s="50">
        <f>SUMIFS('Stock Adjustment'!$E:$E,'Stock Adjustment'!$B:$B,$A556,'Stock Adjustment'!$D:$D,"Supplier Returned")</f>
        <v>0</v>
      </c>
      <c r="M5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6" s="53" t="str">
        <f>IF(B556="","",VLOOKUP(B556,'Product Master'!$B:$G,4,FALSE))</f>
        <v/>
      </c>
      <c r="O556" s="53" t="str">
        <f>IF(B556="","",VLOOKUP(B556,'Product Master'!$B:$G,5,FALSE))</f>
        <v/>
      </c>
      <c r="P556" s="50" t="str">
        <f>IF(B556="","",VLOOKUP(B556,'Product Master'!$B:$I,7,FALSE))</f>
        <v/>
      </c>
      <c r="Q556" s="158"/>
      <c r="R556" s="58" t="str">
        <f t="shared" si="8"/>
        <v/>
      </c>
      <c r="S556" s="25"/>
      <c r="T556" s="25"/>
      <c r="U556" s="25"/>
      <c r="V556" s="25"/>
      <c r="W556" s="25"/>
      <c r="X556" s="25"/>
    </row>
    <row r="557" spans="1:24" x14ac:dyDescent="0.25">
      <c r="A557" s="31" t="s">
        <v>1117</v>
      </c>
      <c r="B557" s="32"/>
      <c r="C557" s="50" t="str">
        <f>IF(B557="","",VLOOKUP(B557,'Product Master'!$B:$G,2,FALSE))</f>
        <v/>
      </c>
      <c r="D557" s="50" t="str">
        <f>IF(B557="","",VLOOKUP(B557,'Product Master'!$B:$G,3,FALSE))</f>
        <v/>
      </c>
      <c r="E557" s="50"/>
      <c r="F557" s="50">
        <f>SUMIF('Stock Purchase'!$D:$D,B557,'Stock Purchase'!$F:$F)</f>
        <v>0</v>
      </c>
      <c r="G557" s="50">
        <f>SUMIFS('Stock Adjustment'!$E:$E,'Stock Adjustment'!$B:$B,$A557,'Stock Adjustment'!$D:$D,"Customer Returned")</f>
        <v>0</v>
      </c>
      <c r="H557" s="50">
        <f>SUMIF('Daily Sales Entry'!$D:$D,B557,'Daily Sales Entry'!$G:$G)</f>
        <v>0</v>
      </c>
      <c r="I557" s="50">
        <f>SUMIFS('Stock Adjustment'!$E:$E,'Stock Adjustment'!$B:$B,$A557,'Stock Adjustment'!$D:$D,"Staff Consumption")</f>
        <v>0</v>
      </c>
      <c r="J557" s="50">
        <f>SUMIFS('Stock Adjustment'!$E:$E,'Stock Adjustment'!$B:$B,$A557,'Stock Adjustment'!$D:$D,"Damaged")</f>
        <v>0</v>
      </c>
      <c r="K557" s="50">
        <f>SUMIFS('Stock Adjustment'!$E:$E,'Stock Adjustment'!$B:$B,$A557,'Stock Adjustment'!$D:$D,"Expired")</f>
        <v>0</v>
      </c>
      <c r="L557" s="50">
        <f>SUMIFS('Stock Adjustment'!$E:$E,'Stock Adjustment'!$B:$B,$A557,'Stock Adjustment'!$D:$D,"Supplier Returned")</f>
        <v>0</v>
      </c>
      <c r="M5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7" s="53" t="str">
        <f>IF(B557="","",VLOOKUP(B557,'Product Master'!$B:$G,4,FALSE))</f>
        <v/>
      </c>
      <c r="O557" s="53" t="str">
        <f>IF(B557="","",VLOOKUP(B557,'Product Master'!$B:$G,5,FALSE))</f>
        <v/>
      </c>
      <c r="P557" s="50" t="str">
        <f>IF(B557="","",VLOOKUP(B557,'Product Master'!$B:$I,7,FALSE))</f>
        <v/>
      </c>
      <c r="Q557" s="158"/>
      <c r="R557" s="58" t="str">
        <f t="shared" si="8"/>
        <v/>
      </c>
      <c r="S557" s="25"/>
      <c r="T557" s="25"/>
      <c r="U557" s="25"/>
      <c r="V557" s="25"/>
      <c r="W557" s="25"/>
      <c r="X557" s="25"/>
    </row>
    <row r="558" spans="1:24" x14ac:dyDescent="0.25">
      <c r="A558" s="31" t="s">
        <v>1118</v>
      </c>
      <c r="B558" s="32"/>
      <c r="C558" s="50" t="str">
        <f>IF(B558="","",VLOOKUP(B558,'Product Master'!$B:$G,2,FALSE))</f>
        <v/>
      </c>
      <c r="D558" s="50" t="str">
        <f>IF(B558="","",VLOOKUP(B558,'Product Master'!$B:$G,3,FALSE))</f>
        <v/>
      </c>
      <c r="E558" s="50"/>
      <c r="F558" s="50">
        <f>SUMIF('Stock Purchase'!$D:$D,B558,'Stock Purchase'!$F:$F)</f>
        <v>0</v>
      </c>
      <c r="G558" s="50">
        <f>SUMIFS('Stock Adjustment'!$E:$E,'Stock Adjustment'!$B:$B,$A558,'Stock Adjustment'!$D:$D,"Customer Returned")</f>
        <v>0</v>
      </c>
      <c r="H558" s="50">
        <f>SUMIF('Daily Sales Entry'!$D:$D,B558,'Daily Sales Entry'!$G:$G)</f>
        <v>0</v>
      </c>
      <c r="I558" s="50">
        <f>SUMIFS('Stock Adjustment'!$E:$E,'Stock Adjustment'!$B:$B,$A558,'Stock Adjustment'!$D:$D,"Staff Consumption")</f>
        <v>0</v>
      </c>
      <c r="J558" s="50">
        <f>SUMIFS('Stock Adjustment'!$E:$E,'Stock Adjustment'!$B:$B,$A558,'Stock Adjustment'!$D:$D,"Damaged")</f>
        <v>0</v>
      </c>
      <c r="K558" s="50">
        <f>SUMIFS('Stock Adjustment'!$E:$E,'Stock Adjustment'!$B:$B,$A558,'Stock Adjustment'!$D:$D,"Expired")</f>
        <v>0</v>
      </c>
      <c r="L558" s="50">
        <f>SUMIFS('Stock Adjustment'!$E:$E,'Stock Adjustment'!$B:$B,$A558,'Stock Adjustment'!$D:$D,"Supplier Returned")</f>
        <v>0</v>
      </c>
      <c r="M5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8" s="53" t="str">
        <f>IF(B558="","",VLOOKUP(B558,'Product Master'!$B:$G,4,FALSE))</f>
        <v/>
      </c>
      <c r="O558" s="53" t="str">
        <f>IF(B558="","",VLOOKUP(B558,'Product Master'!$B:$G,5,FALSE))</f>
        <v/>
      </c>
      <c r="P558" s="50" t="str">
        <f>IF(B558="","",VLOOKUP(B558,'Product Master'!$B:$I,7,FALSE))</f>
        <v/>
      </c>
      <c r="Q558" s="158"/>
      <c r="R558" s="58" t="str">
        <f t="shared" si="8"/>
        <v/>
      </c>
      <c r="S558" s="25"/>
      <c r="T558" s="25"/>
      <c r="U558" s="25"/>
      <c r="V558" s="25"/>
      <c r="W558" s="25"/>
      <c r="X558" s="25"/>
    </row>
    <row r="559" spans="1:24" x14ac:dyDescent="0.25">
      <c r="A559" s="31" t="s">
        <v>1119</v>
      </c>
      <c r="B559" s="32"/>
      <c r="C559" s="50" t="str">
        <f>IF(B559="","",VLOOKUP(B559,'Product Master'!$B:$G,2,FALSE))</f>
        <v/>
      </c>
      <c r="D559" s="50" t="str">
        <f>IF(B559="","",VLOOKUP(B559,'Product Master'!$B:$G,3,FALSE))</f>
        <v/>
      </c>
      <c r="E559" s="50"/>
      <c r="F559" s="50">
        <f>SUMIF('Stock Purchase'!$D:$D,B559,'Stock Purchase'!$F:$F)</f>
        <v>0</v>
      </c>
      <c r="G559" s="50">
        <f>SUMIFS('Stock Adjustment'!$E:$E,'Stock Adjustment'!$B:$B,$A559,'Stock Adjustment'!$D:$D,"Customer Returned")</f>
        <v>0</v>
      </c>
      <c r="H559" s="50">
        <f>SUMIF('Daily Sales Entry'!$D:$D,B559,'Daily Sales Entry'!$G:$G)</f>
        <v>0</v>
      </c>
      <c r="I559" s="50">
        <f>SUMIFS('Stock Adjustment'!$E:$E,'Stock Adjustment'!$B:$B,$A559,'Stock Adjustment'!$D:$D,"Staff Consumption")</f>
        <v>0</v>
      </c>
      <c r="J559" s="50">
        <f>SUMIFS('Stock Adjustment'!$E:$E,'Stock Adjustment'!$B:$B,$A559,'Stock Adjustment'!$D:$D,"Damaged")</f>
        <v>0</v>
      </c>
      <c r="K559" s="50">
        <f>SUMIFS('Stock Adjustment'!$E:$E,'Stock Adjustment'!$B:$B,$A559,'Stock Adjustment'!$D:$D,"Expired")</f>
        <v>0</v>
      </c>
      <c r="L559" s="50">
        <f>SUMIFS('Stock Adjustment'!$E:$E,'Stock Adjustment'!$B:$B,$A559,'Stock Adjustment'!$D:$D,"Supplier Returned")</f>
        <v>0</v>
      </c>
      <c r="M5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59" s="53" t="str">
        <f>IF(B559="","",VLOOKUP(B559,'Product Master'!$B:$G,4,FALSE))</f>
        <v/>
      </c>
      <c r="O559" s="53" t="str">
        <f>IF(B559="","",VLOOKUP(B559,'Product Master'!$B:$G,5,FALSE))</f>
        <v/>
      </c>
      <c r="P559" s="50" t="str">
        <f>IF(B559="","",VLOOKUP(B559,'Product Master'!$B:$I,7,FALSE))</f>
        <v/>
      </c>
      <c r="Q559" s="158"/>
      <c r="R559" s="58" t="str">
        <f t="shared" si="8"/>
        <v/>
      </c>
      <c r="S559" s="25"/>
      <c r="T559" s="25"/>
      <c r="U559" s="25"/>
      <c r="V559" s="25"/>
      <c r="W559" s="25"/>
      <c r="X559" s="25"/>
    </row>
    <row r="560" spans="1:24" x14ac:dyDescent="0.25">
      <c r="A560" s="31" t="s">
        <v>1120</v>
      </c>
      <c r="B560" s="32"/>
      <c r="C560" s="50" t="str">
        <f>IF(B560="","",VLOOKUP(B560,'Product Master'!$B:$G,2,FALSE))</f>
        <v/>
      </c>
      <c r="D560" s="50" t="str">
        <f>IF(B560="","",VLOOKUP(B560,'Product Master'!$B:$G,3,FALSE))</f>
        <v/>
      </c>
      <c r="E560" s="50"/>
      <c r="F560" s="50">
        <f>SUMIF('Stock Purchase'!$D:$D,B560,'Stock Purchase'!$F:$F)</f>
        <v>0</v>
      </c>
      <c r="G560" s="50">
        <f>SUMIFS('Stock Adjustment'!$E:$E,'Stock Adjustment'!$B:$B,$A560,'Stock Adjustment'!$D:$D,"Customer Returned")</f>
        <v>0</v>
      </c>
      <c r="H560" s="50">
        <f>SUMIF('Daily Sales Entry'!$D:$D,B560,'Daily Sales Entry'!$G:$G)</f>
        <v>0</v>
      </c>
      <c r="I560" s="50">
        <f>SUMIFS('Stock Adjustment'!$E:$E,'Stock Adjustment'!$B:$B,$A560,'Stock Adjustment'!$D:$D,"Staff Consumption")</f>
        <v>0</v>
      </c>
      <c r="J560" s="50">
        <f>SUMIFS('Stock Adjustment'!$E:$E,'Stock Adjustment'!$B:$B,$A560,'Stock Adjustment'!$D:$D,"Damaged")</f>
        <v>0</v>
      </c>
      <c r="K560" s="50">
        <f>SUMIFS('Stock Adjustment'!$E:$E,'Stock Adjustment'!$B:$B,$A560,'Stock Adjustment'!$D:$D,"Expired")</f>
        <v>0</v>
      </c>
      <c r="L560" s="50">
        <f>SUMIFS('Stock Adjustment'!$E:$E,'Stock Adjustment'!$B:$B,$A560,'Stock Adjustment'!$D:$D,"Supplier Returned")</f>
        <v>0</v>
      </c>
      <c r="M5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0" s="53" t="str">
        <f>IF(B560="","",VLOOKUP(B560,'Product Master'!$B:$G,4,FALSE))</f>
        <v/>
      </c>
      <c r="O560" s="53" t="str">
        <f>IF(B560="","",VLOOKUP(B560,'Product Master'!$B:$G,5,FALSE))</f>
        <v/>
      </c>
      <c r="P560" s="50" t="str">
        <f>IF(B560="","",VLOOKUP(B560,'Product Master'!$B:$I,7,FALSE))</f>
        <v/>
      </c>
      <c r="Q560" s="158"/>
      <c r="R560" s="58" t="str">
        <f t="shared" si="8"/>
        <v/>
      </c>
      <c r="S560" s="25"/>
      <c r="T560" s="25"/>
      <c r="U560" s="25"/>
      <c r="V560" s="25"/>
      <c r="W560" s="25"/>
      <c r="X560" s="25"/>
    </row>
    <row r="561" spans="1:24" x14ac:dyDescent="0.25">
      <c r="A561" s="31" t="s">
        <v>1121</v>
      </c>
      <c r="B561" s="32"/>
      <c r="C561" s="50" t="str">
        <f>IF(B561="","",VLOOKUP(B561,'Product Master'!$B:$G,2,FALSE))</f>
        <v/>
      </c>
      <c r="D561" s="50" t="str">
        <f>IF(B561="","",VLOOKUP(B561,'Product Master'!$B:$G,3,FALSE))</f>
        <v/>
      </c>
      <c r="E561" s="50"/>
      <c r="F561" s="50">
        <f>SUMIF('Stock Purchase'!$D:$D,B561,'Stock Purchase'!$F:$F)</f>
        <v>0</v>
      </c>
      <c r="G561" s="50">
        <f>SUMIFS('Stock Adjustment'!$E:$E,'Stock Adjustment'!$B:$B,$A561,'Stock Adjustment'!$D:$D,"Customer Returned")</f>
        <v>0</v>
      </c>
      <c r="H561" s="50">
        <f>SUMIF('Daily Sales Entry'!$D:$D,B561,'Daily Sales Entry'!$G:$G)</f>
        <v>0</v>
      </c>
      <c r="I561" s="50">
        <f>SUMIFS('Stock Adjustment'!$E:$E,'Stock Adjustment'!$B:$B,$A561,'Stock Adjustment'!$D:$D,"Staff Consumption")</f>
        <v>0</v>
      </c>
      <c r="J561" s="50">
        <f>SUMIFS('Stock Adjustment'!$E:$E,'Stock Adjustment'!$B:$B,$A561,'Stock Adjustment'!$D:$D,"Damaged")</f>
        <v>0</v>
      </c>
      <c r="K561" s="50">
        <f>SUMIFS('Stock Adjustment'!$E:$E,'Stock Adjustment'!$B:$B,$A561,'Stock Adjustment'!$D:$D,"Expired")</f>
        <v>0</v>
      </c>
      <c r="L561" s="50">
        <f>SUMIFS('Stock Adjustment'!$E:$E,'Stock Adjustment'!$B:$B,$A561,'Stock Adjustment'!$D:$D,"Supplier Returned")</f>
        <v>0</v>
      </c>
      <c r="M5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1" s="53" t="str">
        <f>IF(B561="","",VLOOKUP(B561,'Product Master'!$B:$G,4,FALSE))</f>
        <v/>
      </c>
      <c r="O561" s="53" t="str">
        <f>IF(B561="","",VLOOKUP(B561,'Product Master'!$B:$G,5,FALSE))</f>
        <v/>
      </c>
      <c r="P561" s="50" t="str">
        <f>IF(B561="","",VLOOKUP(B561,'Product Master'!$B:$I,7,FALSE))</f>
        <v/>
      </c>
      <c r="Q561" s="158"/>
      <c r="R561" s="58" t="str">
        <f t="shared" si="8"/>
        <v/>
      </c>
      <c r="S561" s="25"/>
      <c r="T561" s="25"/>
      <c r="U561" s="25"/>
      <c r="V561" s="25"/>
      <c r="W561" s="25"/>
      <c r="X561" s="25"/>
    </row>
    <row r="562" spans="1:24" x14ac:dyDescent="0.25">
      <c r="A562" s="31" t="s">
        <v>1122</v>
      </c>
      <c r="B562" s="32"/>
      <c r="C562" s="50" t="str">
        <f>IF(B562="","",VLOOKUP(B562,'Product Master'!$B:$G,2,FALSE))</f>
        <v/>
      </c>
      <c r="D562" s="50" t="str">
        <f>IF(B562="","",VLOOKUP(B562,'Product Master'!$B:$G,3,FALSE))</f>
        <v/>
      </c>
      <c r="E562" s="50"/>
      <c r="F562" s="50">
        <f>SUMIF('Stock Purchase'!$D:$D,B562,'Stock Purchase'!$F:$F)</f>
        <v>0</v>
      </c>
      <c r="G562" s="50">
        <f>SUMIFS('Stock Adjustment'!$E:$E,'Stock Adjustment'!$B:$B,$A562,'Stock Adjustment'!$D:$D,"Customer Returned")</f>
        <v>0</v>
      </c>
      <c r="H562" s="50">
        <f>SUMIF('Daily Sales Entry'!$D:$D,B562,'Daily Sales Entry'!$G:$G)</f>
        <v>0</v>
      </c>
      <c r="I562" s="50">
        <f>SUMIFS('Stock Adjustment'!$E:$E,'Stock Adjustment'!$B:$B,$A562,'Stock Adjustment'!$D:$D,"Staff Consumption")</f>
        <v>0</v>
      </c>
      <c r="J562" s="50">
        <f>SUMIFS('Stock Adjustment'!$E:$E,'Stock Adjustment'!$B:$B,$A562,'Stock Adjustment'!$D:$D,"Damaged")</f>
        <v>0</v>
      </c>
      <c r="K562" s="50">
        <f>SUMIFS('Stock Adjustment'!$E:$E,'Stock Adjustment'!$B:$B,$A562,'Stock Adjustment'!$D:$D,"Expired")</f>
        <v>0</v>
      </c>
      <c r="L562" s="50">
        <f>SUMIFS('Stock Adjustment'!$E:$E,'Stock Adjustment'!$B:$B,$A562,'Stock Adjustment'!$D:$D,"Supplier Returned")</f>
        <v>0</v>
      </c>
      <c r="M5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2" s="53" t="str">
        <f>IF(B562="","",VLOOKUP(B562,'Product Master'!$B:$G,4,FALSE))</f>
        <v/>
      </c>
      <c r="O562" s="53" t="str">
        <f>IF(B562="","",VLOOKUP(B562,'Product Master'!$B:$G,5,FALSE))</f>
        <v/>
      </c>
      <c r="P562" s="50" t="str">
        <f>IF(B562="","",VLOOKUP(B562,'Product Master'!$B:$I,7,FALSE))</f>
        <v/>
      </c>
      <c r="Q562" s="158"/>
      <c r="R562" s="58" t="str">
        <f t="shared" si="8"/>
        <v/>
      </c>
      <c r="S562" s="25"/>
      <c r="T562" s="25"/>
      <c r="U562" s="25"/>
      <c r="V562" s="25"/>
      <c r="W562" s="25"/>
      <c r="X562" s="25"/>
    </row>
    <row r="563" spans="1:24" x14ac:dyDescent="0.25">
      <c r="A563" s="31" t="s">
        <v>1123</v>
      </c>
      <c r="B563" s="32"/>
      <c r="C563" s="50" t="str">
        <f>IF(B563="","",VLOOKUP(B563,'Product Master'!$B:$G,2,FALSE))</f>
        <v/>
      </c>
      <c r="D563" s="50" t="str">
        <f>IF(B563="","",VLOOKUP(B563,'Product Master'!$B:$G,3,FALSE))</f>
        <v/>
      </c>
      <c r="E563" s="50"/>
      <c r="F563" s="50">
        <f>SUMIF('Stock Purchase'!$D:$D,B563,'Stock Purchase'!$F:$F)</f>
        <v>0</v>
      </c>
      <c r="G563" s="50">
        <f>SUMIFS('Stock Adjustment'!$E:$E,'Stock Adjustment'!$B:$B,$A563,'Stock Adjustment'!$D:$D,"Customer Returned")</f>
        <v>0</v>
      </c>
      <c r="H563" s="50">
        <f>SUMIF('Daily Sales Entry'!$D:$D,B563,'Daily Sales Entry'!$G:$G)</f>
        <v>0</v>
      </c>
      <c r="I563" s="50">
        <f>SUMIFS('Stock Adjustment'!$E:$E,'Stock Adjustment'!$B:$B,$A563,'Stock Adjustment'!$D:$D,"Staff Consumption")</f>
        <v>0</v>
      </c>
      <c r="J563" s="50">
        <f>SUMIFS('Stock Adjustment'!$E:$E,'Stock Adjustment'!$B:$B,$A563,'Stock Adjustment'!$D:$D,"Damaged")</f>
        <v>0</v>
      </c>
      <c r="K563" s="50">
        <f>SUMIFS('Stock Adjustment'!$E:$E,'Stock Adjustment'!$B:$B,$A563,'Stock Adjustment'!$D:$D,"Expired")</f>
        <v>0</v>
      </c>
      <c r="L563" s="50">
        <f>SUMIFS('Stock Adjustment'!$E:$E,'Stock Adjustment'!$B:$B,$A563,'Stock Adjustment'!$D:$D,"Supplier Returned")</f>
        <v>0</v>
      </c>
      <c r="M5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3" s="53" t="str">
        <f>IF(B563="","",VLOOKUP(B563,'Product Master'!$B:$G,4,FALSE))</f>
        <v/>
      </c>
      <c r="O563" s="53" t="str">
        <f>IF(B563="","",VLOOKUP(B563,'Product Master'!$B:$G,5,FALSE))</f>
        <v/>
      </c>
      <c r="P563" s="50" t="str">
        <f>IF(B563="","",VLOOKUP(B563,'Product Master'!$B:$I,7,FALSE))</f>
        <v/>
      </c>
      <c r="Q563" s="158"/>
      <c r="R563" s="58" t="str">
        <f t="shared" si="8"/>
        <v/>
      </c>
      <c r="S563" s="25"/>
      <c r="T563" s="25"/>
      <c r="U563" s="25"/>
      <c r="V563" s="25"/>
      <c r="W563" s="25"/>
      <c r="X563" s="25"/>
    </row>
    <row r="564" spans="1:24" x14ac:dyDescent="0.25">
      <c r="A564" s="31" t="s">
        <v>1124</v>
      </c>
      <c r="B564" s="32"/>
      <c r="C564" s="50" t="str">
        <f>IF(B564="","",VLOOKUP(B564,'Product Master'!$B:$G,2,FALSE))</f>
        <v/>
      </c>
      <c r="D564" s="50" t="str">
        <f>IF(B564="","",VLOOKUP(B564,'Product Master'!$B:$G,3,FALSE))</f>
        <v/>
      </c>
      <c r="E564" s="50"/>
      <c r="F564" s="50">
        <f>SUMIF('Stock Purchase'!$D:$D,B564,'Stock Purchase'!$F:$F)</f>
        <v>0</v>
      </c>
      <c r="G564" s="50">
        <f>SUMIFS('Stock Adjustment'!$E:$E,'Stock Adjustment'!$B:$B,$A564,'Stock Adjustment'!$D:$D,"Customer Returned")</f>
        <v>0</v>
      </c>
      <c r="H564" s="50">
        <f>SUMIF('Daily Sales Entry'!$D:$D,B564,'Daily Sales Entry'!$G:$G)</f>
        <v>0</v>
      </c>
      <c r="I564" s="50">
        <f>SUMIFS('Stock Adjustment'!$E:$E,'Stock Adjustment'!$B:$B,$A564,'Stock Adjustment'!$D:$D,"Staff Consumption")</f>
        <v>0</v>
      </c>
      <c r="J564" s="50">
        <f>SUMIFS('Stock Adjustment'!$E:$E,'Stock Adjustment'!$B:$B,$A564,'Stock Adjustment'!$D:$D,"Damaged")</f>
        <v>0</v>
      </c>
      <c r="K564" s="50">
        <f>SUMIFS('Stock Adjustment'!$E:$E,'Stock Adjustment'!$B:$B,$A564,'Stock Adjustment'!$D:$D,"Expired")</f>
        <v>0</v>
      </c>
      <c r="L564" s="50">
        <f>SUMIFS('Stock Adjustment'!$E:$E,'Stock Adjustment'!$B:$B,$A564,'Stock Adjustment'!$D:$D,"Supplier Returned")</f>
        <v>0</v>
      </c>
      <c r="M5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4" s="53" t="str">
        <f>IF(B564="","",VLOOKUP(B564,'Product Master'!$B:$G,4,FALSE))</f>
        <v/>
      </c>
      <c r="O564" s="53" t="str">
        <f>IF(B564="","",VLOOKUP(B564,'Product Master'!$B:$G,5,FALSE))</f>
        <v/>
      </c>
      <c r="P564" s="50" t="str">
        <f>IF(B564="","",VLOOKUP(B564,'Product Master'!$B:$I,7,FALSE))</f>
        <v/>
      </c>
      <c r="Q564" s="158"/>
      <c r="R564" s="58" t="str">
        <f t="shared" si="8"/>
        <v/>
      </c>
      <c r="S564" s="25"/>
      <c r="T564" s="25"/>
      <c r="U564" s="25"/>
      <c r="V564" s="25"/>
      <c r="W564" s="25"/>
      <c r="X564" s="25"/>
    </row>
    <row r="565" spans="1:24" x14ac:dyDescent="0.25">
      <c r="A565" s="31" t="s">
        <v>1125</v>
      </c>
      <c r="B565" s="32"/>
      <c r="C565" s="50" t="str">
        <f>IF(B565="","",VLOOKUP(B565,'Product Master'!$B:$G,2,FALSE))</f>
        <v/>
      </c>
      <c r="D565" s="50" t="str">
        <f>IF(B565="","",VLOOKUP(B565,'Product Master'!$B:$G,3,FALSE))</f>
        <v/>
      </c>
      <c r="E565" s="50"/>
      <c r="F565" s="50">
        <f>SUMIF('Stock Purchase'!$D:$D,B565,'Stock Purchase'!$F:$F)</f>
        <v>0</v>
      </c>
      <c r="G565" s="50">
        <f>SUMIFS('Stock Adjustment'!$E:$E,'Stock Adjustment'!$B:$B,$A565,'Stock Adjustment'!$D:$D,"Customer Returned")</f>
        <v>0</v>
      </c>
      <c r="H565" s="50">
        <f>SUMIF('Daily Sales Entry'!$D:$D,B565,'Daily Sales Entry'!$G:$G)</f>
        <v>0</v>
      </c>
      <c r="I565" s="50">
        <f>SUMIFS('Stock Adjustment'!$E:$E,'Stock Adjustment'!$B:$B,$A565,'Stock Adjustment'!$D:$D,"Staff Consumption")</f>
        <v>0</v>
      </c>
      <c r="J565" s="50">
        <f>SUMIFS('Stock Adjustment'!$E:$E,'Stock Adjustment'!$B:$B,$A565,'Stock Adjustment'!$D:$D,"Damaged")</f>
        <v>0</v>
      </c>
      <c r="K565" s="50">
        <f>SUMIFS('Stock Adjustment'!$E:$E,'Stock Adjustment'!$B:$B,$A565,'Stock Adjustment'!$D:$D,"Expired")</f>
        <v>0</v>
      </c>
      <c r="L565" s="50">
        <f>SUMIFS('Stock Adjustment'!$E:$E,'Stock Adjustment'!$B:$B,$A565,'Stock Adjustment'!$D:$D,"Supplier Returned")</f>
        <v>0</v>
      </c>
      <c r="M5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5" s="53" t="str">
        <f>IF(B565="","",VLOOKUP(B565,'Product Master'!$B:$G,4,FALSE))</f>
        <v/>
      </c>
      <c r="O565" s="53" t="str">
        <f>IF(B565="","",VLOOKUP(B565,'Product Master'!$B:$G,5,FALSE))</f>
        <v/>
      </c>
      <c r="P565" s="50" t="str">
        <f>IF(B565="","",VLOOKUP(B565,'Product Master'!$B:$I,7,FALSE))</f>
        <v/>
      </c>
      <c r="Q565" s="158"/>
      <c r="R565" s="58" t="str">
        <f t="shared" si="8"/>
        <v/>
      </c>
      <c r="S565" s="25"/>
      <c r="T565" s="25"/>
      <c r="U565" s="25"/>
      <c r="V565" s="25"/>
      <c r="W565" s="25"/>
      <c r="X565" s="25"/>
    </row>
    <row r="566" spans="1:24" x14ac:dyDescent="0.25">
      <c r="A566" s="31" t="s">
        <v>1126</v>
      </c>
      <c r="B566" s="32"/>
      <c r="C566" s="50" t="str">
        <f>IF(B566="","",VLOOKUP(B566,'Product Master'!$B:$G,2,FALSE))</f>
        <v/>
      </c>
      <c r="D566" s="50" t="str">
        <f>IF(B566="","",VLOOKUP(B566,'Product Master'!$B:$G,3,FALSE))</f>
        <v/>
      </c>
      <c r="E566" s="50"/>
      <c r="F566" s="50">
        <f>SUMIF('Stock Purchase'!$D:$D,B566,'Stock Purchase'!$F:$F)</f>
        <v>0</v>
      </c>
      <c r="G566" s="50">
        <f>SUMIFS('Stock Adjustment'!$E:$E,'Stock Adjustment'!$B:$B,$A566,'Stock Adjustment'!$D:$D,"Customer Returned")</f>
        <v>0</v>
      </c>
      <c r="H566" s="50">
        <f>SUMIF('Daily Sales Entry'!$D:$D,B566,'Daily Sales Entry'!$G:$G)</f>
        <v>0</v>
      </c>
      <c r="I566" s="50">
        <f>SUMIFS('Stock Adjustment'!$E:$E,'Stock Adjustment'!$B:$B,$A566,'Stock Adjustment'!$D:$D,"Staff Consumption")</f>
        <v>0</v>
      </c>
      <c r="J566" s="50">
        <f>SUMIFS('Stock Adjustment'!$E:$E,'Stock Adjustment'!$B:$B,$A566,'Stock Adjustment'!$D:$D,"Damaged")</f>
        <v>0</v>
      </c>
      <c r="K566" s="50">
        <f>SUMIFS('Stock Adjustment'!$E:$E,'Stock Adjustment'!$B:$B,$A566,'Stock Adjustment'!$D:$D,"Expired")</f>
        <v>0</v>
      </c>
      <c r="L566" s="50">
        <f>SUMIFS('Stock Adjustment'!$E:$E,'Stock Adjustment'!$B:$B,$A566,'Stock Adjustment'!$D:$D,"Supplier Returned")</f>
        <v>0</v>
      </c>
      <c r="M5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6" s="53" t="str">
        <f>IF(B566="","",VLOOKUP(B566,'Product Master'!$B:$G,4,FALSE))</f>
        <v/>
      </c>
      <c r="O566" s="53" t="str">
        <f>IF(B566="","",VLOOKUP(B566,'Product Master'!$B:$G,5,FALSE))</f>
        <v/>
      </c>
      <c r="P566" s="50" t="str">
        <f>IF(B566="","",VLOOKUP(B566,'Product Master'!$B:$I,7,FALSE))</f>
        <v/>
      </c>
      <c r="Q566" s="158"/>
      <c r="R566" s="58" t="str">
        <f t="shared" si="8"/>
        <v/>
      </c>
      <c r="S566" s="25"/>
      <c r="T566" s="25"/>
      <c r="U566" s="25"/>
      <c r="V566" s="25"/>
      <c r="W566" s="25"/>
      <c r="X566" s="25"/>
    </row>
    <row r="567" spans="1:24" x14ac:dyDescent="0.25">
      <c r="A567" s="31" t="s">
        <v>1127</v>
      </c>
      <c r="B567" s="32"/>
      <c r="C567" s="50" t="str">
        <f>IF(B567="","",VLOOKUP(B567,'Product Master'!$B:$G,2,FALSE))</f>
        <v/>
      </c>
      <c r="D567" s="50" t="str">
        <f>IF(B567="","",VLOOKUP(B567,'Product Master'!$B:$G,3,FALSE))</f>
        <v/>
      </c>
      <c r="E567" s="50"/>
      <c r="F567" s="50">
        <f>SUMIF('Stock Purchase'!$D:$D,B567,'Stock Purchase'!$F:$F)</f>
        <v>0</v>
      </c>
      <c r="G567" s="50">
        <f>SUMIFS('Stock Adjustment'!$E:$E,'Stock Adjustment'!$B:$B,$A567,'Stock Adjustment'!$D:$D,"Customer Returned")</f>
        <v>0</v>
      </c>
      <c r="H567" s="50">
        <f>SUMIF('Daily Sales Entry'!$D:$D,B567,'Daily Sales Entry'!$G:$G)</f>
        <v>0</v>
      </c>
      <c r="I567" s="50">
        <f>SUMIFS('Stock Adjustment'!$E:$E,'Stock Adjustment'!$B:$B,$A567,'Stock Adjustment'!$D:$D,"Staff Consumption")</f>
        <v>0</v>
      </c>
      <c r="J567" s="50">
        <f>SUMIFS('Stock Adjustment'!$E:$E,'Stock Adjustment'!$B:$B,$A567,'Stock Adjustment'!$D:$D,"Damaged")</f>
        <v>0</v>
      </c>
      <c r="K567" s="50">
        <f>SUMIFS('Stock Adjustment'!$E:$E,'Stock Adjustment'!$B:$B,$A567,'Stock Adjustment'!$D:$D,"Expired")</f>
        <v>0</v>
      </c>
      <c r="L567" s="50">
        <f>SUMIFS('Stock Adjustment'!$E:$E,'Stock Adjustment'!$B:$B,$A567,'Stock Adjustment'!$D:$D,"Supplier Returned")</f>
        <v>0</v>
      </c>
      <c r="M5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7" s="53" t="str">
        <f>IF(B567="","",VLOOKUP(B567,'Product Master'!$B:$G,4,FALSE))</f>
        <v/>
      </c>
      <c r="O567" s="53" t="str">
        <f>IF(B567="","",VLOOKUP(B567,'Product Master'!$B:$G,5,FALSE))</f>
        <v/>
      </c>
      <c r="P567" s="50" t="str">
        <f>IF(B567="","",VLOOKUP(B567,'Product Master'!$B:$I,7,FALSE))</f>
        <v/>
      </c>
      <c r="Q567" s="158"/>
      <c r="R567" s="58" t="str">
        <f t="shared" si="8"/>
        <v/>
      </c>
      <c r="S567" s="25"/>
      <c r="T567" s="25"/>
      <c r="U567" s="25"/>
      <c r="V567" s="25"/>
      <c r="W567" s="25"/>
      <c r="X567" s="25"/>
    </row>
    <row r="568" spans="1:24" x14ac:dyDescent="0.25">
      <c r="A568" s="31" t="s">
        <v>1128</v>
      </c>
      <c r="B568" s="32"/>
      <c r="C568" s="50" t="str">
        <f>IF(B568="","",VLOOKUP(B568,'Product Master'!$B:$G,2,FALSE))</f>
        <v/>
      </c>
      <c r="D568" s="50" t="str">
        <f>IF(B568="","",VLOOKUP(B568,'Product Master'!$B:$G,3,FALSE))</f>
        <v/>
      </c>
      <c r="E568" s="50"/>
      <c r="F568" s="50">
        <f>SUMIF('Stock Purchase'!$D:$D,B568,'Stock Purchase'!$F:$F)</f>
        <v>0</v>
      </c>
      <c r="G568" s="50">
        <f>SUMIFS('Stock Adjustment'!$E:$E,'Stock Adjustment'!$B:$B,$A568,'Stock Adjustment'!$D:$D,"Customer Returned")</f>
        <v>0</v>
      </c>
      <c r="H568" s="50">
        <f>SUMIF('Daily Sales Entry'!$D:$D,B568,'Daily Sales Entry'!$G:$G)</f>
        <v>0</v>
      </c>
      <c r="I568" s="50">
        <f>SUMIFS('Stock Adjustment'!$E:$E,'Stock Adjustment'!$B:$B,$A568,'Stock Adjustment'!$D:$D,"Staff Consumption")</f>
        <v>0</v>
      </c>
      <c r="J568" s="50">
        <f>SUMIFS('Stock Adjustment'!$E:$E,'Stock Adjustment'!$B:$B,$A568,'Stock Adjustment'!$D:$D,"Damaged")</f>
        <v>0</v>
      </c>
      <c r="K568" s="50">
        <f>SUMIFS('Stock Adjustment'!$E:$E,'Stock Adjustment'!$B:$B,$A568,'Stock Adjustment'!$D:$D,"Expired")</f>
        <v>0</v>
      </c>
      <c r="L568" s="50">
        <f>SUMIFS('Stock Adjustment'!$E:$E,'Stock Adjustment'!$B:$B,$A568,'Stock Adjustment'!$D:$D,"Supplier Returned")</f>
        <v>0</v>
      </c>
      <c r="M5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8" s="53" t="str">
        <f>IF(B568="","",VLOOKUP(B568,'Product Master'!$B:$G,4,FALSE))</f>
        <v/>
      </c>
      <c r="O568" s="53" t="str">
        <f>IF(B568="","",VLOOKUP(B568,'Product Master'!$B:$G,5,FALSE))</f>
        <v/>
      </c>
      <c r="P568" s="50" t="str">
        <f>IF(B568="","",VLOOKUP(B568,'Product Master'!$B:$I,7,FALSE))</f>
        <v/>
      </c>
      <c r="Q568" s="158"/>
      <c r="R568" s="58" t="str">
        <f t="shared" si="8"/>
        <v/>
      </c>
      <c r="S568" s="25"/>
      <c r="T568" s="25"/>
      <c r="U568" s="25"/>
      <c r="V568" s="25"/>
      <c r="W568" s="25"/>
      <c r="X568" s="25"/>
    </row>
    <row r="569" spans="1:24" x14ac:dyDescent="0.25">
      <c r="A569" s="31" t="s">
        <v>1129</v>
      </c>
      <c r="B569" s="32"/>
      <c r="C569" s="50" t="str">
        <f>IF(B569="","",VLOOKUP(B569,'Product Master'!$B:$G,2,FALSE))</f>
        <v/>
      </c>
      <c r="D569" s="50" t="str">
        <f>IF(B569="","",VLOOKUP(B569,'Product Master'!$B:$G,3,FALSE))</f>
        <v/>
      </c>
      <c r="E569" s="50"/>
      <c r="F569" s="50">
        <f>SUMIF('Stock Purchase'!$D:$D,B569,'Stock Purchase'!$F:$F)</f>
        <v>0</v>
      </c>
      <c r="G569" s="50">
        <f>SUMIFS('Stock Adjustment'!$E:$E,'Stock Adjustment'!$B:$B,$A569,'Stock Adjustment'!$D:$D,"Customer Returned")</f>
        <v>0</v>
      </c>
      <c r="H569" s="50">
        <f>SUMIF('Daily Sales Entry'!$D:$D,B569,'Daily Sales Entry'!$G:$G)</f>
        <v>0</v>
      </c>
      <c r="I569" s="50">
        <f>SUMIFS('Stock Adjustment'!$E:$E,'Stock Adjustment'!$B:$B,$A569,'Stock Adjustment'!$D:$D,"Staff Consumption")</f>
        <v>0</v>
      </c>
      <c r="J569" s="50">
        <f>SUMIFS('Stock Adjustment'!$E:$E,'Stock Adjustment'!$B:$B,$A569,'Stock Adjustment'!$D:$D,"Damaged")</f>
        <v>0</v>
      </c>
      <c r="K569" s="50">
        <f>SUMIFS('Stock Adjustment'!$E:$E,'Stock Adjustment'!$B:$B,$A569,'Stock Adjustment'!$D:$D,"Expired")</f>
        <v>0</v>
      </c>
      <c r="L569" s="50">
        <f>SUMIFS('Stock Adjustment'!$E:$E,'Stock Adjustment'!$B:$B,$A569,'Stock Adjustment'!$D:$D,"Supplier Returned")</f>
        <v>0</v>
      </c>
      <c r="M5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69" s="53" t="str">
        <f>IF(B569="","",VLOOKUP(B569,'Product Master'!$B:$G,4,FALSE))</f>
        <v/>
      </c>
      <c r="O569" s="53" t="str">
        <f>IF(B569="","",VLOOKUP(B569,'Product Master'!$B:$G,5,FALSE))</f>
        <v/>
      </c>
      <c r="P569" s="50" t="str">
        <f>IF(B569="","",VLOOKUP(B569,'Product Master'!$B:$I,7,FALSE))</f>
        <v/>
      </c>
      <c r="Q569" s="158"/>
      <c r="R569" s="58" t="str">
        <f t="shared" si="8"/>
        <v/>
      </c>
      <c r="S569" s="25"/>
      <c r="T569" s="25"/>
      <c r="U569" s="25"/>
      <c r="V569" s="25"/>
      <c r="W569" s="25"/>
      <c r="X569" s="25"/>
    </row>
    <row r="570" spans="1:24" x14ac:dyDescent="0.25">
      <c r="A570" s="31" t="s">
        <v>1130</v>
      </c>
      <c r="B570" s="32"/>
      <c r="C570" s="50" t="str">
        <f>IF(B570="","",VLOOKUP(B570,'Product Master'!$B:$G,2,FALSE))</f>
        <v/>
      </c>
      <c r="D570" s="50" t="str">
        <f>IF(B570="","",VLOOKUP(B570,'Product Master'!$B:$G,3,FALSE))</f>
        <v/>
      </c>
      <c r="E570" s="50"/>
      <c r="F570" s="50">
        <f>SUMIF('Stock Purchase'!$D:$D,B570,'Stock Purchase'!$F:$F)</f>
        <v>0</v>
      </c>
      <c r="G570" s="50">
        <f>SUMIFS('Stock Adjustment'!$E:$E,'Stock Adjustment'!$B:$B,$A570,'Stock Adjustment'!$D:$D,"Customer Returned")</f>
        <v>0</v>
      </c>
      <c r="H570" s="50">
        <f>SUMIF('Daily Sales Entry'!$D:$D,B570,'Daily Sales Entry'!$G:$G)</f>
        <v>0</v>
      </c>
      <c r="I570" s="50">
        <f>SUMIFS('Stock Adjustment'!$E:$E,'Stock Adjustment'!$B:$B,$A570,'Stock Adjustment'!$D:$D,"Staff Consumption")</f>
        <v>0</v>
      </c>
      <c r="J570" s="50">
        <f>SUMIFS('Stock Adjustment'!$E:$E,'Stock Adjustment'!$B:$B,$A570,'Stock Adjustment'!$D:$D,"Damaged")</f>
        <v>0</v>
      </c>
      <c r="K570" s="50">
        <f>SUMIFS('Stock Adjustment'!$E:$E,'Stock Adjustment'!$B:$B,$A570,'Stock Adjustment'!$D:$D,"Expired")</f>
        <v>0</v>
      </c>
      <c r="L570" s="50">
        <f>SUMIFS('Stock Adjustment'!$E:$E,'Stock Adjustment'!$B:$B,$A570,'Stock Adjustment'!$D:$D,"Supplier Returned")</f>
        <v>0</v>
      </c>
      <c r="M5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0" s="53" t="str">
        <f>IF(B570="","",VLOOKUP(B570,'Product Master'!$B:$G,4,FALSE))</f>
        <v/>
      </c>
      <c r="O570" s="53" t="str">
        <f>IF(B570="","",VLOOKUP(B570,'Product Master'!$B:$G,5,FALSE))</f>
        <v/>
      </c>
      <c r="P570" s="50" t="str">
        <f>IF(B570="","",VLOOKUP(B570,'Product Master'!$B:$I,7,FALSE))</f>
        <v/>
      </c>
      <c r="Q570" s="158"/>
      <c r="R570" s="58" t="str">
        <f t="shared" si="8"/>
        <v/>
      </c>
      <c r="S570" s="25"/>
      <c r="T570" s="25"/>
      <c r="U570" s="25"/>
      <c r="V570" s="25"/>
      <c r="W570" s="25"/>
      <c r="X570" s="25"/>
    </row>
    <row r="571" spans="1:24" x14ac:dyDescent="0.25">
      <c r="A571" s="31" t="s">
        <v>1131</v>
      </c>
      <c r="B571" s="32"/>
      <c r="C571" s="50" t="str">
        <f>IF(B571="","",VLOOKUP(B571,'Product Master'!$B:$G,2,FALSE))</f>
        <v/>
      </c>
      <c r="D571" s="50" t="str">
        <f>IF(B571="","",VLOOKUP(B571,'Product Master'!$B:$G,3,FALSE))</f>
        <v/>
      </c>
      <c r="E571" s="50"/>
      <c r="F571" s="50">
        <f>SUMIF('Stock Purchase'!$D:$D,B571,'Stock Purchase'!$F:$F)</f>
        <v>0</v>
      </c>
      <c r="G571" s="50">
        <f>SUMIFS('Stock Adjustment'!$E:$E,'Stock Adjustment'!$B:$B,$A571,'Stock Adjustment'!$D:$D,"Customer Returned")</f>
        <v>0</v>
      </c>
      <c r="H571" s="50">
        <f>SUMIF('Daily Sales Entry'!$D:$D,B571,'Daily Sales Entry'!$G:$G)</f>
        <v>0</v>
      </c>
      <c r="I571" s="50">
        <f>SUMIFS('Stock Adjustment'!$E:$E,'Stock Adjustment'!$B:$B,$A571,'Stock Adjustment'!$D:$D,"Staff Consumption")</f>
        <v>0</v>
      </c>
      <c r="J571" s="50">
        <f>SUMIFS('Stock Adjustment'!$E:$E,'Stock Adjustment'!$B:$B,$A571,'Stock Adjustment'!$D:$D,"Damaged")</f>
        <v>0</v>
      </c>
      <c r="K571" s="50">
        <f>SUMIFS('Stock Adjustment'!$E:$E,'Stock Adjustment'!$B:$B,$A571,'Stock Adjustment'!$D:$D,"Expired")</f>
        <v>0</v>
      </c>
      <c r="L571" s="50">
        <f>SUMIFS('Stock Adjustment'!$E:$E,'Stock Adjustment'!$B:$B,$A571,'Stock Adjustment'!$D:$D,"Supplier Returned")</f>
        <v>0</v>
      </c>
      <c r="M5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1" s="53" t="str">
        <f>IF(B571="","",VLOOKUP(B571,'Product Master'!$B:$G,4,FALSE))</f>
        <v/>
      </c>
      <c r="O571" s="53" t="str">
        <f>IF(B571="","",VLOOKUP(B571,'Product Master'!$B:$G,5,FALSE))</f>
        <v/>
      </c>
      <c r="P571" s="50" t="str">
        <f>IF(B571="","",VLOOKUP(B571,'Product Master'!$B:$I,7,FALSE))</f>
        <v/>
      </c>
      <c r="Q571" s="158"/>
      <c r="R571" s="58" t="str">
        <f t="shared" si="8"/>
        <v/>
      </c>
      <c r="S571" s="25"/>
      <c r="T571" s="25"/>
      <c r="U571" s="25"/>
      <c r="V571" s="25"/>
      <c r="W571" s="25"/>
      <c r="X571" s="25"/>
    </row>
    <row r="572" spans="1:24" x14ac:dyDescent="0.25">
      <c r="A572" s="31" t="s">
        <v>1132</v>
      </c>
      <c r="B572" s="32"/>
      <c r="C572" s="50" t="str">
        <f>IF(B572="","",VLOOKUP(B572,'Product Master'!$B:$G,2,FALSE))</f>
        <v/>
      </c>
      <c r="D572" s="50" t="str">
        <f>IF(B572="","",VLOOKUP(B572,'Product Master'!$B:$G,3,FALSE))</f>
        <v/>
      </c>
      <c r="E572" s="50"/>
      <c r="F572" s="50">
        <f>SUMIF('Stock Purchase'!$D:$D,B572,'Stock Purchase'!$F:$F)</f>
        <v>0</v>
      </c>
      <c r="G572" s="50">
        <f>SUMIFS('Stock Adjustment'!$E:$E,'Stock Adjustment'!$B:$B,$A572,'Stock Adjustment'!$D:$D,"Customer Returned")</f>
        <v>0</v>
      </c>
      <c r="H572" s="50">
        <f>SUMIF('Daily Sales Entry'!$D:$D,B572,'Daily Sales Entry'!$G:$G)</f>
        <v>0</v>
      </c>
      <c r="I572" s="50">
        <f>SUMIFS('Stock Adjustment'!$E:$E,'Stock Adjustment'!$B:$B,$A572,'Stock Adjustment'!$D:$D,"Staff Consumption")</f>
        <v>0</v>
      </c>
      <c r="J572" s="50">
        <f>SUMIFS('Stock Adjustment'!$E:$E,'Stock Adjustment'!$B:$B,$A572,'Stock Adjustment'!$D:$D,"Damaged")</f>
        <v>0</v>
      </c>
      <c r="K572" s="50">
        <f>SUMIFS('Stock Adjustment'!$E:$E,'Stock Adjustment'!$B:$B,$A572,'Stock Adjustment'!$D:$D,"Expired")</f>
        <v>0</v>
      </c>
      <c r="L572" s="50">
        <f>SUMIFS('Stock Adjustment'!$E:$E,'Stock Adjustment'!$B:$B,$A572,'Stock Adjustment'!$D:$D,"Supplier Returned")</f>
        <v>0</v>
      </c>
      <c r="M5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2" s="53" t="str">
        <f>IF(B572="","",VLOOKUP(B572,'Product Master'!$B:$G,4,FALSE))</f>
        <v/>
      </c>
      <c r="O572" s="53" t="str">
        <f>IF(B572="","",VLOOKUP(B572,'Product Master'!$B:$G,5,FALSE))</f>
        <v/>
      </c>
      <c r="P572" s="50" t="str">
        <f>IF(B572="","",VLOOKUP(B572,'Product Master'!$B:$I,7,FALSE))</f>
        <v/>
      </c>
      <c r="Q572" s="158"/>
      <c r="R572" s="58" t="str">
        <f t="shared" si="8"/>
        <v/>
      </c>
      <c r="S572" s="25"/>
      <c r="T572" s="25"/>
      <c r="U572" s="25"/>
      <c r="V572" s="25"/>
      <c r="W572" s="25"/>
      <c r="X572" s="25"/>
    </row>
    <row r="573" spans="1:24" x14ac:dyDescent="0.25">
      <c r="A573" s="31" t="s">
        <v>1133</v>
      </c>
      <c r="B573" s="32"/>
      <c r="C573" s="50" t="str">
        <f>IF(B573="","",VLOOKUP(B573,'Product Master'!$B:$G,2,FALSE))</f>
        <v/>
      </c>
      <c r="D573" s="50" t="str">
        <f>IF(B573="","",VLOOKUP(B573,'Product Master'!$B:$G,3,FALSE))</f>
        <v/>
      </c>
      <c r="E573" s="50"/>
      <c r="F573" s="50">
        <f>SUMIF('Stock Purchase'!$D:$D,B573,'Stock Purchase'!$F:$F)</f>
        <v>0</v>
      </c>
      <c r="G573" s="50">
        <f>SUMIFS('Stock Adjustment'!$E:$E,'Stock Adjustment'!$B:$B,$A573,'Stock Adjustment'!$D:$D,"Customer Returned")</f>
        <v>0</v>
      </c>
      <c r="H573" s="50">
        <f>SUMIF('Daily Sales Entry'!$D:$D,B573,'Daily Sales Entry'!$G:$G)</f>
        <v>0</v>
      </c>
      <c r="I573" s="50">
        <f>SUMIFS('Stock Adjustment'!$E:$E,'Stock Adjustment'!$B:$B,$A573,'Stock Adjustment'!$D:$D,"Staff Consumption")</f>
        <v>0</v>
      </c>
      <c r="J573" s="50">
        <f>SUMIFS('Stock Adjustment'!$E:$E,'Stock Adjustment'!$B:$B,$A573,'Stock Adjustment'!$D:$D,"Damaged")</f>
        <v>0</v>
      </c>
      <c r="K573" s="50">
        <f>SUMIFS('Stock Adjustment'!$E:$E,'Stock Adjustment'!$B:$B,$A573,'Stock Adjustment'!$D:$D,"Expired")</f>
        <v>0</v>
      </c>
      <c r="L573" s="50">
        <f>SUMIFS('Stock Adjustment'!$E:$E,'Stock Adjustment'!$B:$B,$A573,'Stock Adjustment'!$D:$D,"Supplier Returned")</f>
        <v>0</v>
      </c>
      <c r="M5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3" s="53" t="str">
        <f>IF(B573="","",VLOOKUP(B573,'Product Master'!$B:$G,4,FALSE))</f>
        <v/>
      </c>
      <c r="O573" s="53" t="str">
        <f>IF(B573="","",VLOOKUP(B573,'Product Master'!$B:$G,5,FALSE))</f>
        <v/>
      </c>
      <c r="P573" s="50" t="str">
        <f>IF(B573="","",VLOOKUP(B573,'Product Master'!$B:$I,7,FALSE))</f>
        <v/>
      </c>
      <c r="Q573" s="158"/>
      <c r="R573" s="58" t="str">
        <f t="shared" si="8"/>
        <v/>
      </c>
      <c r="S573" s="25"/>
      <c r="T573" s="25"/>
      <c r="U573" s="25"/>
      <c r="V573" s="25"/>
      <c r="W573" s="25"/>
      <c r="X573" s="25"/>
    </row>
    <row r="574" spans="1:24" x14ac:dyDescent="0.25">
      <c r="A574" s="31" t="s">
        <v>1134</v>
      </c>
      <c r="B574" s="32"/>
      <c r="C574" s="50" t="str">
        <f>IF(B574="","",VLOOKUP(B574,'Product Master'!$B:$G,2,FALSE))</f>
        <v/>
      </c>
      <c r="D574" s="50" t="str">
        <f>IF(B574="","",VLOOKUP(B574,'Product Master'!$B:$G,3,FALSE))</f>
        <v/>
      </c>
      <c r="E574" s="50"/>
      <c r="F574" s="50">
        <f>SUMIF('Stock Purchase'!$D:$D,B574,'Stock Purchase'!$F:$F)</f>
        <v>0</v>
      </c>
      <c r="G574" s="50">
        <f>SUMIFS('Stock Adjustment'!$E:$E,'Stock Adjustment'!$B:$B,$A574,'Stock Adjustment'!$D:$D,"Customer Returned")</f>
        <v>0</v>
      </c>
      <c r="H574" s="50">
        <f>SUMIF('Daily Sales Entry'!$D:$D,B574,'Daily Sales Entry'!$G:$G)</f>
        <v>0</v>
      </c>
      <c r="I574" s="50">
        <f>SUMIFS('Stock Adjustment'!$E:$E,'Stock Adjustment'!$B:$B,$A574,'Stock Adjustment'!$D:$D,"Staff Consumption")</f>
        <v>0</v>
      </c>
      <c r="J574" s="50">
        <f>SUMIFS('Stock Adjustment'!$E:$E,'Stock Adjustment'!$B:$B,$A574,'Stock Adjustment'!$D:$D,"Damaged")</f>
        <v>0</v>
      </c>
      <c r="K574" s="50">
        <f>SUMIFS('Stock Adjustment'!$E:$E,'Stock Adjustment'!$B:$B,$A574,'Stock Adjustment'!$D:$D,"Expired")</f>
        <v>0</v>
      </c>
      <c r="L574" s="50">
        <f>SUMIFS('Stock Adjustment'!$E:$E,'Stock Adjustment'!$B:$B,$A574,'Stock Adjustment'!$D:$D,"Supplier Returned")</f>
        <v>0</v>
      </c>
      <c r="M5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4" s="53" t="str">
        <f>IF(B574="","",VLOOKUP(B574,'Product Master'!$B:$G,4,FALSE))</f>
        <v/>
      </c>
      <c r="O574" s="53" t="str">
        <f>IF(B574="","",VLOOKUP(B574,'Product Master'!$B:$G,5,FALSE))</f>
        <v/>
      </c>
      <c r="P574" s="50" t="str">
        <f>IF(B574="","",VLOOKUP(B574,'Product Master'!$B:$I,7,FALSE))</f>
        <v/>
      </c>
      <c r="Q574" s="158"/>
      <c r="R574" s="58" t="str">
        <f t="shared" si="8"/>
        <v/>
      </c>
      <c r="S574" s="25"/>
      <c r="T574" s="25"/>
      <c r="U574" s="25"/>
      <c r="V574" s="25"/>
      <c r="W574" s="25"/>
      <c r="X574" s="25"/>
    </row>
    <row r="575" spans="1:24" x14ac:dyDescent="0.25">
      <c r="A575" s="31" t="s">
        <v>1135</v>
      </c>
      <c r="B575" s="32"/>
      <c r="C575" s="50" t="str">
        <f>IF(B575="","",VLOOKUP(B575,'Product Master'!$B:$G,2,FALSE))</f>
        <v/>
      </c>
      <c r="D575" s="50" t="str">
        <f>IF(B575="","",VLOOKUP(B575,'Product Master'!$B:$G,3,FALSE))</f>
        <v/>
      </c>
      <c r="E575" s="50"/>
      <c r="F575" s="50">
        <f>SUMIF('Stock Purchase'!$D:$D,B575,'Stock Purchase'!$F:$F)</f>
        <v>0</v>
      </c>
      <c r="G575" s="50">
        <f>SUMIFS('Stock Adjustment'!$E:$E,'Stock Adjustment'!$B:$B,$A575,'Stock Adjustment'!$D:$D,"Customer Returned")</f>
        <v>0</v>
      </c>
      <c r="H575" s="50">
        <f>SUMIF('Daily Sales Entry'!$D:$D,B575,'Daily Sales Entry'!$G:$G)</f>
        <v>0</v>
      </c>
      <c r="I575" s="50">
        <f>SUMIFS('Stock Adjustment'!$E:$E,'Stock Adjustment'!$B:$B,$A575,'Stock Adjustment'!$D:$D,"Staff Consumption")</f>
        <v>0</v>
      </c>
      <c r="J575" s="50">
        <f>SUMIFS('Stock Adjustment'!$E:$E,'Stock Adjustment'!$B:$B,$A575,'Stock Adjustment'!$D:$D,"Damaged")</f>
        <v>0</v>
      </c>
      <c r="K575" s="50">
        <f>SUMIFS('Stock Adjustment'!$E:$E,'Stock Adjustment'!$B:$B,$A575,'Stock Adjustment'!$D:$D,"Expired")</f>
        <v>0</v>
      </c>
      <c r="L575" s="50">
        <f>SUMIFS('Stock Adjustment'!$E:$E,'Stock Adjustment'!$B:$B,$A575,'Stock Adjustment'!$D:$D,"Supplier Returned")</f>
        <v>0</v>
      </c>
      <c r="M5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5" s="53" t="str">
        <f>IF(B575="","",VLOOKUP(B575,'Product Master'!$B:$G,4,FALSE))</f>
        <v/>
      </c>
      <c r="O575" s="53" t="str">
        <f>IF(B575="","",VLOOKUP(B575,'Product Master'!$B:$G,5,FALSE))</f>
        <v/>
      </c>
      <c r="P575" s="50" t="str">
        <f>IF(B575="","",VLOOKUP(B575,'Product Master'!$B:$I,7,FALSE))</f>
        <v/>
      </c>
      <c r="Q575" s="158"/>
      <c r="R575" s="58" t="str">
        <f t="shared" si="8"/>
        <v/>
      </c>
      <c r="S575" s="25"/>
      <c r="T575" s="25"/>
      <c r="U575" s="25"/>
      <c r="V575" s="25"/>
      <c r="W575" s="25"/>
      <c r="X575" s="25"/>
    </row>
    <row r="576" spans="1:24" x14ac:dyDescent="0.25">
      <c r="A576" s="31" t="s">
        <v>1136</v>
      </c>
      <c r="B576" s="32"/>
      <c r="C576" s="50" t="str">
        <f>IF(B576="","",VLOOKUP(B576,'Product Master'!$B:$G,2,FALSE))</f>
        <v/>
      </c>
      <c r="D576" s="50" t="str">
        <f>IF(B576="","",VLOOKUP(B576,'Product Master'!$B:$G,3,FALSE))</f>
        <v/>
      </c>
      <c r="E576" s="50"/>
      <c r="F576" s="50">
        <f>SUMIF('Stock Purchase'!$D:$D,B576,'Stock Purchase'!$F:$F)</f>
        <v>0</v>
      </c>
      <c r="G576" s="50">
        <f>SUMIFS('Stock Adjustment'!$E:$E,'Stock Adjustment'!$B:$B,$A576,'Stock Adjustment'!$D:$D,"Customer Returned")</f>
        <v>0</v>
      </c>
      <c r="H576" s="50">
        <f>SUMIF('Daily Sales Entry'!$D:$D,B576,'Daily Sales Entry'!$G:$G)</f>
        <v>0</v>
      </c>
      <c r="I576" s="50">
        <f>SUMIFS('Stock Adjustment'!$E:$E,'Stock Adjustment'!$B:$B,$A576,'Stock Adjustment'!$D:$D,"Staff Consumption")</f>
        <v>0</v>
      </c>
      <c r="J576" s="50">
        <f>SUMIFS('Stock Adjustment'!$E:$E,'Stock Adjustment'!$B:$B,$A576,'Stock Adjustment'!$D:$D,"Damaged")</f>
        <v>0</v>
      </c>
      <c r="K576" s="50">
        <f>SUMIFS('Stock Adjustment'!$E:$E,'Stock Adjustment'!$B:$B,$A576,'Stock Adjustment'!$D:$D,"Expired")</f>
        <v>0</v>
      </c>
      <c r="L576" s="50">
        <f>SUMIFS('Stock Adjustment'!$E:$E,'Stock Adjustment'!$B:$B,$A576,'Stock Adjustment'!$D:$D,"Supplier Returned")</f>
        <v>0</v>
      </c>
      <c r="M5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6" s="53" t="str">
        <f>IF(B576="","",VLOOKUP(B576,'Product Master'!$B:$G,4,FALSE))</f>
        <v/>
      </c>
      <c r="O576" s="53" t="str">
        <f>IF(B576="","",VLOOKUP(B576,'Product Master'!$B:$G,5,FALSE))</f>
        <v/>
      </c>
      <c r="P576" s="50" t="str">
        <f>IF(B576="","",VLOOKUP(B576,'Product Master'!$B:$I,7,FALSE))</f>
        <v/>
      </c>
      <c r="Q576" s="158"/>
      <c r="R576" s="58" t="str">
        <f t="shared" si="8"/>
        <v/>
      </c>
      <c r="S576" s="25"/>
      <c r="T576" s="25"/>
      <c r="U576" s="25"/>
      <c r="V576" s="25"/>
      <c r="W576" s="25"/>
      <c r="X576" s="25"/>
    </row>
    <row r="577" spans="1:24" x14ac:dyDescent="0.25">
      <c r="A577" s="31" t="s">
        <v>1137</v>
      </c>
      <c r="B577" s="32"/>
      <c r="C577" s="50" t="str">
        <f>IF(B577="","",VLOOKUP(B577,'Product Master'!$B:$G,2,FALSE))</f>
        <v/>
      </c>
      <c r="D577" s="50" t="str">
        <f>IF(B577="","",VLOOKUP(B577,'Product Master'!$B:$G,3,FALSE))</f>
        <v/>
      </c>
      <c r="E577" s="50"/>
      <c r="F577" s="50">
        <f>SUMIF('Stock Purchase'!$D:$D,B577,'Stock Purchase'!$F:$F)</f>
        <v>0</v>
      </c>
      <c r="G577" s="50">
        <f>SUMIFS('Stock Adjustment'!$E:$E,'Stock Adjustment'!$B:$B,$A577,'Stock Adjustment'!$D:$D,"Customer Returned")</f>
        <v>0</v>
      </c>
      <c r="H577" s="50">
        <f>SUMIF('Daily Sales Entry'!$D:$D,B577,'Daily Sales Entry'!$G:$G)</f>
        <v>0</v>
      </c>
      <c r="I577" s="50">
        <f>SUMIFS('Stock Adjustment'!$E:$E,'Stock Adjustment'!$B:$B,$A577,'Stock Adjustment'!$D:$D,"Staff Consumption")</f>
        <v>0</v>
      </c>
      <c r="J577" s="50">
        <f>SUMIFS('Stock Adjustment'!$E:$E,'Stock Adjustment'!$B:$B,$A577,'Stock Adjustment'!$D:$D,"Damaged")</f>
        <v>0</v>
      </c>
      <c r="K577" s="50">
        <f>SUMIFS('Stock Adjustment'!$E:$E,'Stock Adjustment'!$B:$B,$A577,'Stock Adjustment'!$D:$D,"Expired")</f>
        <v>0</v>
      </c>
      <c r="L577" s="50">
        <f>SUMIFS('Stock Adjustment'!$E:$E,'Stock Adjustment'!$B:$B,$A577,'Stock Adjustment'!$D:$D,"Supplier Returned")</f>
        <v>0</v>
      </c>
      <c r="M5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7" s="53" t="str">
        <f>IF(B577="","",VLOOKUP(B577,'Product Master'!$B:$G,4,FALSE))</f>
        <v/>
      </c>
      <c r="O577" s="53" t="str">
        <f>IF(B577="","",VLOOKUP(B577,'Product Master'!$B:$G,5,FALSE))</f>
        <v/>
      </c>
      <c r="P577" s="50" t="str">
        <f>IF(B577="","",VLOOKUP(B577,'Product Master'!$B:$I,7,FALSE))</f>
        <v/>
      </c>
      <c r="Q577" s="158"/>
      <c r="R577" s="58" t="str">
        <f t="shared" si="8"/>
        <v/>
      </c>
      <c r="S577" s="25"/>
      <c r="T577" s="25"/>
      <c r="U577" s="25"/>
      <c r="V577" s="25"/>
      <c r="W577" s="25"/>
      <c r="X577" s="25"/>
    </row>
    <row r="578" spans="1:24" x14ac:dyDescent="0.25">
      <c r="A578" s="31" t="s">
        <v>1138</v>
      </c>
      <c r="B578" s="32"/>
      <c r="C578" s="50" t="str">
        <f>IF(B578="","",VLOOKUP(B578,'Product Master'!$B:$G,2,FALSE))</f>
        <v/>
      </c>
      <c r="D578" s="50" t="str">
        <f>IF(B578="","",VLOOKUP(B578,'Product Master'!$B:$G,3,FALSE))</f>
        <v/>
      </c>
      <c r="E578" s="50"/>
      <c r="F578" s="50">
        <f>SUMIF('Stock Purchase'!$D:$D,B578,'Stock Purchase'!$F:$F)</f>
        <v>0</v>
      </c>
      <c r="G578" s="50">
        <f>SUMIFS('Stock Adjustment'!$E:$E,'Stock Adjustment'!$B:$B,$A578,'Stock Adjustment'!$D:$D,"Customer Returned")</f>
        <v>0</v>
      </c>
      <c r="H578" s="50">
        <f>SUMIF('Daily Sales Entry'!$D:$D,B578,'Daily Sales Entry'!$G:$G)</f>
        <v>0</v>
      </c>
      <c r="I578" s="50">
        <f>SUMIFS('Stock Adjustment'!$E:$E,'Stock Adjustment'!$B:$B,$A578,'Stock Adjustment'!$D:$D,"Staff Consumption")</f>
        <v>0</v>
      </c>
      <c r="J578" s="50">
        <f>SUMIFS('Stock Adjustment'!$E:$E,'Stock Adjustment'!$B:$B,$A578,'Stock Adjustment'!$D:$D,"Damaged")</f>
        <v>0</v>
      </c>
      <c r="K578" s="50">
        <f>SUMIFS('Stock Adjustment'!$E:$E,'Stock Adjustment'!$B:$B,$A578,'Stock Adjustment'!$D:$D,"Expired")</f>
        <v>0</v>
      </c>
      <c r="L578" s="50">
        <f>SUMIFS('Stock Adjustment'!$E:$E,'Stock Adjustment'!$B:$B,$A578,'Stock Adjustment'!$D:$D,"Supplier Returned")</f>
        <v>0</v>
      </c>
      <c r="M5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8" s="53" t="str">
        <f>IF(B578="","",VLOOKUP(B578,'Product Master'!$B:$G,4,FALSE))</f>
        <v/>
      </c>
      <c r="O578" s="53" t="str">
        <f>IF(B578="","",VLOOKUP(B578,'Product Master'!$B:$G,5,FALSE))</f>
        <v/>
      </c>
      <c r="P578" s="50" t="str">
        <f>IF(B578="","",VLOOKUP(B578,'Product Master'!$B:$I,7,FALSE))</f>
        <v/>
      </c>
      <c r="Q578" s="158"/>
      <c r="R578" s="58" t="str">
        <f t="shared" ref="R578:R641" si="9">IF(B578="","",IF(M578=0,"Out of Stock",IF(M578&lt;=10,"Low Stock","In Stock")))</f>
        <v/>
      </c>
      <c r="S578" s="25"/>
      <c r="T578" s="25"/>
      <c r="U578" s="25"/>
      <c r="V578" s="25"/>
      <c r="W578" s="25"/>
      <c r="X578" s="25"/>
    </row>
    <row r="579" spans="1:24" x14ac:dyDescent="0.25">
      <c r="A579" s="31" t="s">
        <v>1139</v>
      </c>
      <c r="B579" s="32"/>
      <c r="C579" s="50" t="str">
        <f>IF(B579="","",VLOOKUP(B579,'Product Master'!$B:$G,2,FALSE))</f>
        <v/>
      </c>
      <c r="D579" s="50" t="str">
        <f>IF(B579="","",VLOOKUP(B579,'Product Master'!$B:$G,3,FALSE))</f>
        <v/>
      </c>
      <c r="E579" s="50"/>
      <c r="F579" s="50">
        <f>SUMIF('Stock Purchase'!$D:$D,B579,'Stock Purchase'!$F:$F)</f>
        <v>0</v>
      </c>
      <c r="G579" s="50">
        <f>SUMIFS('Stock Adjustment'!$E:$E,'Stock Adjustment'!$B:$B,$A579,'Stock Adjustment'!$D:$D,"Customer Returned")</f>
        <v>0</v>
      </c>
      <c r="H579" s="50">
        <f>SUMIF('Daily Sales Entry'!$D:$D,B579,'Daily Sales Entry'!$G:$G)</f>
        <v>0</v>
      </c>
      <c r="I579" s="50">
        <f>SUMIFS('Stock Adjustment'!$E:$E,'Stock Adjustment'!$B:$B,$A579,'Stock Adjustment'!$D:$D,"Staff Consumption")</f>
        <v>0</v>
      </c>
      <c r="J579" s="50">
        <f>SUMIFS('Stock Adjustment'!$E:$E,'Stock Adjustment'!$B:$B,$A579,'Stock Adjustment'!$D:$D,"Damaged")</f>
        <v>0</v>
      </c>
      <c r="K579" s="50">
        <f>SUMIFS('Stock Adjustment'!$E:$E,'Stock Adjustment'!$B:$B,$A579,'Stock Adjustment'!$D:$D,"Expired")</f>
        <v>0</v>
      </c>
      <c r="L579" s="50">
        <f>SUMIFS('Stock Adjustment'!$E:$E,'Stock Adjustment'!$B:$B,$A579,'Stock Adjustment'!$D:$D,"Supplier Returned")</f>
        <v>0</v>
      </c>
      <c r="M5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79" s="53" t="str">
        <f>IF(B579="","",VLOOKUP(B579,'Product Master'!$B:$G,4,FALSE))</f>
        <v/>
      </c>
      <c r="O579" s="53" t="str">
        <f>IF(B579="","",VLOOKUP(B579,'Product Master'!$B:$G,5,FALSE))</f>
        <v/>
      </c>
      <c r="P579" s="50" t="str">
        <f>IF(B579="","",VLOOKUP(B579,'Product Master'!$B:$I,7,FALSE))</f>
        <v/>
      </c>
      <c r="Q579" s="158"/>
      <c r="R579" s="58" t="str">
        <f t="shared" si="9"/>
        <v/>
      </c>
      <c r="S579" s="25"/>
      <c r="T579" s="25"/>
      <c r="U579" s="25"/>
      <c r="V579" s="25"/>
      <c r="W579" s="25"/>
      <c r="X579" s="25"/>
    </row>
    <row r="580" spans="1:24" x14ac:dyDescent="0.25">
      <c r="A580" s="31" t="s">
        <v>1140</v>
      </c>
      <c r="B580" s="32"/>
      <c r="C580" s="50" t="str">
        <f>IF(B580="","",VLOOKUP(B580,'Product Master'!$B:$G,2,FALSE))</f>
        <v/>
      </c>
      <c r="D580" s="50" t="str">
        <f>IF(B580="","",VLOOKUP(B580,'Product Master'!$B:$G,3,FALSE))</f>
        <v/>
      </c>
      <c r="E580" s="50"/>
      <c r="F580" s="50">
        <f>SUMIF('Stock Purchase'!$D:$D,B580,'Stock Purchase'!$F:$F)</f>
        <v>0</v>
      </c>
      <c r="G580" s="50">
        <f>SUMIFS('Stock Adjustment'!$E:$E,'Stock Adjustment'!$B:$B,$A580,'Stock Adjustment'!$D:$D,"Customer Returned")</f>
        <v>0</v>
      </c>
      <c r="H580" s="50">
        <f>SUMIF('Daily Sales Entry'!$D:$D,B580,'Daily Sales Entry'!$G:$G)</f>
        <v>0</v>
      </c>
      <c r="I580" s="50">
        <f>SUMIFS('Stock Adjustment'!$E:$E,'Stock Adjustment'!$B:$B,$A580,'Stock Adjustment'!$D:$D,"Staff Consumption")</f>
        <v>0</v>
      </c>
      <c r="J580" s="50">
        <f>SUMIFS('Stock Adjustment'!$E:$E,'Stock Adjustment'!$B:$B,$A580,'Stock Adjustment'!$D:$D,"Damaged")</f>
        <v>0</v>
      </c>
      <c r="K580" s="50">
        <f>SUMIFS('Stock Adjustment'!$E:$E,'Stock Adjustment'!$B:$B,$A580,'Stock Adjustment'!$D:$D,"Expired")</f>
        <v>0</v>
      </c>
      <c r="L580" s="50">
        <f>SUMIFS('Stock Adjustment'!$E:$E,'Stock Adjustment'!$B:$B,$A580,'Stock Adjustment'!$D:$D,"Supplier Returned")</f>
        <v>0</v>
      </c>
      <c r="M5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0" s="53" t="str">
        <f>IF(B580="","",VLOOKUP(B580,'Product Master'!$B:$G,4,FALSE))</f>
        <v/>
      </c>
      <c r="O580" s="53" t="str">
        <f>IF(B580="","",VLOOKUP(B580,'Product Master'!$B:$G,5,FALSE))</f>
        <v/>
      </c>
      <c r="P580" s="50" t="str">
        <f>IF(B580="","",VLOOKUP(B580,'Product Master'!$B:$I,7,FALSE))</f>
        <v/>
      </c>
      <c r="Q580" s="158"/>
      <c r="R580" s="58" t="str">
        <f t="shared" si="9"/>
        <v/>
      </c>
      <c r="S580" s="25"/>
      <c r="T580" s="25"/>
      <c r="U580" s="25"/>
      <c r="V580" s="25"/>
      <c r="W580" s="25"/>
      <c r="X580" s="25"/>
    </row>
    <row r="581" spans="1:24" x14ac:dyDescent="0.25">
      <c r="A581" s="31" t="s">
        <v>1141</v>
      </c>
      <c r="B581" s="32"/>
      <c r="C581" s="50" t="str">
        <f>IF(B581="","",VLOOKUP(B581,'Product Master'!$B:$G,2,FALSE))</f>
        <v/>
      </c>
      <c r="D581" s="50" t="str">
        <f>IF(B581="","",VLOOKUP(B581,'Product Master'!$B:$G,3,FALSE))</f>
        <v/>
      </c>
      <c r="E581" s="50"/>
      <c r="F581" s="50">
        <f>SUMIF('Stock Purchase'!$D:$D,B581,'Stock Purchase'!$F:$F)</f>
        <v>0</v>
      </c>
      <c r="G581" s="50">
        <f>SUMIFS('Stock Adjustment'!$E:$E,'Stock Adjustment'!$B:$B,$A581,'Stock Adjustment'!$D:$D,"Customer Returned")</f>
        <v>0</v>
      </c>
      <c r="H581" s="50">
        <f>SUMIF('Daily Sales Entry'!$D:$D,B581,'Daily Sales Entry'!$G:$G)</f>
        <v>0</v>
      </c>
      <c r="I581" s="50">
        <f>SUMIFS('Stock Adjustment'!$E:$E,'Stock Adjustment'!$B:$B,$A581,'Stock Adjustment'!$D:$D,"Staff Consumption")</f>
        <v>0</v>
      </c>
      <c r="J581" s="50">
        <f>SUMIFS('Stock Adjustment'!$E:$E,'Stock Adjustment'!$B:$B,$A581,'Stock Adjustment'!$D:$D,"Damaged")</f>
        <v>0</v>
      </c>
      <c r="K581" s="50">
        <f>SUMIFS('Stock Adjustment'!$E:$E,'Stock Adjustment'!$B:$B,$A581,'Stock Adjustment'!$D:$D,"Expired")</f>
        <v>0</v>
      </c>
      <c r="L581" s="50">
        <f>SUMIFS('Stock Adjustment'!$E:$E,'Stock Adjustment'!$B:$B,$A581,'Stock Adjustment'!$D:$D,"Supplier Returned")</f>
        <v>0</v>
      </c>
      <c r="M5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1" s="53" t="str">
        <f>IF(B581="","",VLOOKUP(B581,'Product Master'!$B:$G,4,FALSE))</f>
        <v/>
      </c>
      <c r="O581" s="53" t="str">
        <f>IF(B581="","",VLOOKUP(B581,'Product Master'!$B:$G,5,FALSE))</f>
        <v/>
      </c>
      <c r="P581" s="50" t="str">
        <f>IF(B581="","",VLOOKUP(B581,'Product Master'!$B:$I,7,FALSE))</f>
        <v/>
      </c>
      <c r="Q581" s="158"/>
      <c r="R581" s="58" t="str">
        <f t="shared" si="9"/>
        <v/>
      </c>
      <c r="S581" s="25"/>
      <c r="T581" s="25"/>
      <c r="U581" s="25"/>
      <c r="V581" s="25"/>
      <c r="W581" s="25"/>
      <c r="X581" s="25"/>
    </row>
    <row r="582" spans="1:24" x14ac:dyDescent="0.25">
      <c r="A582" s="31" t="s">
        <v>1142</v>
      </c>
      <c r="B582" s="32"/>
      <c r="C582" s="50" t="str">
        <f>IF(B582="","",VLOOKUP(B582,'Product Master'!$B:$G,2,FALSE))</f>
        <v/>
      </c>
      <c r="D582" s="50" t="str">
        <f>IF(B582="","",VLOOKUP(B582,'Product Master'!$B:$G,3,FALSE))</f>
        <v/>
      </c>
      <c r="E582" s="50"/>
      <c r="F582" s="50">
        <f>SUMIF('Stock Purchase'!$D:$D,B582,'Stock Purchase'!$F:$F)</f>
        <v>0</v>
      </c>
      <c r="G582" s="50">
        <f>SUMIFS('Stock Adjustment'!$E:$E,'Stock Adjustment'!$B:$B,$A582,'Stock Adjustment'!$D:$D,"Customer Returned")</f>
        <v>0</v>
      </c>
      <c r="H582" s="50">
        <f>SUMIF('Daily Sales Entry'!$D:$D,B582,'Daily Sales Entry'!$G:$G)</f>
        <v>0</v>
      </c>
      <c r="I582" s="50">
        <f>SUMIFS('Stock Adjustment'!$E:$E,'Stock Adjustment'!$B:$B,$A582,'Stock Adjustment'!$D:$D,"Staff Consumption")</f>
        <v>0</v>
      </c>
      <c r="J582" s="50">
        <f>SUMIFS('Stock Adjustment'!$E:$E,'Stock Adjustment'!$B:$B,$A582,'Stock Adjustment'!$D:$D,"Damaged")</f>
        <v>0</v>
      </c>
      <c r="K582" s="50">
        <f>SUMIFS('Stock Adjustment'!$E:$E,'Stock Adjustment'!$B:$B,$A582,'Stock Adjustment'!$D:$D,"Expired")</f>
        <v>0</v>
      </c>
      <c r="L582" s="50">
        <f>SUMIFS('Stock Adjustment'!$E:$E,'Stock Adjustment'!$B:$B,$A582,'Stock Adjustment'!$D:$D,"Supplier Returned")</f>
        <v>0</v>
      </c>
      <c r="M5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2" s="53" t="str">
        <f>IF(B582="","",VLOOKUP(B582,'Product Master'!$B:$G,4,FALSE))</f>
        <v/>
      </c>
      <c r="O582" s="53" t="str">
        <f>IF(B582="","",VLOOKUP(B582,'Product Master'!$B:$G,5,FALSE))</f>
        <v/>
      </c>
      <c r="P582" s="50" t="str">
        <f>IF(B582="","",VLOOKUP(B582,'Product Master'!$B:$I,7,FALSE))</f>
        <v/>
      </c>
      <c r="Q582" s="158"/>
      <c r="R582" s="58" t="str">
        <f t="shared" si="9"/>
        <v/>
      </c>
      <c r="S582" s="25"/>
      <c r="T582" s="25"/>
      <c r="U582" s="25"/>
      <c r="V582" s="25"/>
      <c r="W582" s="25"/>
      <c r="X582" s="25"/>
    </row>
    <row r="583" spans="1:24" x14ac:dyDescent="0.25">
      <c r="A583" s="31" t="s">
        <v>1143</v>
      </c>
      <c r="B583" s="32"/>
      <c r="C583" s="50" t="str">
        <f>IF(B583="","",VLOOKUP(B583,'Product Master'!$B:$G,2,FALSE))</f>
        <v/>
      </c>
      <c r="D583" s="50" t="str">
        <f>IF(B583="","",VLOOKUP(B583,'Product Master'!$B:$G,3,FALSE))</f>
        <v/>
      </c>
      <c r="E583" s="50"/>
      <c r="F583" s="50">
        <f>SUMIF('Stock Purchase'!$D:$D,B583,'Stock Purchase'!$F:$F)</f>
        <v>0</v>
      </c>
      <c r="G583" s="50">
        <f>SUMIFS('Stock Adjustment'!$E:$E,'Stock Adjustment'!$B:$B,$A583,'Stock Adjustment'!$D:$D,"Customer Returned")</f>
        <v>0</v>
      </c>
      <c r="H583" s="50">
        <f>SUMIF('Daily Sales Entry'!$D:$D,B583,'Daily Sales Entry'!$G:$G)</f>
        <v>0</v>
      </c>
      <c r="I583" s="50">
        <f>SUMIFS('Stock Adjustment'!$E:$E,'Stock Adjustment'!$B:$B,$A583,'Stock Adjustment'!$D:$D,"Staff Consumption")</f>
        <v>0</v>
      </c>
      <c r="J583" s="50">
        <f>SUMIFS('Stock Adjustment'!$E:$E,'Stock Adjustment'!$B:$B,$A583,'Stock Adjustment'!$D:$D,"Damaged")</f>
        <v>0</v>
      </c>
      <c r="K583" s="50">
        <f>SUMIFS('Stock Adjustment'!$E:$E,'Stock Adjustment'!$B:$B,$A583,'Stock Adjustment'!$D:$D,"Expired")</f>
        <v>0</v>
      </c>
      <c r="L583" s="50">
        <f>SUMIFS('Stock Adjustment'!$E:$E,'Stock Adjustment'!$B:$B,$A583,'Stock Adjustment'!$D:$D,"Supplier Returned")</f>
        <v>0</v>
      </c>
      <c r="M5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3" s="53" t="str">
        <f>IF(B583="","",VLOOKUP(B583,'Product Master'!$B:$G,4,FALSE))</f>
        <v/>
      </c>
      <c r="O583" s="53" t="str">
        <f>IF(B583="","",VLOOKUP(B583,'Product Master'!$B:$G,5,FALSE))</f>
        <v/>
      </c>
      <c r="P583" s="50" t="str">
        <f>IF(B583="","",VLOOKUP(B583,'Product Master'!$B:$I,7,FALSE))</f>
        <v/>
      </c>
      <c r="Q583" s="158"/>
      <c r="R583" s="58" t="str">
        <f t="shared" si="9"/>
        <v/>
      </c>
      <c r="S583" s="25"/>
      <c r="T583" s="25"/>
      <c r="U583" s="25"/>
      <c r="V583" s="25"/>
      <c r="W583" s="25"/>
      <c r="X583" s="25"/>
    </row>
    <row r="584" spans="1:24" x14ac:dyDescent="0.25">
      <c r="A584" s="31" t="s">
        <v>1144</v>
      </c>
      <c r="B584" s="32"/>
      <c r="C584" s="50" t="str">
        <f>IF(B584="","",VLOOKUP(B584,'Product Master'!$B:$G,2,FALSE))</f>
        <v/>
      </c>
      <c r="D584" s="50" t="str">
        <f>IF(B584="","",VLOOKUP(B584,'Product Master'!$B:$G,3,FALSE))</f>
        <v/>
      </c>
      <c r="E584" s="50"/>
      <c r="F584" s="50">
        <f>SUMIF('Stock Purchase'!$D:$D,B584,'Stock Purchase'!$F:$F)</f>
        <v>0</v>
      </c>
      <c r="G584" s="50">
        <f>SUMIFS('Stock Adjustment'!$E:$E,'Stock Adjustment'!$B:$B,$A584,'Stock Adjustment'!$D:$D,"Customer Returned")</f>
        <v>0</v>
      </c>
      <c r="H584" s="50">
        <f>SUMIF('Daily Sales Entry'!$D:$D,B584,'Daily Sales Entry'!$G:$G)</f>
        <v>0</v>
      </c>
      <c r="I584" s="50">
        <f>SUMIFS('Stock Adjustment'!$E:$E,'Stock Adjustment'!$B:$B,$A584,'Stock Adjustment'!$D:$D,"Staff Consumption")</f>
        <v>0</v>
      </c>
      <c r="J584" s="50">
        <f>SUMIFS('Stock Adjustment'!$E:$E,'Stock Adjustment'!$B:$B,$A584,'Stock Adjustment'!$D:$D,"Damaged")</f>
        <v>0</v>
      </c>
      <c r="K584" s="50">
        <f>SUMIFS('Stock Adjustment'!$E:$E,'Stock Adjustment'!$B:$B,$A584,'Stock Adjustment'!$D:$D,"Expired")</f>
        <v>0</v>
      </c>
      <c r="L584" s="50">
        <f>SUMIFS('Stock Adjustment'!$E:$E,'Stock Adjustment'!$B:$B,$A584,'Stock Adjustment'!$D:$D,"Supplier Returned")</f>
        <v>0</v>
      </c>
      <c r="M5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4" s="53" t="str">
        <f>IF(B584="","",VLOOKUP(B584,'Product Master'!$B:$G,4,FALSE))</f>
        <v/>
      </c>
      <c r="O584" s="53" t="str">
        <f>IF(B584="","",VLOOKUP(B584,'Product Master'!$B:$G,5,FALSE))</f>
        <v/>
      </c>
      <c r="P584" s="50" t="str">
        <f>IF(B584="","",VLOOKUP(B584,'Product Master'!$B:$I,7,FALSE))</f>
        <v/>
      </c>
      <c r="Q584" s="158"/>
      <c r="R584" s="58" t="str">
        <f t="shared" si="9"/>
        <v/>
      </c>
      <c r="S584" s="25"/>
      <c r="T584" s="25"/>
      <c r="U584" s="25"/>
      <c r="V584" s="25"/>
      <c r="W584" s="25"/>
      <c r="X584" s="25"/>
    </row>
    <row r="585" spans="1:24" x14ac:dyDescent="0.25">
      <c r="A585" s="31" t="s">
        <v>1145</v>
      </c>
      <c r="B585" s="32"/>
      <c r="C585" s="50" t="str">
        <f>IF(B585="","",VLOOKUP(B585,'Product Master'!$B:$G,2,FALSE))</f>
        <v/>
      </c>
      <c r="D585" s="50" t="str">
        <f>IF(B585="","",VLOOKUP(B585,'Product Master'!$B:$G,3,FALSE))</f>
        <v/>
      </c>
      <c r="E585" s="50"/>
      <c r="F585" s="50">
        <f>SUMIF('Stock Purchase'!$D:$D,B585,'Stock Purchase'!$F:$F)</f>
        <v>0</v>
      </c>
      <c r="G585" s="50">
        <f>SUMIFS('Stock Adjustment'!$E:$E,'Stock Adjustment'!$B:$B,$A585,'Stock Adjustment'!$D:$D,"Customer Returned")</f>
        <v>0</v>
      </c>
      <c r="H585" s="50">
        <f>SUMIF('Daily Sales Entry'!$D:$D,B585,'Daily Sales Entry'!$G:$G)</f>
        <v>0</v>
      </c>
      <c r="I585" s="50">
        <f>SUMIFS('Stock Adjustment'!$E:$E,'Stock Adjustment'!$B:$B,$A585,'Stock Adjustment'!$D:$D,"Staff Consumption")</f>
        <v>0</v>
      </c>
      <c r="J585" s="50">
        <f>SUMIFS('Stock Adjustment'!$E:$E,'Stock Adjustment'!$B:$B,$A585,'Stock Adjustment'!$D:$D,"Damaged")</f>
        <v>0</v>
      </c>
      <c r="K585" s="50">
        <f>SUMIFS('Stock Adjustment'!$E:$E,'Stock Adjustment'!$B:$B,$A585,'Stock Adjustment'!$D:$D,"Expired")</f>
        <v>0</v>
      </c>
      <c r="L585" s="50">
        <f>SUMIFS('Stock Adjustment'!$E:$E,'Stock Adjustment'!$B:$B,$A585,'Stock Adjustment'!$D:$D,"Supplier Returned")</f>
        <v>0</v>
      </c>
      <c r="M5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5" s="53" t="str">
        <f>IF(B585="","",VLOOKUP(B585,'Product Master'!$B:$G,4,FALSE))</f>
        <v/>
      </c>
      <c r="O585" s="53" t="str">
        <f>IF(B585="","",VLOOKUP(B585,'Product Master'!$B:$G,5,FALSE))</f>
        <v/>
      </c>
      <c r="P585" s="50" t="str">
        <f>IF(B585="","",VLOOKUP(B585,'Product Master'!$B:$I,7,FALSE))</f>
        <v/>
      </c>
      <c r="Q585" s="158"/>
      <c r="R585" s="58" t="str">
        <f t="shared" si="9"/>
        <v/>
      </c>
      <c r="S585" s="25"/>
      <c r="T585" s="25"/>
      <c r="U585" s="25"/>
      <c r="V585" s="25"/>
      <c r="W585" s="25"/>
      <c r="X585" s="25"/>
    </row>
    <row r="586" spans="1:24" x14ac:dyDescent="0.25">
      <c r="A586" s="31" t="s">
        <v>1146</v>
      </c>
      <c r="B586" s="32"/>
      <c r="C586" s="50" t="str">
        <f>IF(B586="","",VLOOKUP(B586,'Product Master'!$B:$G,2,FALSE))</f>
        <v/>
      </c>
      <c r="D586" s="50" t="str">
        <f>IF(B586="","",VLOOKUP(B586,'Product Master'!$B:$G,3,FALSE))</f>
        <v/>
      </c>
      <c r="E586" s="50"/>
      <c r="F586" s="50">
        <f>SUMIF('Stock Purchase'!$D:$D,B586,'Stock Purchase'!$F:$F)</f>
        <v>0</v>
      </c>
      <c r="G586" s="50">
        <f>SUMIFS('Stock Adjustment'!$E:$E,'Stock Adjustment'!$B:$B,$A586,'Stock Adjustment'!$D:$D,"Customer Returned")</f>
        <v>0</v>
      </c>
      <c r="H586" s="50">
        <f>SUMIF('Daily Sales Entry'!$D:$D,B586,'Daily Sales Entry'!$G:$G)</f>
        <v>0</v>
      </c>
      <c r="I586" s="50">
        <f>SUMIFS('Stock Adjustment'!$E:$E,'Stock Adjustment'!$B:$B,$A586,'Stock Adjustment'!$D:$D,"Staff Consumption")</f>
        <v>0</v>
      </c>
      <c r="J586" s="50">
        <f>SUMIFS('Stock Adjustment'!$E:$E,'Stock Adjustment'!$B:$B,$A586,'Stock Adjustment'!$D:$D,"Damaged")</f>
        <v>0</v>
      </c>
      <c r="K586" s="50">
        <f>SUMIFS('Stock Adjustment'!$E:$E,'Stock Adjustment'!$B:$B,$A586,'Stock Adjustment'!$D:$D,"Expired")</f>
        <v>0</v>
      </c>
      <c r="L586" s="50">
        <f>SUMIFS('Stock Adjustment'!$E:$E,'Stock Adjustment'!$B:$B,$A586,'Stock Adjustment'!$D:$D,"Supplier Returned")</f>
        <v>0</v>
      </c>
      <c r="M5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6" s="53" t="str">
        <f>IF(B586="","",VLOOKUP(B586,'Product Master'!$B:$G,4,FALSE))</f>
        <v/>
      </c>
      <c r="O586" s="53" t="str">
        <f>IF(B586="","",VLOOKUP(B586,'Product Master'!$B:$G,5,FALSE))</f>
        <v/>
      </c>
      <c r="P586" s="50" t="str">
        <f>IF(B586="","",VLOOKUP(B586,'Product Master'!$B:$I,7,FALSE))</f>
        <v/>
      </c>
      <c r="Q586" s="158"/>
      <c r="R586" s="58" t="str">
        <f t="shared" si="9"/>
        <v/>
      </c>
      <c r="S586" s="25"/>
      <c r="T586" s="25"/>
      <c r="U586" s="25"/>
      <c r="V586" s="25"/>
      <c r="W586" s="25"/>
      <c r="X586" s="25"/>
    </row>
    <row r="587" spans="1:24" x14ac:dyDescent="0.25">
      <c r="A587" s="31" t="s">
        <v>1147</v>
      </c>
      <c r="B587" s="32"/>
      <c r="C587" s="50" t="str">
        <f>IF(B587="","",VLOOKUP(B587,'Product Master'!$B:$G,2,FALSE))</f>
        <v/>
      </c>
      <c r="D587" s="50" t="str">
        <f>IF(B587="","",VLOOKUP(B587,'Product Master'!$B:$G,3,FALSE))</f>
        <v/>
      </c>
      <c r="E587" s="50"/>
      <c r="F587" s="50">
        <f>SUMIF('Stock Purchase'!$D:$D,B587,'Stock Purchase'!$F:$F)</f>
        <v>0</v>
      </c>
      <c r="G587" s="50">
        <f>SUMIFS('Stock Adjustment'!$E:$E,'Stock Adjustment'!$B:$B,$A587,'Stock Adjustment'!$D:$D,"Customer Returned")</f>
        <v>0</v>
      </c>
      <c r="H587" s="50">
        <f>SUMIF('Daily Sales Entry'!$D:$D,B587,'Daily Sales Entry'!$G:$G)</f>
        <v>0</v>
      </c>
      <c r="I587" s="50">
        <f>SUMIFS('Stock Adjustment'!$E:$E,'Stock Adjustment'!$B:$B,$A587,'Stock Adjustment'!$D:$D,"Staff Consumption")</f>
        <v>0</v>
      </c>
      <c r="J587" s="50">
        <f>SUMIFS('Stock Adjustment'!$E:$E,'Stock Adjustment'!$B:$B,$A587,'Stock Adjustment'!$D:$D,"Damaged")</f>
        <v>0</v>
      </c>
      <c r="K587" s="50">
        <f>SUMIFS('Stock Adjustment'!$E:$E,'Stock Adjustment'!$B:$B,$A587,'Stock Adjustment'!$D:$D,"Expired")</f>
        <v>0</v>
      </c>
      <c r="L587" s="50">
        <f>SUMIFS('Stock Adjustment'!$E:$E,'Stock Adjustment'!$B:$B,$A587,'Stock Adjustment'!$D:$D,"Supplier Returned")</f>
        <v>0</v>
      </c>
      <c r="M5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7" s="53" t="str">
        <f>IF(B587="","",VLOOKUP(B587,'Product Master'!$B:$G,4,FALSE))</f>
        <v/>
      </c>
      <c r="O587" s="53" t="str">
        <f>IF(B587="","",VLOOKUP(B587,'Product Master'!$B:$G,5,FALSE))</f>
        <v/>
      </c>
      <c r="P587" s="50" t="str">
        <f>IF(B587="","",VLOOKUP(B587,'Product Master'!$B:$I,7,FALSE))</f>
        <v/>
      </c>
      <c r="Q587" s="158"/>
      <c r="R587" s="58" t="str">
        <f t="shared" si="9"/>
        <v/>
      </c>
      <c r="S587" s="25"/>
      <c r="T587" s="25"/>
      <c r="U587" s="25"/>
      <c r="V587" s="25"/>
      <c r="W587" s="25"/>
      <c r="X587" s="25"/>
    </row>
    <row r="588" spans="1:24" x14ac:dyDescent="0.25">
      <c r="A588" s="31" t="s">
        <v>1148</v>
      </c>
      <c r="B588" s="32"/>
      <c r="C588" s="50" t="str">
        <f>IF(B588="","",VLOOKUP(B588,'Product Master'!$B:$G,2,FALSE))</f>
        <v/>
      </c>
      <c r="D588" s="50" t="str">
        <f>IF(B588="","",VLOOKUP(B588,'Product Master'!$B:$G,3,FALSE))</f>
        <v/>
      </c>
      <c r="E588" s="50"/>
      <c r="F588" s="50">
        <f>SUMIF('Stock Purchase'!$D:$D,B588,'Stock Purchase'!$F:$F)</f>
        <v>0</v>
      </c>
      <c r="G588" s="50">
        <f>SUMIFS('Stock Adjustment'!$E:$E,'Stock Adjustment'!$B:$B,$A588,'Stock Adjustment'!$D:$D,"Customer Returned")</f>
        <v>0</v>
      </c>
      <c r="H588" s="50">
        <f>SUMIF('Daily Sales Entry'!$D:$D,B588,'Daily Sales Entry'!$G:$G)</f>
        <v>0</v>
      </c>
      <c r="I588" s="50">
        <f>SUMIFS('Stock Adjustment'!$E:$E,'Stock Adjustment'!$B:$B,$A588,'Stock Adjustment'!$D:$D,"Staff Consumption")</f>
        <v>0</v>
      </c>
      <c r="J588" s="50">
        <f>SUMIFS('Stock Adjustment'!$E:$E,'Stock Adjustment'!$B:$B,$A588,'Stock Adjustment'!$D:$D,"Damaged")</f>
        <v>0</v>
      </c>
      <c r="K588" s="50">
        <f>SUMIFS('Stock Adjustment'!$E:$E,'Stock Adjustment'!$B:$B,$A588,'Stock Adjustment'!$D:$D,"Expired")</f>
        <v>0</v>
      </c>
      <c r="L588" s="50">
        <f>SUMIFS('Stock Adjustment'!$E:$E,'Stock Adjustment'!$B:$B,$A588,'Stock Adjustment'!$D:$D,"Supplier Returned")</f>
        <v>0</v>
      </c>
      <c r="M5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8" s="53" t="str">
        <f>IF(B588="","",VLOOKUP(B588,'Product Master'!$B:$G,4,FALSE))</f>
        <v/>
      </c>
      <c r="O588" s="53" t="str">
        <f>IF(B588="","",VLOOKUP(B588,'Product Master'!$B:$G,5,FALSE))</f>
        <v/>
      </c>
      <c r="P588" s="50" t="str">
        <f>IF(B588="","",VLOOKUP(B588,'Product Master'!$B:$I,7,FALSE))</f>
        <v/>
      </c>
      <c r="Q588" s="158"/>
      <c r="R588" s="58" t="str">
        <f t="shared" si="9"/>
        <v/>
      </c>
      <c r="S588" s="25"/>
      <c r="T588" s="25"/>
      <c r="U588" s="25"/>
      <c r="V588" s="25"/>
      <c r="W588" s="25"/>
      <c r="X588" s="25"/>
    </row>
    <row r="589" spans="1:24" x14ac:dyDescent="0.25">
      <c r="A589" s="31" t="s">
        <v>1149</v>
      </c>
      <c r="B589" s="32"/>
      <c r="C589" s="50" t="str">
        <f>IF(B589="","",VLOOKUP(B589,'Product Master'!$B:$G,2,FALSE))</f>
        <v/>
      </c>
      <c r="D589" s="50" t="str">
        <f>IF(B589="","",VLOOKUP(B589,'Product Master'!$B:$G,3,FALSE))</f>
        <v/>
      </c>
      <c r="E589" s="50"/>
      <c r="F589" s="50">
        <f>SUMIF('Stock Purchase'!$D:$D,B589,'Stock Purchase'!$F:$F)</f>
        <v>0</v>
      </c>
      <c r="G589" s="50">
        <f>SUMIFS('Stock Adjustment'!$E:$E,'Stock Adjustment'!$B:$B,$A589,'Stock Adjustment'!$D:$D,"Customer Returned")</f>
        <v>0</v>
      </c>
      <c r="H589" s="50">
        <f>SUMIF('Daily Sales Entry'!$D:$D,B589,'Daily Sales Entry'!$G:$G)</f>
        <v>0</v>
      </c>
      <c r="I589" s="50">
        <f>SUMIFS('Stock Adjustment'!$E:$E,'Stock Adjustment'!$B:$B,$A589,'Stock Adjustment'!$D:$D,"Staff Consumption")</f>
        <v>0</v>
      </c>
      <c r="J589" s="50">
        <f>SUMIFS('Stock Adjustment'!$E:$E,'Stock Adjustment'!$B:$B,$A589,'Stock Adjustment'!$D:$D,"Damaged")</f>
        <v>0</v>
      </c>
      <c r="K589" s="50">
        <f>SUMIFS('Stock Adjustment'!$E:$E,'Stock Adjustment'!$B:$B,$A589,'Stock Adjustment'!$D:$D,"Expired")</f>
        <v>0</v>
      </c>
      <c r="L589" s="50">
        <f>SUMIFS('Stock Adjustment'!$E:$E,'Stock Adjustment'!$B:$B,$A589,'Stock Adjustment'!$D:$D,"Supplier Returned")</f>
        <v>0</v>
      </c>
      <c r="M5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89" s="53" t="str">
        <f>IF(B589="","",VLOOKUP(B589,'Product Master'!$B:$G,4,FALSE))</f>
        <v/>
      </c>
      <c r="O589" s="53" t="str">
        <f>IF(B589="","",VLOOKUP(B589,'Product Master'!$B:$G,5,FALSE))</f>
        <v/>
      </c>
      <c r="P589" s="50" t="str">
        <f>IF(B589="","",VLOOKUP(B589,'Product Master'!$B:$I,7,FALSE))</f>
        <v/>
      </c>
      <c r="Q589" s="158"/>
      <c r="R589" s="58" t="str">
        <f t="shared" si="9"/>
        <v/>
      </c>
      <c r="S589" s="25"/>
      <c r="T589" s="25"/>
      <c r="U589" s="25"/>
      <c r="V589" s="25"/>
      <c r="W589" s="25"/>
      <c r="X589" s="25"/>
    </row>
    <row r="590" spans="1:24" x14ac:dyDescent="0.25">
      <c r="A590" s="31" t="s">
        <v>1150</v>
      </c>
      <c r="B590" s="32"/>
      <c r="C590" s="50" t="str">
        <f>IF(B590="","",VLOOKUP(B590,'Product Master'!$B:$G,2,FALSE))</f>
        <v/>
      </c>
      <c r="D590" s="50" t="str">
        <f>IF(B590="","",VLOOKUP(B590,'Product Master'!$B:$G,3,FALSE))</f>
        <v/>
      </c>
      <c r="E590" s="50"/>
      <c r="F590" s="50">
        <f>SUMIF('Stock Purchase'!$D:$D,B590,'Stock Purchase'!$F:$F)</f>
        <v>0</v>
      </c>
      <c r="G590" s="50">
        <f>SUMIFS('Stock Adjustment'!$E:$E,'Stock Adjustment'!$B:$B,$A590,'Stock Adjustment'!$D:$D,"Customer Returned")</f>
        <v>0</v>
      </c>
      <c r="H590" s="50">
        <f>SUMIF('Daily Sales Entry'!$D:$D,B590,'Daily Sales Entry'!$G:$G)</f>
        <v>0</v>
      </c>
      <c r="I590" s="50">
        <f>SUMIFS('Stock Adjustment'!$E:$E,'Stock Adjustment'!$B:$B,$A590,'Stock Adjustment'!$D:$D,"Staff Consumption")</f>
        <v>0</v>
      </c>
      <c r="J590" s="50">
        <f>SUMIFS('Stock Adjustment'!$E:$E,'Stock Adjustment'!$B:$B,$A590,'Stock Adjustment'!$D:$D,"Damaged")</f>
        <v>0</v>
      </c>
      <c r="K590" s="50">
        <f>SUMIFS('Stock Adjustment'!$E:$E,'Stock Adjustment'!$B:$B,$A590,'Stock Adjustment'!$D:$D,"Expired")</f>
        <v>0</v>
      </c>
      <c r="L590" s="50">
        <f>SUMIFS('Stock Adjustment'!$E:$E,'Stock Adjustment'!$B:$B,$A590,'Stock Adjustment'!$D:$D,"Supplier Returned")</f>
        <v>0</v>
      </c>
      <c r="M5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0" s="53" t="str">
        <f>IF(B590="","",VLOOKUP(B590,'Product Master'!$B:$G,4,FALSE))</f>
        <v/>
      </c>
      <c r="O590" s="53" t="str">
        <f>IF(B590="","",VLOOKUP(B590,'Product Master'!$B:$G,5,FALSE))</f>
        <v/>
      </c>
      <c r="P590" s="50" t="str">
        <f>IF(B590="","",VLOOKUP(B590,'Product Master'!$B:$I,7,FALSE))</f>
        <v/>
      </c>
      <c r="Q590" s="158"/>
      <c r="R590" s="58" t="str">
        <f t="shared" si="9"/>
        <v/>
      </c>
      <c r="S590" s="25"/>
      <c r="T590" s="25"/>
      <c r="U590" s="25"/>
      <c r="V590" s="25"/>
      <c r="W590" s="25"/>
      <c r="X590" s="25"/>
    </row>
    <row r="591" spans="1:24" x14ac:dyDescent="0.25">
      <c r="A591" s="31" t="s">
        <v>1151</v>
      </c>
      <c r="B591" s="32"/>
      <c r="C591" s="50" t="str">
        <f>IF(B591="","",VLOOKUP(B591,'Product Master'!$B:$G,2,FALSE))</f>
        <v/>
      </c>
      <c r="D591" s="50" t="str">
        <f>IF(B591="","",VLOOKUP(B591,'Product Master'!$B:$G,3,FALSE))</f>
        <v/>
      </c>
      <c r="E591" s="50"/>
      <c r="F591" s="50">
        <f>SUMIF('Stock Purchase'!$D:$D,B591,'Stock Purchase'!$F:$F)</f>
        <v>0</v>
      </c>
      <c r="G591" s="50">
        <f>SUMIFS('Stock Adjustment'!$E:$E,'Stock Adjustment'!$B:$B,$A591,'Stock Adjustment'!$D:$D,"Customer Returned")</f>
        <v>0</v>
      </c>
      <c r="H591" s="50">
        <f>SUMIF('Daily Sales Entry'!$D:$D,B591,'Daily Sales Entry'!$G:$G)</f>
        <v>0</v>
      </c>
      <c r="I591" s="50">
        <f>SUMIFS('Stock Adjustment'!$E:$E,'Stock Adjustment'!$B:$B,$A591,'Stock Adjustment'!$D:$D,"Staff Consumption")</f>
        <v>0</v>
      </c>
      <c r="J591" s="50">
        <f>SUMIFS('Stock Adjustment'!$E:$E,'Stock Adjustment'!$B:$B,$A591,'Stock Adjustment'!$D:$D,"Damaged")</f>
        <v>0</v>
      </c>
      <c r="K591" s="50">
        <f>SUMIFS('Stock Adjustment'!$E:$E,'Stock Adjustment'!$B:$B,$A591,'Stock Adjustment'!$D:$D,"Expired")</f>
        <v>0</v>
      </c>
      <c r="L591" s="50">
        <f>SUMIFS('Stock Adjustment'!$E:$E,'Stock Adjustment'!$B:$B,$A591,'Stock Adjustment'!$D:$D,"Supplier Returned")</f>
        <v>0</v>
      </c>
      <c r="M5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1" s="53" t="str">
        <f>IF(B591="","",VLOOKUP(B591,'Product Master'!$B:$G,4,FALSE))</f>
        <v/>
      </c>
      <c r="O591" s="53" t="str">
        <f>IF(B591="","",VLOOKUP(B591,'Product Master'!$B:$G,5,FALSE))</f>
        <v/>
      </c>
      <c r="P591" s="50" t="str">
        <f>IF(B591="","",VLOOKUP(B591,'Product Master'!$B:$I,7,FALSE))</f>
        <v/>
      </c>
      <c r="Q591" s="158"/>
      <c r="R591" s="58" t="str">
        <f t="shared" si="9"/>
        <v/>
      </c>
      <c r="S591" s="25"/>
      <c r="T591" s="25"/>
      <c r="U591" s="25"/>
      <c r="V591" s="25"/>
      <c r="W591" s="25"/>
      <c r="X591" s="25"/>
    </row>
    <row r="592" spans="1:24" x14ac:dyDescent="0.25">
      <c r="A592" s="31" t="s">
        <v>1152</v>
      </c>
      <c r="B592" s="32"/>
      <c r="C592" s="50" t="str">
        <f>IF(B592="","",VLOOKUP(B592,'Product Master'!$B:$G,2,FALSE))</f>
        <v/>
      </c>
      <c r="D592" s="50" t="str">
        <f>IF(B592="","",VLOOKUP(B592,'Product Master'!$B:$G,3,FALSE))</f>
        <v/>
      </c>
      <c r="E592" s="50"/>
      <c r="F592" s="50">
        <f>SUMIF('Stock Purchase'!$D:$D,B592,'Stock Purchase'!$F:$F)</f>
        <v>0</v>
      </c>
      <c r="G592" s="50">
        <f>SUMIFS('Stock Adjustment'!$E:$E,'Stock Adjustment'!$B:$B,$A592,'Stock Adjustment'!$D:$D,"Customer Returned")</f>
        <v>0</v>
      </c>
      <c r="H592" s="50">
        <f>SUMIF('Daily Sales Entry'!$D:$D,B592,'Daily Sales Entry'!$G:$G)</f>
        <v>0</v>
      </c>
      <c r="I592" s="50">
        <f>SUMIFS('Stock Adjustment'!$E:$E,'Stock Adjustment'!$B:$B,$A592,'Stock Adjustment'!$D:$D,"Staff Consumption")</f>
        <v>0</v>
      </c>
      <c r="J592" s="50">
        <f>SUMIFS('Stock Adjustment'!$E:$E,'Stock Adjustment'!$B:$B,$A592,'Stock Adjustment'!$D:$D,"Damaged")</f>
        <v>0</v>
      </c>
      <c r="K592" s="50">
        <f>SUMIFS('Stock Adjustment'!$E:$E,'Stock Adjustment'!$B:$B,$A592,'Stock Adjustment'!$D:$D,"Expired")</f>
        <v>0</v>
      </c>
      <c r="L592" s="50">
        <f>SUMIFS('Stock Adjustment'!$E:$E,'Stock Adjustment'!$B:$B,$A592,'Stock Adjustment'!$D:$D,"Supplier Returned")</f>
        <v>0</v>
      </c>
      <c r="M5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2" s="53" t="str">
        <f>IF(B592="","",VLOOKUP(B592,'Product Master'!$B:$G,4,FALSE))</f>
        <v/>
      </c>
      <c r="O592" s="53" t="str">
        <f>IF(B592="","",VLOOKUP(B592,'Product Master'!$B:$G,5,FALSE))</f>
        <v/>
      </c>
      <c r="P592" s="50" t="str">
        <f>IF(B592="","",VLOOKUP(B592,'Product Master'!$B:$I,7,FALSE))</f>
        <v/>
      </c>
      <c r="Q592" s="158"/>
      <c r="R592" s="58" t="str">
        <f t="shared" si="9"/>
        <v/>
      </c>
      <c r="S592" s="25"/>
      <c r="T592" s="25"/>
      <c r="U592" s="25"/>
      <c r="V592" s="25"/>
      <c r="W592" s="25"/>
      <c r="X592" s="25"/>
    </row>
    <row r="593" spans="1:24" x14ac:dyDescent="0.25">
      <c r="A593" s="31" t="s">
        <v>1153</v>
      </c>
      <c r="B593" s="32"/>
      <c r="C593" s="50" t="str">
        <f>IF(B593="","",VLOOKUP(B593,'Product Master'!$B:$G,2,FALSE))</f>
        <v/>
      </c>
      <c r="D593" s="50" t="str">
        <f>IF(B593="","",VLOOKUP(B593,'Product Master'!$B:$G,3,FALSE))</f>
        <v/>
      </c>
      <c r="E593" s="50"/>
      <c r="F593" s="50">
        <f>SUMIF('Stock Purchase'!$D:$D,B593,'Stock Purchase'!$F:$F)</f>
        <v>0</v>
      </c>
      <c r="G593" s="50">
        <f>SUMIFS('Stock Adjustment'!$E:$E,'Stock Adjustment'!$B:$B,$A593,'Stock Adjustment'!$D:$D,"Customer Returned")</f>
        <v>0</v>
      </c>
      <c r="H593" s="50">
        <f>SUMIF('Daily Sales Entry'!$D:$D,B593,'Daily Sales Entry'!$G:$G)</f>
        <v>0</v>
      </c>
      <c r="I593" s="50">
        <f>SUMIFS('Stock Adjustment'!$E:$E,'Stock Adjustment'!$B:$B,$A593,'Stock Adjustment'!$D:$D,"Staff Consumption")</f>
        <v>0</v>
      </c>
      <c r="J593" s="50">
        <f>SUMIFS('Stock Adjustment'!$E:$E,'Stock Adjustment'!$B:$B,$A593,'Stock Adjustment'!$D:$D,"Damaged")</f>
        <v>0</v>
      </c>
      <c r="K593" s="50">
        <f>SUMIFS('Stock Adjustment'!$E:$E,'Stock Adjustment'!$B:$B,$A593,'Stock Adjustment'!$D:$D,"Expired")</f>
        <v>0</v>
      </c>
      <c r="L593" s="50">
        <f>SUMIFS('Stock Adjustment'!$E:$E,'Stock Adjustment'!$B:$B,$A593,'Stock Adjustment'!$D:$D,"Supplier Returned")</f>
        <v>0</v>
      </c>
      <c r="M5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3" s="53" t="str">
        <f>IF(B593="","",VLOOKUP(B593,'Product Master'!$B:$G,4,FALSE))</f>
        <v/>
      </c>
      <c r="O593" s="53" t="str">
        <f>IF(B593="","",VLOOKUP(B593,'Product Master'!$B:$G,5,FALSE))</f>
        <v/>
      </c>
      <c r="P593" s="50" t="str">
        <f>IF(B593="","",VLOOKUP(B593,'Product Master'!$B:$I,7,FALSE))</f>
        <v/>
      </c>
      <c r="Q593" s="158"/>
      <c r="R593" s="58" t="str">
        <f t="shared" si="9"/>
        <v/>
      </c>
      <c r="S593" s="25"/>
      <c r="T593" s="25"/>
      <c r="U593" s="25"/>
      <c r="V593" s="25"/>
      <c r="W593" s="25"/>
      <c r="X593" s="25"/>
    </row>
    <row r="594" spans="1:24" x14ac:dyDescent="0.25">
      <c r="A594" s="31" t="s">
        <v>1154</v>
      </c>
      <c r="B594" s="32"/>
      <c r="C594" s="50" t="str">
        <f>IF(B594="","",VLOOKUP(B594,'Product Master'!$B:$G,2,FALSE))</f>
        <v/>
      </c>
      <c r="D594" s="50" t="str">
        <f>IF(B594="","",VLOOKUP(B594,'Product Master'!$B:$G,3,FALSE))</f>
        <v/>
      </c>
      <c r="E594" s="50"/>
      <c r="F594" s="50">
        <f>SUMIF('Stock Purchase'!$D:$D,B594,'Stock Purchase'!$F:$F)</f>
        <v>0</v>
      </c>
      <c r="G594" s="50">
        <f>SUMIFS('Stock Adjustment'!$E:$E,'Stock Adjustment'!$B:$B,$A594,'Stock Adjustment'!$D:$D,"Customer Returned")</f>
        <v>0</v>
      </c>
      <c r="H594" s="50">
        <f>SUMIF('Daily Sales Entry'!$D:$D,B594,'Daily Sales Entry'!$G:$G)</f>
        <v>0</v>
      </c>
      <c r="I594" s="50">
        <f>SUMIFS('Stock Adjustment'!$E:$E,'Stock Adjustment'!$B:$B,$A594,'Stock Adjustment'!$D:$D,"Staff Consumption")</f>
        <v>0</v>
      </c>
      <c r="J594" s="50">
        <f>SUMIFS('Stock Adjustment'!$E:$E,'Stock Adjustment'!$B:$B,$A594,'Stock Adjustment'!$D:$D,"Damaged")</f>
        <v>0</v>
      </c>
      <c r="K594" s="50">
        <f>SUMIFS('Stock Adjustment'!$E:$E,'Stock Adjustment'!$B:$B,$A594,'Stock Adjustment'!$D:$D,"Expired")</f>
        <v>0</v>
      </c>
      <c r="L594" s="50">
        <f>SUMIFS('Stock Adjustment'!$E:$E,'Stock Adjustment'!$B:$B,$A594,'Stock Adjustment'!$D:$D,"Supplier Returned")</f>
        <v>0</v>
      </c>
      <c r="M5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4" s="53" t="str">
        <f>IF(B594="","",VLOOKUP(B594,'Product Master'!$B:$G,4,FALSE))</f>
        <v/>
      </c>
      <c r="O594" s="53" t="str">
        <f>IF(B594="","",VLOOKUP(B594,'Product Master'!$B:$G,5,FALSE))</f>
        <v/>
      </c>
      <c r="P594" s="50" t="str">
        <f>IF(B594="","",VLOOKUP(B594,'Product Master'!$B:$I,7,FALSE))</f>
        <v/>
      </c>
      <c r="Q594" s="158"/>
      <c r="R594" s="58" t="str">
        <f t="shared" si="9"/>
        <v/>
      </c>
      <c r="S594" s="25"/>
      <c r="T594" s="25"/>
      <c r="U594" s="25"/>
      <c r="V594" s="25"/>
      <c r="W594" s="25"/>
      <c r="X594" s="25"/>
    </row>
    <row r="595" spans="1:24" x14ac:dyDescent="0.25">
      <c r="A595" s="31" t="s">
        <v>1155</v>
      </c>
      <c r="B595" s="32"/>
      <c r="C595" s="50" t="str">
        <f>IF(B595="","",VLOOKUP(B595,'Product Master'!$B:$G,2,FALSE))</f>
        <v/>
      </c>
      <c r="D595" s="50" t="str">
        <f>IF(B595="","",VLOOKUP(B595,'Product Master'!$B:$G,3,FALSE))</f>
        <v/>
      </c>
      <c r="E595" s="50"/>
      <c r="F595" s="50">
        <f>SUMIF('Stock Purchase'!$D:$D,B595,'Stock Purchase'!$F:$F)</f>
        <v>0</v>
      </c>
      <c r="G595" s="50">
        <f>SUMIFS('Stock Adjustment'!$E:$E,'Stock Adjustment'!$B:$B,$A595,'Stock Adjustment'!$D:$D,"Customer Returned")</f>
        <v>0</v>
      </c>
      <c r="H595" s="50">
        <f>SUMIF('Daily Sales Entry'!$D:$D,B595,'Daily Sales Entry'!$G:$G)</f>
        <v>0</v>
      </c>
      <c r="I595" s="50">
        <f>SUMIFS('Stock Adjustment'!$E:$E,'Stock Adjustment'!$B:$B,$A595,'Stock Adjustment'!$D:$D,"Staff Consumption")</f>
        <v>0</v>
      </c>
      <c r="J595" s="50">
        <f>SUMIFS('Stock Adjustment'!$E:$E,'Stock Adjustment'!$B:$B,$A595,'Stock Adjustment'!$D:$D,"Damaged")</f>
        <v>0</v>
      </c>
      <c r="K595" s="50">
        <f>SUMIFS('Stock Adjustment'!$E:$E,'Stock Adjustment'!$B:$B,$A595,'Stock Adjustment'!$D:$D,"Expired")</f>
        <v>0</v>
      </c>
      <c r="L595" s="50">
        <f>SUMIFS('Stock Adjustment'!$E:$E,'Stock Adjustment'!$B:$B,$A595,'Stock Adjustment'!$D:$D,"Supplier Returned")</f>
        <v>0</v>
      </c>
      <c r="M5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5" s="53" t="str">
        <f>IF(B595="","",VLOOKUP(B595,'Product Master'!$B:$G,4,FALSE))</f>
        <v/>
      </c>
      <c r="O595" s="53" t="str">
        <f>IF(B595="","",VLOOKUP(B595,'Product Master'!$B:$G,5,FALSE))</f>
        <v/>
      </c>
      <c r="P595" s="50" t="str">
        <f>IF(B595="","",VLOOKUP(B595,'Product Master'!$B:$I,7,FALSE))</f>
        <v/>
      </c>
      <c r="Q595" s="158"/>
      <c r="R595" s="58" t="str">
        <f t="shared" si="9"/>
        <v/>
      </c>
      <c r="S595" s="25"/>
      <c r="T595" s="25"/>
      <c r="U595" s="25"/>
      <c r="V595" s="25"/>
      <c r="W595" s="25"/>
      <c r="X595" s="25"/>
    </row>
    <row r="596" spans="1:24" x14ac:dyDescent="0.25">
      <c r="A596" s="31" t="s">
        <v>1156</v>
      </c>
      <c r="B596" s="32"/>
      <c r="C596" s="50" t="str">
        <f>IF(B596="","",VLOOKUP(B596,'Product Master'!$B:$G,2,FALSE))</f>
        <v/>
      </c>
      <c r="D596" s="50" t="str">
        <f>IF(B596="","",VLOOKUP(B596,'Product Master'!$B:$G,3,FALSE))</f>
        <v/>
      </c>
      <c r="E596" s="50"/>
      <c r="F596" s="50">
        <f>SUMIF('Stock Purchase'!$D:$D,B596,'Stock Purchase'!$F:$F)</f>
        <v>0</v>
      </c>
      <c r="G596" s="50">
        <f>SUMIFS('Stock Adjustment'!$E:$E,'Stock Adjustment'!$B:$B,$A596,'Stock Adjustment'!$D:$D,"Customer Returned")</f>
        <v>0</v>
      </c>
      <c r="H596" s="50">
        <f>SUMIF('Daily Sales Entry'!$D:$D,B596,'Daily Sales Entry'!$G:$G)</f>
        <v>0</v>
      </c>
      <c r="I596" s="50">
        <f>SUMIFS('Stock Adjustment'!$E:$E,'Stock Adjustment'!$B:$B,$A596,'Stock Adjustment'!$D:$D,"Staff Consumption")</f>
        <v>0</v>
      </c>
      <c r="J596" s="50">
        <f>SUMIFS('Stock Adjustment'!$E:$E,'Stock Adjustment'!$B:$B,$A596,'Stock Adjustment'!$D:$D,"Damaged")</f>
        <v>0</v>
      </c>
      <c r="K596" s="50">
        <f>SUMIFS('Stock Adjustment'!$E:$E,'Stock Adjustment'!$B:$B,$A596,'Stock Adjustment'!$D:$D,"Expired")</f>
        <v>0</v>
      </c>
      <c r="L596" s="50">
        <f>SUMIFS('Stock Adjustment'!$E:$E,'Stock Adjustment'!$B:$B,$A596,'Stock Adjustment'!$D:$D,"Supplier Returned")</f>
        <v>0</v>
      </c>
      <c r="M5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6" s="53" t="str">
        <f>IF(B596="","",VLOOKUP(B596,'Product Master'!$B:$G,4,FALSE))</f>
        <v/>
      </c>
      <c r="O596" s="53" t="str">
        <f>IF(B596="","",VLOOKUP(B596,'Product Master'!$B:$G,5,FALSE))</f>
        <v/>
      </c>
      <c r="P596" s="50" t="str">
        <f>IF(B596="","",VLOOKUP(B596,'Product Master'!$B:$I,7,FALSE))</f>
        <v/>
      </c>
      <c r="Q596" s="158"/>
      <c r="R596" s="58" t="str">
        <f t="shared" si="9"/>
        <v/>
      </c>
      <c r="S596" s="25"/>
      <c r="T596" s="25"/>
      <c r="U596" s="25"/>
      <c r="V596" s="25"/>
      <c r="W596" s="25"/>
      <c r="X596" s="25"/>
    </row>
    <row r="597" spans="1:24" x14ac:dyDescent="0.25">
      <c r="A597" s="31" t="s">
        <v>1157</v>
      </c>
      <c r="B597" s="32"/>
      <c r="C597" s="50" t="str">
        <f>IF(B597="","",VLOOKUP(B597,'Product Master'!$B:$G,2,FALSE))</f>
        <v/>
      </c>
      <c r="D597" s="50" t="str">
        <f>IF(B597="","",VLOOKUP(B597,'Product Master'!$B:$G,3,FALSE))</f>
        <v/>
      </c>
      <c r="E597" s="50"/>
      <c r="F597" s="50">
        <f>SUMIF('Stock Purchase'!$D:$D,B597,'Stock Purchase'!$F:$F)</f>
        <v>0</v>
      </c>
      <c r="G597" s="50">
        <f>SUMIFS('Stock Adjustment'!$E:$E,'Stock Adjustment'!$B:$B,$A597,'Stock Adjustment'!$D:$D,"Customer Returned")</f>
        <v>0</v>
      </c>
      <c r="H597" s="50">
        <f>SUMIF('Daily Sales Entry'!$D:$D,B597,'Daily Sales Entry'!$G:$G)</f>
        <v>0</v>
      </c>
      <c r="I597" s="50">
        <f>SUMIFS('Stock Adjustment'!$E:$E,'Stock Adjustment'!$B:$B,$A597,'Stock Adjustment'!$D:$D,"Staff Consumption")</f>
        <v>0</v>
      </c>
      <c r="J597" s="50">
        <f>SUMIFS('Stock Adjustment'!$E:$E,'Stock Adjustment'!$B:$B,$A597,'Stock Adjustment'!$D:$D,"Damaged")</f>
        <v>0</v>
      </c>
      <c r="K597" s="50">
        <f>SUMIFS('Stock Adjustment'!$E:$E,'Stock Adjustment'!$B:$B,$A597,'Stock Adjustment'!$D:$D,"Expired")</f>
        <v>0</v>
      </c>
      <c r="L597" s="50">
        <f>SUMIFS('Stock Adjustment'!$E:$E,'Stock Adjustment'!$B:$B,$A597,'Stock Adjustment'!$D:$D,"Supplier Returned")</f>
        <v>0</v>
      </c>
      <c r="M5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7" s="53" t="str">
        <f>IF(B597="","",VLOOKUP(B597,'Product Master'!$B:$G,4,FALSE))</f>
        <v/>
      </c>
      <c r="O597" s="53" t="str">
        <f>IF(B597="","",VLOOKUP(B597,'Product Master'!$B:$G,5,FALSE))</f>
        <v/>
      </c>
      <c r="P597" s="50" t="str">
        <f>IF(B597="","",VLOOKUP(B597,'Product Master'!$B:$I,7,FALSE))</f>
        <v/>
      </c>
      <c r="Q597" s="158"/>
      <c r="R597" s="58" t="str">
        <f t="shared" si="9"/>
        <v/>
      </c>
      <c r="S597" s="25"/>
      <c r="T597" s="25"/>
      <c r="U597" s="25"/>
      <c r="V597" s="25"/>
      <c r="W597" s="25"/>
      <c r="X597" s="25"/>
    </row>
    <row r="598" spans="1:24" x14ac:dyDescent="0.25">
      <c r="A598" s="31" t="s">
        <v>1158</v>
      </c>
      <c r="B598" s="32"/>
      <c r="C598" s="50" t="str">
        <f>IF(B598="","",VLOOKUP(B598,'Product Master'!$B:$G,2,FALSE))</f>
        <v/>
      </c>
      <c r="D598" s="50" t="str">
        <f>IF(B598="","",VLOOKUP(B598,'Product Master'!$B:$G,3,FALSE))</f>
        <v/>
      </c>
      <c r="E598" s="50"/>
      <c r="F598" s="50">
        <f>SUMIF('Stock Purchase'!$D:$D,B598,'Stock Purchase'!$F:$F)</f>
        <v>0</v>
      </c>
      <c r="G598" s="50">
        <f>SUMIFS('Stock Adjustment'!$E:$E,'Stock Adjustment'!$B:$B,$A598,'Stock Adjustment'!$D:$D,"Customer Returned")</f>
        <v>0</v>
      </c>
      <c r="H598" s="50">
        <f>SUMIF('Daily Sales Entry'!$D:$D,B598,'Daily Sales Entry'!$G:$G)</f>
        <v>0</v>
      </c>
      <c r="I598" s="50">
        <f>SUMIFS('Stock Adjustment'!$E:$E,'Stock Adjustment'!$B:$B,$A598,'Stock Adjustment'!$D:$D,"Staff Consumption")</f>
        <v>0</v>
      </c>
      <c r="J598" s="50">
        <f>SUMIFS('Stock Adjustment'!$E:$E,'Stock Adjustment'!$B:$B,$A598,'Stock Adjustment'!$D:$D,"Damaged")</f>
        <v>0</v>
      </c>
      <c r="K598" s="50">
        <f>SUMIFS('Stock Adjustment'!$E:$E,'Stock Adjustment'!$B:$B,$A598,'Stock Adjustment'!$D:$D,"Expired")</f>
        <v>0</v>
      </c>
      <c r="L598" s="50">
        <f>SUMIFS('Stock Adjustment'!$E:$E,'Stock Adjustment'!$B:$B,$A598,'Stock Adjustment'!$D:$D,"Supplier Returned")</f>
        <v>0</v>
      </c>
      <c r="M5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8" s="53" t="str">
        <f>IF(B598="","",VLOOKUP(B598,'Product Master'!$B:$G,4,FALSE))</f>
        <v/>
      </c>
      <c r="O598" s="53" t="str">
        <f>IF(B598="","",VLOOKUP(B598,'Product Master'!$B:$G,5,FALSE))</f>
        <v/>
      </c>
      <c r="P598" s="50" t="str">
        <f>IF(B598="","",VLOOKUP(B598,'Product Master'!$B:$I,7,FALSE))</f>
        <v/>
      </c>
      <c r="Q598" s="158"/>
      <c r="R598" s="58" t="str">
        <f t="shared" si="9"/>
        <v/>
      </c>
      <c r="S598" s="25"/>
      <c r="T598" s="25"/>
      <c r="U598" s="25"/>
      <c r="V598" s="25"/>
      <c r="W598" s="25"/>
      <c r="X598" s="25"/>
    </row>
    <row r="599" spans="1:24" x14ac:dyDescent="0.25">
      <c r="A599" s="31" t="s">
        <v>1159</v>
      </c>
      <c r="B599" s="32"/>
      <c r="C599" s="50" t="str">
        <f>IF(B599="","",VLOOKUP(B599,'Product Master'!$B:$G,2,FALSE))</f>
        <v/>
      </c>
      <c r="D599" s="50" t="str">
        <f>IF(B599="","",VLOOKUP(B599,'Product Master'!$B:$G,3,FALSE))</f>
        <v/>
      </c>
      <c r="E599" s="50"/>
      <c r="F599" s="50">
        <f>SUMIF('Stock Purchase'!$D:$D,B599,'Stock Purchase'!$F:$F)</f>
        <v>0</v>
      </c>
      <c r="G599" s="50">
        <f>SUMIFS('Stock Adjustment'!$E:$E,'Stock Adjustment'!$B:$B,$A599,'Stock Adjustment'!$D:$D,"Customer Returned")</f>
        <v>0</v>
      </c>
      <c r="H599" s="50">
        <f>SUMIF('Daily Sales Entry'!$D:$D,B599,'Daily Sales Entry'!$G:$G)</f>
        <v>0</v>
      </c>
      <c r="I599" s="50">
        <f>SUMIFS('Stock Adjustment'!$E:$E,'Stock Adjustment'!$B:$B,$A599,'Stock Adjustment'!$D:$D,"Staff Consumption")</f>
        <v>0</v>
      </c>
      <c r="J599" s="50">
        <f>SUMIFS('Stock Adjustment'!$E:$E,'Stock Adjustment'!$B:$B,$A599,'Stock Adjustment'!$D:$D,"Damaged")</f>
        <v>0</v>
      </c>
      <c r="K599" s="50">
        <f>SUMIFS('Stock Adjustment'!$E:$E,'Stock Adjustment'!$B:$B,$A599,'Stock Adjustment'!$D:$D,"Expired")</f>
        <v>0</v>
      </c>
      <c r="L599" s="50">
        <f>SUMIFS('Stock Adjustment'!$E:$E,'Stock Adjustment'!$B:$B,$A599,'Stock Adjustment'!$D:$D,"Supplier Returned")</f>
        <v>0</v>
      </c>
      <c r="M5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599" s="53" t="str">
        <f>IF(B599="","",VLOOKUP(B599,'Product Master'!$B:$G,4,FALSE))</f>
        <v/>
      </c>
      <c r="O599" s="53" t="str">
        <f>IF(B599="","",VLOOKUP(B599,'Product Master'!$B:$G,5,FALSE))</f>
        <v/>
      </c>
      <c r="P599" s="50" t="str">
        <f>IF(B599="","",VLOOKUP(B599,'Product Master'!$B:$I,7,FALSE))</f>
        <v/>
      </c>
      <c r="Q599" s="158"/>
      <c r="R599" s="58" t="str">
        <f t="shared" si="9"/>
        <v/>
      </c>
      <c r="S599" s="25"/>
      <c r="T599" s="25"/>
      <c r="U599" s="25"/>
      <c r="V599" s="25"/>
      <c r="W599" s="25"/>
      <c r="X599" s="25"/>
    </row>
    <row r="600" spans="1:24" x14ac:dyDescent="0.25">
      <c r="A600" s="31" t="s">
        <v>1160</v>
      </c>
      <c r="B600" s="32"/>
      <c r="C600" s="50" t="str">
        <f>IF(B600="","",VLOOKUP(B600,'Product Master'!$B:$G,2,FALSE))</f>
        <v/>
      </c>
      <c r="D600" s="50" t="str">
        <f>IF(B600="","",VLOOKUP(B600,'Product Master'!$B:$G,3,FALSE))</f>
        <v/>
      </c>
      <c r="E600" s="50"/>
      <c r="F600" s="50">
        <f>SUMIF('Stock Purchase'!$D:$D,B600,'Stock Purchase'!$F:$F)</f>
        <v>0</v>
      </c>
      <c r="G600" s="50">
        <f>SUMIFS('Stock Adjustment'!$E:$E,'Stock Adjustment'!$B:$B,$A600,'Stock Adjustment'!$D:$D,"Customer Returned")</f>
        <v>0</v>
      </c>
      <c r="H600" s="50">
        <f>SUMIF('Daily Sales Entry'!$D:$D,B600,'Daily Sales Entry'!$G:$G)</f>
        <v>0</v>
      </c>
      <c r="I600" s="50">
        <f>SUMIFS('Stock Adjustment'!$E:$E,'Stock Adjustment'!$B:$B,$A600,'Stock Adjustment'!$D:$D,"Staff Consumption")</f>
        <v>0</v>
      </c>
      <c r="J600" s="50">
        <f>SUMIFS('Stock Adjustment'!$E:$E,'Stock Adjustment'!$B:$B,$A600,'Stock Adjustment'!$D:$D,"Damaged")</f>
        <v>0</v>
      </c>
      <c r="K600" s="50">
        <f>SUMIFS('Stock Adjustment'!$E:$E,'Stock Adjustment'!$B:$B,$A600,'Stock Adjustment'!$D:$D,"Expired")</f>
        <v>0</v>
      </c>
      <c r="L600" s="50">
        <f>SUMIFS('Stock Adjustment'!$E:$E,'Stock Adjustment'!$B:$B,$A600,'Stock Adjustment'!$D:$D,"Supplier Returned")</f>
        <v>0</v>
      </c>
      <c r="M6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0" s="53" t="str">
        <f>IF(B600="","",VLOOKUP(B600,'Product Master'!$B:$G,4,FALSE))</f>
        <v/>
      </c>
      <c r="O600" s="53" t="str">
        <f>IF(B600="","",VLOOKUP(B600,'Product Master'!$B:$G,5,FALSE))</f>
        <v/>
      </c>
      <c r="P600" s="50" t="str">
        <f>IF(B600="","",VLOOKUP(B600,'Product Master'!$B:$I,7,FALSE))</f>
        <v/>
      </c>
      <c r="Q600" s="158"/>
      <c r="R600" s="58" t="str">
        <f t="shared" si="9"/>
        <v/>
      </c>
      <c r="S600" s="25"/>
      <c r="T600" s="25"/>
      <c r="U600" s="25"/>
      <c r="V600" s="25"/>
      <c r="W600" s="25"/>
      <c r="X600" s="25"/>
    </row>
    <row r="601" spans="1:24" x14ac:dyDescent="0.25">
      <c r="A601" s="31" t="s">
        <v>1161</v>
      </c>
      <c r="B601" s="32"/>
      <c r="C601" s="50" t="str">
        <f>IF(B601="","",VLOOKUP(B601,'Product Master'!$B:$G,2,FALSE))</f>
        <v/>
      </c>
      <c r="D601" s="50" t="str">
        <f>IF(B601="","",VLOOKUP(B601,'Product Master'!$B:$G,3,FALSE))</f>
        <v/>
      </c>
      <c r="E601" s="50"/>
      <c r="F601" s="50">
        <f>SUMIF('Stock Purchase'!$D:$D,B601,'Stock Purchase'!$F:$F)</f>
        <v>0</v>
      </c>
      <c r="G601" s="50">
        <f>SUMIFS('Stock Adjustment'!$E:$E,'Stock Adjustment'!$B:$B,$A601,'Stock Adjustment'!$D:$D,"Customer Returned")</f>
        <v>0</v>
      </c>
      <c r="H601" s="50">
        <f>SUMIF('Daily Sales Entry'!$D:$D,B601,'Daily Sales Entry'!$G:$G)</f>
        <v>0</v>
      </c>
      <c r="I601" s="50">
        <f>SUMIFS('Stock Adjustment'!$E:$E,'Stock Adjustment'!$B:$B,$A601,'Stock Adjustment'!$D:$D,"Staff Consumption")</f>
        <v>0</v>
      </c>
      <c r="J601" s="50">
        <f>SUMIFS('Stock Adjustment'!$E:$E,'Stock Adjustment'!$B:$B,$A601,'Stock Adjustment'!$D:$D,"Damaged")</f>
        <v>0</v>
      </c>
      <c r="K601" s="50">
        <f>SUMIFS('Stock Adjustment'!$E:$E,'Stock Adjustment'!$B:$B,$A601,'Stock Adjustment'!$D:$D,"Expired")</f>
        <v>0</v>
      </c>
      <c r="L601" s="50">
        <f>SUMIFS('Stock Adjustment'!$E:$E,'Stock Adjustment'!$B:$B,$A601,'Stock Adjustment'!$D:$D,"Supplier Returned")</f>
        <v>0</v>
      </c>
      <c r="M6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1" s="53" t="str">
        <f>IF(B601="","",VLOOKUP(B601,'Product Master'!$B:$G,4,FALSE))</f>
        <v/>
      </c>
      <c r="O601" s="53" t="str">
        <f>IF(B601="","",VLOOKUP(B601,'Product Master'!$B:$G,5,FALSE))</f>
        <v/>
      </c>
      <c r="P601" s="50" t="str">
        <f>IF(B601="","",VLOOKUP(B601,'Product Master'!$B:$I,7,FALSE))</f>
        <v/>
      </c>
      <c r="Q601" s="158"/>
      <c r="R601" s="58" t="str">
        <f t="shared" si="9"/>
        <v/>
      </c>
      <c r="S601" s="25"/>
      <c r="T601" s="25"/>
      <c r="U601" s="25"/>
      <c r="V601" s="25"/>
      <c r="W601" s="25"/>
      <c r="X601" s="25"/>
    </row>
    <row r="602" spans="1:24" x14ac:dyDescent="0.25">
      <c r="A602" s="31" t="s">
        <v>1162</v>
      </c>
      <c r="B602" s="32"/>
      <c r="C602" s="50" t="str">
        <f>IF(B602="","",VLOOKUP(B602,'Product Master'!$B:$G,2,FALSE))</f>
        <v/>
      </c>
      <c r="D602" s="50" t="str">
        <f>IF(B602="","",VLOOKUP(B602,'Product Master'!$B:$G,3,FALSE))</f>
        <v/>
      </c>
      <c r="E602" s="50"/>
      <c r="F602" s="50">
        <f>SUMIF('Stock Purchase'!$D:$D,B602,'Stock Purchase'!$F:$F)</f>
        <v>0</v>
      </c>
      <c r="G602" s="50">
        <f>SUMIFS('Stock Adjustment'!$E:$E,'Stock Adjustment'!$B:$B,$A602,'Stock Adjustment'!$D:$D,"Customer Returned")</f>
        <v>0</v>
      </c>
      <c r="H602" s="50">
        <f>SUMIF('Daily Sales Entry'!$D:$D,B602,'Daily Sales Entry'!$G:$G)</f>
        <v>0</v>
      </c>
      <c r="I602" s="50">
        <f>SUMIFS('Stock Adjustment'!$E:$E,'Stock Adjustment'!$B:$B,$A602,'Stock Adjustment'!$D:$D,"Staff Consumption")</f>
        <v>0</v>
      </c>
      <c r="J602" s="50">
        <f>SUMIFS('Stock Adjustment'!$E:$E,'Stock Adjustment'!$B:$B,$A602,'Stock Adjustment'!$D:$D,"Damaged")</f>
        <v>0</v>
      </c>
      <c r="K602" s="50">
        <f>SUMIFS('Stock Adjustment'!$E:$E,'Stock Adjustment'!$B:$B,$A602,'Stock Adjustment'!$D:$D,"Expired")</f>
        <v>0</v>
      </c>
      <c r="L602" s="50">
        <f>SUMIFS('Stock Adjustment'!$E:$E,'Stock Adjustment'!$B:$B,$A602,'Stock Adjustment'!$D:$D,"Supplier Returned")</f>
        <v>0</v>
      </c>
      <c r="M6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2" s="53" t="str">
        <f>IF(B602="","",VLOOKUP(B602,'Product Master'!$B:$G,4,FALSE))</f>
        <v/>
      </c>
      <c r="O602" s="53" t="str">
        <f>IF(B602="","",VLOOKUP(B602,'Product Master'!$B:$G,5,FALSE))</f>
        <v/>
      </c>
      <c r="P602" s="50" t="str">
        <f>IF(B602="","",VLOOKUP(B602,'Product Master'!$B:$I,7,FALSE))</f>
        <v/>
      </c>
      <c r="Q602" s="158"/>
      <c r="R602" s="58" t="str">
        <f t="shared" si="9"/>
        <v/>
      </c>
      <c r="S602" s="25"/>
      <c r="T602" s="25"/>
      <c r="U602" s="25"/>
      <c r="V602" s="25"/>
      <c r="W602" s="25"/>
      <c r="X602" s="25"/>
    </row>
    <row r="603" spans="1:24" x14ac:dyDescent="0.25">
      <c r="A603" s="31" t="s">
        <v>1163</v>
      </c>
      <c r="B603" s="32"/>
      <c r="C603" s="50" t="str">
        <f>IF(B603="","",VLOOKUP(B603,'Product Master'!$B:$G,2,FALSE))</f>
        <v/>
      </c>
      <c r="D603" s="50" t="str">
        <f>IF(B603="","",VLOOKUP(B603,'Product Master'!$B:$G,3,FALSE))</f>
        <v/>
      </c>
      <c r="E603" s="50"/>
      <c r="F603" s="50">
        <f>SUMIF('Stock Purchase'!$D:$D,B603,'Stock Purchase'!$F:$F)</f>
        <v>0</v>
      </c>
      <c r="G603" s="50">
        <f>SUMIFS('Stock Adjustment'!$E:$E,'Stock Adjustment'!$B:$B,$A603,'Stock Adjustment'!$D:$D,"Customer Returned")</f>
        <v>0</v>
      </c>
      <c r="H603" s="50">
        <f>SUMIF('Daily Sales Entry'!$D:$D,B603,'Daily Sales Entry'!$G:$G)</f>
        <v>0</v>
      </c>
      <c r="I603" s="50">
        <f>SUMIFS('Stock Adjustment'!$E:$E,'Stock Adjustment'!$B:$B,$A603,'Stock Adjustment'!$D:$D,"Staff Consumption")</f>
        <v>0</v>
      </c>
      <c r="J603" s="50">
        <f>SUMIFS('Stock Adjustment'!$E:$E,'Stock Adjustment'!$B:$B,$A603,'Stock Adjustment'!$D:$D,"Damaged")</f>
        <v>0</v>
      </c>
      <c r="K603" s="50">
        <f>SUMIFS('Stock Adjustment'!$E:$E,'Stock Adjustment'!$B:$B,$A603,'Stock Adjustment'!$D:$D,"Expired")</f>
        <v>0</v>
      </c>
      <c r="L603" s="50">
        <f>SUMIFS('Stock Adjustment'!$E:$E,'Stock Adjustment'!$B:$B,$A603,'Stock Adjustment'!$D:$D,"Supplier Returned")</f>
        <v>0</v>
      </c>
      <c r="M6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3" s="53" t="str">
        <f>IF(B603="","",VLOOKUP(B603,'Product Master'!$B:$G,4,FALSE))</f>
        <v/>
      </c>
      <c r="O603" s="53" t="str">
        <f>IF(B603="","",VLOOKUP(B603,'Product Master'!$B:$G,5,FALSE))</f>
        <v/>
      </c>
      <c r="P603" s="50" t="str">
        <f>IF(B603="","",VLOOKUP(B603,'Product Master'!$B:$I,7,FALSE))</f>
        <v/>
      </c>
      <c r="Q603" s="158"/>
      <c r="R603" s="58" t="str">
        <f t="shared" si="9"/>
        <v/>
      </c>
      <c r="S603" s="25"/>
      <c r="T603" s="25"/>
      <c r="U603" s="25"/>
      <c r="V603" s="25"/>
      <c r="W603" s="25"/>
      <c r="X603" s="25"/>
    </row>
    <row r="604" spans="1:24" x14ac:dyDescent="0.25">
      <c r="A604" s="31" t="s">
        <v>1164</v>
      </c>
      <c r="B604" s="32"/>
      <c r="C604" s="50" t="str">
        <f>IF(B604="","",VLOOKUP(B604,'Product Master'!$B:$G,2,FALSE))</f>
        <v/>
      </c>
      <c r="D604" s="50" t="str">
        <f>IF(B604="","",VLOOKUP(B604,'Product Master'!$B:$G,3,FALSE))</f>
        <v/>
      </c>
      <c r="E604" s="50"/>
      <c r="F604" s="50">
        <f>SUMIF('Stock Purchase'!$D:$D,B604,'Stock Purchase'!$F:$F)</f>
        <v>0</v>
      </c>
      <c r="G604" s="50">
        <f>SUMIFS('Stock Adjustment'!$E:$E,'Stock Adjustment'!$B:$B,$A604,'Stock Adjustment'!$D:$D,"Customer Returned")</f>
        <v>0</v>
      </c>
      <c r="H604" s="50">
        <f>SUMIF('Daily Sales Entry'!$D:$D,B604,'Daily Sales Entry'!$G:$G)</f>
        <v>0</v>
      </c>
      <c r="I604" s="50">
        <f>SUMIFS('Stock Adjustment'!$E:$E,'Stock Adjustment'!$B:$B,$A604,'Stock Adjustment'!$D:$D,"Staff Consumption")</f>
        <v>0</v>
      </c>
      <c r="J604" s="50">
        <f>SUMIFS('Stock Adjustment'!$E:$E,'Stock Adjustment'!$B:$B,$A604,'Stock Adjustment'!$D:$D,"Damaged")</f>
        <v>0</v>
      </c>
      <c r="K604" s="50">
        <f>SUMIFS('Stock Adjustment'!$E:$E,'Stock Adjustment'!$B:$B,$A604,'Stock Adjustment'!$D:$D,"Expired")</f>
        <v>0</v>
      </c>
      <c r="L604" s="50">
        <f>SUMIFS('Stock Adjustment'!$E:$E,'Stock Adjustment'!$B:$B,$A604,'Stock Adjustment'!$D:$D,"Supplier Returned")</f>
        <v>0</v>
      </c>
      <c r="M6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4" s="53" t="str">
        <f>IF(B604="","",VLOOKUP(B604,'Product Master'!$B:$G,4,FALSE))</f>
        <v/>
      </c>
      <c r="O604" s="53" t="str">
        <f>IF(B604="","",VLOOKUP(B604,'Product Master'!$B:$G,5,FALSE))</f>
        <v/>
      </c>
      <c r="P604" s="50" t="str">
        <f>IF(B604="","",VLOOKUP(B604,'Product Master'!$B:$I,7,FALSE))</f>
        <v/>
      </c>
      <c r="Q604" s="158"/>
      <c r="R604" s="58" t="str">
        <f t="shared" si="9"/>
        <v/>
      </c>
      <c r="S604" s="25"/>
      <c r="T604" s="25"/>
      <c r="U604" s="25"/>
      <c r="V604" s="25"/>
      <c r="W604" s="25"/>
      <c r="X604" s="25"/>
    </row>
    <row r="605" spans="1:24" x14ac:dyDescent="0.25">
      <c r="A605" s="31" t="s">
        <v>1165</v>
      </c>
      <c r="B605" s="32"/>
      <c r="C605" s="50" t="str">
        <f>IF(B605="","",VLOOKUP(B605,'Product Master'!$B:$G,2,FALSE))</f>
        <v/>
      </c>
      <c r="D605" s="50" t="str">
        <f>IF(B605="","",VLOOKUP(B605,'Product Master'!$B:$G,3,FALSE))</f>
        <v/>
      </c>
      <c r="E605" s="50"/>
      <c r="F605" s="50">
        <f>SUMIF('Stock Purchase'!$D:$D,B605,'Stock Purchase'!$F:$F)</f>
        <v>0</v>
      </c>
      <c r="G605" s="50">
        <f>SUMIFS('Stock Adjustment'!$E:$E,'Stock Adjustment'!$B:$B,$A605,'Stock Adjustment'!$D:$D,"Customer Returned")</f>
        <v>0</v>
      </c>
      <c r="H605" s="50">
        <f>SUMIF('Daily Sales Entry'!$D:$D,B605,'Daily Sales Entry'!$G:$G)</f>
        <v>0</v>
      </c>
      <c r="I605" s="50">
        <f>SUMIFS('Stock Adjustment'!$E:$E,'Stock Adjustment'!$B:$B,$A605,'Stock Adjustment'!$D:$D,"Staff Consumption")</f>
        <v>0</v>
      </c>
      <c r="J605" s="50">
        <f>SUMIFS('Stock Adjustment'!$E:$E,'Stock Adjustment'!$B:$B,$A605,'Stock Adjustment'!$D:$D,"Damaged")</f>
        <v>0</v>
      </c>
      <c r="K605" s="50">
        <f>SUMIFS('Stock Adjustment'!$E:$E,'Stock Adjustment'!$B:$B,$A605,'Stock Adjustment'!$D:$D,"Expired")</f>
        <v>0</v>
      </c>
      <c r="L605" s="50">
        <f>SUMIFS('Stock Adjustment'!$E:$E,'Stock Adjustment'!$B:$B,$A605,'Stock Adjustment'!$D:$D,"Supplier Returned")</f>
        <v>0</v>
      </c>
      <c r="M6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5" s="53" t="str">
        <f>IF(B605="","",VLOOKUP(B605,'Product Master'!$B:$G,4,FALSE))</f>
        <v/>
      </c>
      <c r="O605" s="53" t="str">
        <f>IF(B605="","",VLOOKUP(B605,'Product Master'!$B:$G,5,FALSE))</f>
        <v/>
      </c>
      <c r="P605" s="50" t="str">
        <f>IF(B605="","",VLOOKUP(B605,'Product Master'!$B:$I,7,FALSE))</f>
        <v/>
      </c>
      <c r="Q605" s="158"/>
      <c r="R605" s="58" t="str">
        <f t="shared" si="9"/>
        <v/>
      </c>
      <c r="S605" s="25"/>
      <c r="T605" s="25"/>
      <c r="U605" s="25"/>
      <c r="V605" s="25"/>
      <c r="W605" s="25"/>
      <c r="X605" s="25"/>
    </row>
    <row r="606" spans="1:24" x14ac:dyDescent="0.25">
      <c r="A606" s="31" t="s">
        <v>1166</v>
      </c>
      <c r="B606" s="32"/>
      <c r="C606" s="50" t="str">
        <f>IF(B606="","",VLOOKUP(B606,'Product Master'!$B:$G,2,FALSE))</f>
        <v/>
      </c>
      <c r="D606" s="50" t="str">
        <f>IF(B606="","",VLOOKUP(B606,'Product Master'!$B:$G,3,FALSE))</f>
        <v/>
      </c>
      <c r="E606" s="50"/>
      <c r="F606" s="50">
        <f>SUMIF('Stock Purchase'!$D:$D,B606,'Stock Purchase'!$F:$F)</f>
        <v>0</v>
      </c>
      <c r="G606" s="50">
        <f>SUMIFS('Stock Adjustment'!$E:$E,'Stock Adjustment'!$B:$B,$A606,'Stock Adjustment'!$D:$D,"Customer Returned")</f>
        <v>0</v>
      </c>
      <c r="H606" s="50">
        <f>SUMIF('Daily Sales Entry'!$D:$D,B606,'Daily Sales Entry'!$G:$G)</f>
        <v>0</v>
      </c>
      <c r="I606" s="50">
        <f>SUMIFS('Stock Adjustment'!$E:$E,'Stock Adjustment'!$B:$B,$A606,'Stock Adjustment'!$D:$D,"Staff Consumption")</f>
        <v>0</v>
      </c>
      <c r="J606" s="50">
        <f>SUMIFS('Stock Adjustment'!$E:$E,'Stock Adjustment'!$B:$B,$A606,'Stock Adjustment'!$D:$D,"Damaged")</f>
        <v>0</v>
      </c>
      <c r="K606" s="50">
        <f>SUMIFS('Stock Adjustment'!$E:$E,'Stock Adjustment'!$B:$B,$A606,'Stock Adjustment'!$D:$D,"Expired")</f>
        <v>0</v>
      </c>
      <c r="L606" s="50">
        <f>SUMIFS('Stock Adjustment'!$E:$E,'Stock Adjustment'!$B:$B,$A606,'Stock Adjustment'!$D:$D,"Supplier Returned")</f>
        <v>0</v>
      </c>
      <c r="M6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6" s="53" t="str">
        <f>IF(B606="","",VLOOKUP(B606,'Product Master'!$B:$G,4,FALSE))</f>
        <v/>
      </c>
      <c r="O606" s="53" t="str">
        <f>IF(B606="","",VLOOKUP(B606,'Product Master'!$B:$G,5,FALSE))</f>
        <v/>
      </c>
      <c r="P606" s="50" t="str">
        <f>IF(B606="","",VLOOKUP(B606,'Product Master'!$B:$I,7,FALSE))</f>
        <v/>
      </c>
      <c r="Q606" s="158"/>
      <c r="R606" s="58" t="str">
        <f t="shared" si="9"/>
        <v/>
      </c>
      <c r="S606" s="25"/>
      <c r="T606" s="25"/>
      <c r="U606" s="25"/>
      <c r="V606" s="25"/>
      <c r="W606" s="25"/>
      <c r="X606" s="25"/>
    </row>
    <row r="607" spans="1:24" x14ac:dyDescent="0.25">
      <c r="A607" s="31" t="s">
        <v>1167</v>
      </c>
      <c r="B607" s="32"/>
      <c r="C607" s="50" t="str">
        <f>IF(B607="","",VLOOKUP(B607,'Product Master'!$B:$G,2,FALSE))</f>
        <v/>
      </c>
      <c r="D607" s="50" t="str">
        <f>IF(B607="","",VLOOKUP(B607,'Product Master'!$B:$G,3,FALSE))</f>
        <v/>
      </c>
      <c r="E607" s="50"/>
      <c r="F607" s="50">
        <f>SUMIF('Stock Purchase'!$D:$D,B607,'Stock Purchase'!$F:$F)</f>
        <v>0</v>
      </c>
      <c r="G607" s="50">
        <f>SUMIFS('Stock Adjustment'!$E:$E,'Stock Adjustment'!$B:$B,$A607,'Stock Adjustment'!$D:$D,"Customer Returned")</f>
        <v>0</v>
      </c>
      <c r="H607" s="50">
        <f>SUMIF('Daily Sales Entry'!$D:$D,B607,'Daily Sales Entry'!$G:$G)</f>
        <v>0</v>
      </c>
      <c r="I607" s="50">
        <f>SUMIFS('Stock Adjustment'!$E:$E,'Stock Adjustment'!$B:$B,$A607,'Stock Adjustment'!$D:$D,"Staff Consumption")</f>
        <v>0</v>
      </c>
      <c r="J607" s="50">
        <f>SUMIFS('Stock Adjustment'!$E:$E,'Stock Adjustment'!$B:$B,$A607,'Stock Adjustment'!$D:$D,"Damaged")</f>
        <v>0</v>
      </c>
      <c r="K607" s="50">
        <f>SUMIFS('Stock Adjustment'!$E:$E,'Stock Adjustment'!$B:$B,$A607,'Stock Adjustment'!$D:$D,"Expired")</f>
        <v>0</v>
      </c>
      <c r="L607" s="50">
        <f>SUMIFS('Stock Adjustment'!$E:$E,'Stock Adjustment'!$B:$B,$A607,'Stock Adjustment'!$D:$D,"Supplier Returned")</f>
        <v>0</v>
      </c>
      <c r="M6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7" s="53" t="str">
        <f>IF(B607="","",VLOOKUP(B607,'Product Master'!$B:$G,4,FALSE))</f>
        <v/>
      </c>
      <c r="O607" s="53" t="str">
        <f>IF(B607="","",VLOOKUP(B607,'Product Master'!$B:$G,5,FALSE))</f>
        <v/>
      </c>
      <c r="P607" s="50" t="str">
        <f>IF(B607="","",VLOOKUP(B607,'Product Master'!$B:$I,7,FALSE))</f>
        <v/>
      </c>
      <c r="Q607" s="158"/>
      <c r="R607" s="58" t="str">
        <f t="shared" si="9"/>
        <v/>
      </c>
      <c r="S607" s="25"/>
      <c r="T607" s="25"/>
      <c r="U607" s="25"/>
      <c r="V607" s="25"/>
      <c r="W607" s="25"/>
      <c r="X607" s="25"/>
    </row>
    <row r="608" spans="1:24" x14ac:dyDescent="0.25">
      <c r="A608" s="31" t="s">
        <v>1168</v>
      </c>
      <c r="B608" s="32"/>
      <c r="C608" s="50" t="str">
        <f>IF(B608="","",VLOOKUP(B608,'Product Master'!$B:$G,2,FALSE))</f>
        <v/>
      </c>
      <c r="D608" s="50" t="str">
        <f>IF(B608="","",VLOOKUP(B608,'Product Master'!$B:$G,3,FALSE))</f>
        <v/>
      </c>
      <c r="E608" s="50"/>
      <c r="F608" s="50">
        <f>SUMIF('Stock Purchase'!$D:$D,B608,'Stock Purchase'!$F:$F)</f>
        <v>0</v>
      </c>
      <c r="G608" s="50">
        <f>SUMIFS('Stock Adjustment'!$E:$E,'Stock Adjustment'!$B:$B,$A608,'Stock Adjustment'!$D:$D,"Customer Returned")</f>
        <v>0</v>
      </c>
      <c r="H608" s="50">
        <f>SUMIF('Daily Sales Entry'!$D:$D,B608,'Daily Sales Entry'!$G:$G)</f>
        <v>0</v>
      </c>
      <c r="I608" s="50">
        <f>SUMIFS('Stock Adjustment'!$E:$E,'Stock Adjustment'!$B:$B,$A608,'Stock Adjustment'!$D:$D,"Staff Consumption")</f>
        <v>0</v>
      </c>
      <c r="J608" s="50">
        <f>SUMIFS('Stock Adjustment'!$E:$E,'Stock Adjustment'!$B:$B,$A608,'Stock Adjustment'!$D:$D,"Damaged")</f>
        <v>0</v>
      </c>
      <c r="K608" s="50">
        <f>SUMIFS('Stock Adjustment'!$E:$E,'Stock Adjustment'!$B:$B,$A608,'Stock Adjustment'!$D:$D,"Expired")</f>
        <v>0</v>
      </c>
      <c r="L608" s="50">
        <f>SUMIFS('Stock Adjustment'!$E:$E,'Stock Adjustment'!$B:$B,$A608,'Stock Adjustment'!$D:$D,"Supplier Returned")</f>
        <v>0</v>
      </c>
      <c r="M6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8" s="53" t="str">
        <f>IF(B608="","",VLOOKUP(B608,'Product Master'!$B:$G,4,FALSE))</f>
        <v/>
      </c>
      <c r="O608" s="53" t="str">
        <f>IF(B608="","",VLOOKUP(B608,'Product Master'!$B:$G,5,FALSE))</f>
        <v/>
      </c>
      <c r="P608" s="50" t="str">
        <f>IF(B608="","",VLOOKUP(B608,'Product Master'!$B:$I,7,FALSE))</f>
        <v/>
      </c>
      <c r="Q608" s="158"/>
      <c r="R608" s="58" t="str">
        <f t="shared" si="9"/>
        <v/>
      </c>
      <c r="S608" s="25"/>
      <c r="T608" s="25"/>
      <c r="U608" s="25"/>
      <c r="V608" s="25"/>
      <c r="W608" s="25"/>
      <c r="X608" s="25"/>
    </row>
    <row r="609" spans="1:24" x14ac:dyDescent="0.25">
      <c r="A609" s="31" t="s">
        <v>1169</v>
      </c>
      <c r="B609" s="32"/>
      <c r="C609" s="50" t="str">
        <f>IF(B609="","",VLOOKUP(B609,'Product Master'!$B:$G,2,FALSE))</f>
        <v/>
      </c>
      <c r="D609" s="50" t="str">
        <f>IF(B609="","",VLOOKUP(B609,'Product Master'!$B:$G,3,FALSE))</f>
        <v/>
      </c>
      <c r="E609" s="50"/>
      <c r="F609" s="50">
        <f>SUMIF('Stock Purchase'!$D:$D,B609,'Stock Purchase'!$F:$F)</f>
        <v>0</v>
      </c>
      <c r="G609" s="50">
        <f>SUMIFS('Stock Adjustment'!$E:$E,'Stock Adjustment'!$B:$B,$A609,'Stock Adjustment'!$D:$D,"Customer Returned")</f>
        <v>0</v>
      </c>
      <c r="H609" s="50">
        <f>SUMIF('Daily Sales Entry'!$D:$D,B609,'Daily Sales Entry'!$G:$G)</f>
        <v>0</v>
      </c>
      <c r="I609" s="50">
        <f>SUMIFS('Stock Adjustment'!$E:$E,'Stock Adjustment'!$B:$B,$A609,'Stock Adjustment'!$D:$D,"Staff Consumption")</f>
        <v>0</v>
      </c>
      <c r="J609" s="50">
        <f>SUMIFS('Stock Adjustment'!$E:$E,'Stock Adjustment'!$B:$B,$A609,'Stock Adjustment'!$D:$D,"Damaged")</f>
        <v>0</v>
      </c>
      <c r="K609" s="50">
        <f>SUMIFS('Stock Adjustment'!$E:$E,'Stock Adjustment'!$B:$B,$A609,'Stock Adjustment'!$D:$D,"Expired")</f>
        <v>0</v>
      </c>
      <c r="L609" s="50">
        <f>SUMIFS('Stock Adjustment'!$E:$E,'Stock Adjustment'!$B:$B,$A609,'Stock Adjustment'!$D:$D,"Supplier Returned")</f>
        <v>0</v>
      </c>
      <c r="M6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09" s="53" t="str">
        <f>IF(B609="","",VLOOKUP(B609,'Product Master'!$B:$G,4,FALSE))</f>
        <v/>
      </c>
      <c r="O609" s="53" t="str">
        <f>IF(B609="","",VLOOKUP(B609,'Product Master'!$B:$G,5,FALSE))</f>
        <v/>
      </c>
      <c r="P609" s="50" t="str">
        <f>IF(B609="","",VLOOKUP(B609,'Product Master'!$B:$I,7,FALSE))</f>
        <v/>
      </c>
      <c r="Q609" s="158"/>
      <c r="R609" s="58" t="str">
        <f t="shared" si="9"/>
        <v/>
      </c>
      <c r="S609" s="25"/>
      <c r="T609" s="25"/>
      <c r="U609" s="25"/>
      <c r="V609" s="25"/>
      <c r="W609" s="25"/>
      <c r="X609" s="25"/>
    </row>
    <row r="610" spans="1:24" x14ac:dyDescent="0.25">
      <c r="A610" s="31" t="s">
        <v>1170</v>
      </c>
      <c r="B610" s="32"/>
      <c r="C610" s="50" t="str">
        <f>IF(B610="","",VLOOKUP(B610,'Product Master'!$B:$G,2,FALSE))</f>
        <v/>
      </c>
      <c r="D610" s="50" t="str">
        <f>IF(B610="","",VLOOKUP(B610,'Product Master'!$B:$G,3,FALSE))</f>
        <v/>
      </c>
      <c r="E610" s="50"/>
      <c r="F610" s="50">
        <f>SUMIF('Stock Purchase'!$D:$D,B610,'Stock Purchase'!$F:$F)</f>
        <v>0</v>
      </c>
      <c r="G610" s="50">
        <f>SUMIFS('Stock Adjustment'!$E:$E,'Stock Adjustment'!$B:$B,$A610,'Stock Adjustment'!$D:$D,"Customer Returned")</f>
        <v>0</v>
      </c>
      <c r="H610" s="50">
        <f>SUMIF('Daily Sales Entry'!$D:$D,B610,'Daily Sales Entry'!$G:$G)</f>
        <v>0</v>
      </c>
      <c r="I610" s="50">
        <f>SUMIFS('Stock Adjustment'!$E:$E,'Stock Adjustment'!$B:$B,$A610,'Stock Adjustment'!$D:$D,"Staff Consumption")</f>
        <v>0</v>
      </c>
      <c r="J610" s="50">
        <f>SUMIFS('Stock Adjustment'!$E:$E,'Stock Adjustment'!$B:$B,$A610,'Stock Adjustment'!$D:$D,"Damaged")</f>
        <v>0</v>
      </c>
      <c r="K610" s="50">
        <f>SUMIFS('Stock Adjustment'!$E:$E,'Stock Adjustment'!$B:$B,$A610,'Stock Adjustment'!$D:$D,"Expired")</f>
        <v>0</v>
      </c>
      <c r="L610" s="50">
        <f>SUMIFS('Stock Adjustment'!$E:$E,'Stock Adjustment'!$B:$B,$A610,'Stock Adjustment'!$D:$D,"Supplier Returned")</f>
        <v>0</v>
      </c>
      <c r="M6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0" s="53" t="str">
        <f>IF(B610="","",VLOOKUP(B610,'Product Master'!$B:$G,4,FALSE))</f>
        <v/>
      </c>
      <c r="O610" s="53" t="str">
        <f>IF(B610="","",VLOOKUP(B610,'Product Master'!$B:$G,5,FALSE))</f>
        <v/>
      </c>
      <c r="P610" s="50" t="str">
        <f>IF(B610="","",VLOOKUP(B610,'Product Master'!$B:$I,7,FALSE))</f>
        <v/>
      </c>
      <c r="Q610" s="158"/>
      <c r="R610" s="58" t="str">
        <f t="shared" si="9"/>
        <v/>
      </c>
      <c r="S610" s="25"/>
      <c r="T610" s="25"/>
      <c r="U610" s="25"/>
      <c r="V610" s="25"/>
      <c r="W610" s="25"/>
      <c r="X610" s="25"/>
    </row>
    <row r="611" spans="1:24" x14ac:dyDescent="0.25">
      <c r="A611" s="31" t="s">
        <v>1171</v>
      </c>
      <c r="B611" s="32"/>
      <c r="C611" s="50" t="str">
        <f>IF(B611="","",VLOOKUP(B611,'Product Master'!$B:$G,2,FALSE))</f>
        <v/>
      </c>
      <c r="D611" s="50" t="str">
        <f>IF(B611="","",VLOOKUP(B611,'Product Master'!$B:$G,3,FALSE))</f>
        <v/>
      </c>
      <c r="E611" s="50"/>
      <c r="F611" s="50">
        <f>SUMIF('Stock Purchase'!$D:$D,B611,'Stock Purchase'!$F:$F)</f>
        <v>0</v>
      </c>
      <c r="G611" s="50">
        <f>SUMIFS('Stock Adjustment'!$E:$E,'Stock Adjustment'!$B:$B,$A611,'Stock Adjustment'!$D:$D,"Customer Returned")</f>
        <v>0</v>
      </c>
      <c r="H611" s="50">
        <f>SUMIF('Daily Sales Entry'!$D:$D,B611,'Daily Sales Entry'!$G:$G)</f>
        <v>0</v>
      </c>
      <c r="I611" s="50">
        <f>SUMIFS('Stock Adjustment'!$E:$E,'Stock Adjustment'!$B:$B,$A611,'Stock Adjustment'!$D:$D,"Staff Consumption")</f>
        <v>0</v>
      </c>
      <c r="J611" s="50">
        <f>SUMIFS('Stock Adjustment'!$E:$E,'Stock Adjustment'!$B:$B,$A611,'Stock Adjustment'!$D:$D,"Damaged")</f>
        <v>0</v>
      </c>
      <c r="K611" s="50">
        <f>SUMIFS('Stock Adjustment'!$E:$E,'Stock Adjustment'!$B:$B,$A611,'Stock Adjustment'!$D:$D,"Expired")</f>
        <v>0</v>
      </c>
      <c r="L611" s="50">
        <f>SUMIFS('Stock Adjustment'!$E:$E,'Stock Adjustment'!$B:$B,$A611,'Stock Adjustment'!$D:$D,"Supplier Returned")</f>
        <v>0</v>
      </c>
      <c r="M6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1" s="53" t="str">
        <f>IF(B611="","",VLOOKUP(B611,'Product Master'!$B:$G,4,FALSE))</f>
        <v/>
      </c>
      <c r="O611" s="53" t="str">
        <f>IF(B611="","",VLOOKUP(B611,'Product Master'!$B:$G,5,FALSE))</f>
        <v/>
      </c>
      <c r="P611" s="50" t="str">
        <f>IF(B611="","",VLOOKUP(B611,'Product Master'!$B:$I,7,FALSE))</f>
        <v/>
      </c>
      <c r="Q611" s="158"/>
      <c r="R611" s="58" t="str">
        <f t="shared" si="9"/>
        <v/>
      </c>
      <c r="S611" s="25"/>
      <c r="T611" s="25"/>
      <c r="U611" s="25"/>
      <c r="V611" s="25"/>
      <c r="W611" s="25"/>
      <c r="X611" s="25"/>
    </row>
    <row r="612" spans="1:24" x14ac:dyDescent="0.25">
      <c r="A612" s="31" t="s">
        <v>1172</v>
      </c>
      <c r="B612" s="32"/>
      <c r="C612" s="50" t="str">
        <f>IF(B612="","",VLOOKUP(B612,'Product Master'!$B:$G,2,FALSE))</f>
        <v/>
      </c>
      <c r="D612" s="50" t="str">
        <f>IF(B612="","",VLOOKUP(B612,'Product Master'!$B:$G,3,FALSE))</f>
        <v/>
      </c>
      <c r="E612" s="50"/>
      <c r="F612" s="50">
        <f>SUMIF('Stock Purchase'!$D:$D,B612,'Stock Purchase'!$F:$F)</f>
        <v>0</v>
      </c>
      <c r="G612" s="50">
        <f>SUMIFS('Stock Adjustment'!$E:$E,'Stock Adjustment'!$B:$B,$A612,'Stock Adjustment'!$D:$D,"Customer Returned")</f>
        <v>0</v>
      </c>
      <c r="H612" s="50">
        <f>SUMIF('Daily Sales Entry'!$D:$D,B612,'Daily Sales Entry'!$G:$G)</f>
        <v>0</v>
      </c>
      <c r="I612" s="50">
        <f>SUMIFS('Stock Adjustment'!$E:$E,'Stock Adjustment'!$B:$B,$A612,'Stock Adjustment'!$D:$D,"Staff Consumption")</f>
        <v>0</v>
      </c>
      <c r="J612" s="50">
        <f>SUMIFS('Stock Adjustment'!$E:$E,'Stock Adjustment'!$B:$B,$A612,'Stock Adjustment'!$D:$D,"Damaged")</f>
        <v>0</v>
      </c>
      <c r="K612" s="50">
        <f>SUMIFS('Stock Adjustment'!$E:$E,'Stock Adjustment'!$B:$B,$A612,'Stock Adjustment'!$D:$D,"Expired")</f>
        <v>0</v>
      </c>
      <c r="L612" s="50">
        <f>SUMIFS('Stock Adjustment'!$E:$E,'Stock Adjustment'!$B:$B,$A612,'Stock Adjustment'!$D:$D,"Supplier Returned")</f>
        <v>0</v>
      </c>
      <c r="M6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2" s="53" t="str">
        <f>IF(B612="","",VLOOKUP(B612,'Product Master'!$B:$G,4,FALSE))</f>
        <v/>
      </c>
      <c r="O612" s="53" t="str">
        <f>IF(B612="","",VLOOKUP(B612,'Product Master'!$B:$G,5,FALSE))</f>
        <v/>
      </c>
      <c r="P612" s="50" t="str">
        <f>IF(B612="","",VLOOKUP(B612,'Product Master'!$B:$I,7,FALSE))</f>
        <v/>
      </c>
      <c r="Q612" s="158"/>
      <c r="R612" s="58" t="str">
        <f t="shared" si="9"/>
        <v/>
      </c>
      <c r="S612" s="25"/>
      <c r="T612" s="25"/>
      <c r="U612" s="25"/>
      <c r="V612" s="25"/>
      <c r="W612" s="25"/>
      <c r="X612" s="25"/>
    </row>
    <row r="613" spans="1:24" x14ac:dyDescent="0.25">
      <c r="A613" s="31" t="s">
        <v>1173</v>
      </c>
      <c r="B613" s="32"/>
      <c r="C613" s="50" t="str">
        <f>IF(B613="","",VLOOKUP(B613,'Product Master'!$B:$G,2,FALSE))</f>
        <v/>
      </c>
      <c r="D613" s="50" t="str">
        <f>IF(B613="","",VLOOKUP(B613,'Product Master'!$B:$G,3,FALSE))</f>
        <v/>
      </c>
      <c r="E613" s="50"/>
      <c r="F613" s="50">
        <f>SUMIF('Stock Purchase'!$D:$D,B613,'Stock Purchase'!$F:$F)</f>
        <v>0</v>
      </c>
      <c r="G613" s="50">
        <f>SUMIFS('Stock Adjustment'!$E:$E,'Stock Adjustment'!$B:$B,$A613,'Stock Adjustment'!$D:$D,"Customer Returned")</f>
        <v>0</v>
      </c>
      <c r="H613" s="50">
        <f>SUMIF('Daily Sales Entry'!$D:$D,B613,'Daily Sales Entry'!$G:$G)</f>
        <v>0</v>
      </c>
      <c r="I613" s="50">
        <f>SUMIFS('Stock Adjustment'!$E:$E,'Stock Adjustment'!$B:$B,$A613,'Stock Adjustment'!$D:$D,"Staff Consumption")</f>
        <v>0</v>
      </c>
      <c r="J613" s="50">
        <f>SUMIFS('Stock Adjustment'!$E:$E,'Stock Adjustment'!$B:$B,$A613,'Stock Adjustment'!$D:$D,"Damaged")</f>
        <v>0</v>
      </c>
      <c r="K613" s="50">
        <f>SUMIFS('Stock Adjustment'!$E:$E,'Stock Adjustment'!$B:$B,$A613,'Stock Adjustment'!$D:$D,"Expired")</f>
        <v>0</v>
      </c>
      <c r="L613" s="50">
        <f>SUMIFS('Stock Adjustment'!$E:$E,'Stock Adjustment'!$B:$B,$A613,'Stock Adjustment'!$D:$D,"Supplier Returned")</f>
        <v>0</v>
      </c>
      <c r="M6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3" s="53" t="str">
        <f>IF(B613="","",VLOOKUP(B613,'Product Master'!$B:$G,4,FALSE))</f>
        <v/>
      </c>
      <c r="O613" s="53" t="str">
        <f>IF(B613="","",VLOOKUP(B613,'Product Master'!$B:$G,5,FALSE))</f>
        <v/>
      </c>
      <c r="P613" s="50" t="str">
        <f>IF(B613="","",VLOOKUP(B613,'Product Master'!$B:$I,7,FALSE))</f>
        <v/>
      </c>
      <c r="Q613" s="158"/>
      <c r="R613" s="58" t="str">
        <f t="shared" si="9"/>
        <v/>
      </c>
      <c r="S613" s="25"/>
      <c r="T613" s="25"/>
      <c r="U613" s="25"/>
      <c r="V613" s="25"/>
      <c r="W613" s="25"/>
      <c r="X613" s="25"/>
    </row>
    <row r="614" spans="1:24" x14ac:dyDescent="0.25">
      <c r="A614" s="31" t="s">
        <v>1174</v>
      </c>
      <c r="B614" s="32"/>
      <c r="C614" s="50" t="str">
        <f>IF(B614="","",VLOOKUP(B614,'Product Master'!$B:$G,2,FALSE))</f>
        <v/>
      </c>
      <c r="D614" s="50" t="str">
        <f>IF(B614="","",VLOOKUP(B614,'Product Master'!$B:$G,3,FALSE))</f>
        <v/>
      </c>
      <c r="E614" s="50"/>
      <c r="F614" s="50">
        <f>SUMIF('Stock Purchase'!$D:$D,B614,'Stock Purchase'!$F:$F)</f>
        <v>0</v>
      </c>
      <c r="G614" s="50">
        <f>SUMIFS('Stock Adjustment'!$E:$E,'Stock Adjustment'!$B:$B,$A614,'Stock Adjustment'!$D:$D,"Customer Returned")</f>
        <v>0</v>
      </c>
      <c r="H614" s="50">
        <f>SUMIF('Daily Sales Entry'!$D:$D,B614,'Daily Sales Entry'!$G:$G)</f>
        <v>0</v>
      </c>
      <c r="I614" s="50">
        <f>SUMIFS('Stock Adjustment'!$E:$E,'Stock Adjustment'!$B:$B,$A614,'Stock Adjustment'!$D:$D,"Staff Consumption")</f>
        <v>0</v>
      </c>
      <c r="J614" s="50">
        <f>SUMIFS('Stock Adjustment'!$E:$E,'Stock Adjustment'!$B:$B,$A614,'Stock Adjustment'!$D:$D,"Damaged")</f>
        <v>0</v>
      </c>
      <c r="K614" s="50">
        <f>SUMIFS('Stock Adjustment'!$E:$E,'Stock Adjustment'!$B:$B,$A614,'Stock Adjustment'!$D:$D,"Expired")</f>
        <v>0</v>
      </c>
      <c r="L614" s="50">
        <f>SUMIFS('Stock Adjustment'!$E:$E,'Stock Adjustment'!$B:$B,$A614,'Stock Adjustment'!$D:$D,"Supplier Returned")</f>
        <v>0</v>
      </c>
      <c r="M6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4" s="53" t="str">
        <f>IF(B614="","",VLOOKUP(B614,'Product Master'!$B:$G,4,FALSE))</f>
        <v/>
      </c>
      <c r="O614" s="53" t="str">
        <f>IF(B614="","",VLOOKUP(B614,'Product Master'!$B:$G,5,FALSE))</f>
        <v/>
      </c>
      <c r="P614" s="50" t="str">
        <f>IF(B614="","",VLOOKUP(B614,'Product Master'!$B:$I,7,FALSE))</f>
        <v/>
      </c>
      <c r="Q614" s="158"/>
      <c r="R614" s="58" t="str">
        <f t="shared" si="9"/>
        <v/>
      </c>
      <c r="S614" s="25"/>
      <c r="T614" s="25"/>
      <c r="U614" s="25"/>
      <c r="V614" s="25"/>
      <c r="W614" s="25"/>
      <c r="X614" s="25"/>
    </row>
    <row r="615" spans="1:24" x14ac:dyDescent="0.25">
      <c r="A615" s="31" t="s">
        <v>1175</v>
      </c>
      <c r="B615" s="32"/>
      <c r="C615" s="50" t="str">
        <f>IF(B615="","",VLOOKUP(B615,'Product Master'!$B:$G,2,FALSE))</f>
        <v/>
      </c>
      <c r="D615" s="50" t="str">
        <f>IF(B615="","",VLOOKUP(B615,'Product Master'!$B:$G,3,FALSE))</f>
        <v/>
      </c>
      <c r="E615" s="50"/>
      <c r="F615" s="50">
        <f>SUMIF('Stock Purchase'!$D:$D,B615,'Stock Purchase'!$F:$F)</f>
        <v>0</v>
      </c>
      <c r="G615" s="50">
        <f>SUMIFS('Stock Adjustment'!$E:$E,'Stock Adjustment'!$B:$B,$A615,'Stock Adjustment'!$D:$D,"Customer Returned")</f>
        <v>0</v>
      </c>
      <c r="H615" s="50">
        <f>SUMIF('Daily Sales Entry'!$D:$D,B615,'Daily Sales Entry'!$G:$G)</f>
        <v>0</v>
      </c>
      <c r="I615" s="50">
        <f>SUMIFS('Stock Adjustment'!$E:$E,'Stock Adjustment'!$B:$B,$A615,'Stock Adjustment'!$D:$D,"Staff Consumption")</f>
        <v>0</v>
      </c>
      <c r="J615" s="50">
        <f>SUMIFS('Stock Adjustment'!$E:$E,'Stock Adjustment'!$B:$B,$A615,'Stock Adjustment'!$D:$D,"Damaged")</f>
        <v>0</v>
      </c>
      <c r="K615" s="50">
        <f>SUMIFS('Stock Adjustment'!$E:$E,'Stock Adjustment'!$B:$B,$A615,'Stock Adjustment'!$D:$D,"Expired")</f>
        <v>0</v>
      </c>
      <c r="L615" s="50">
        <f>SUMIFS('Stock Adjustment'!$E:$E,'Stock Adjustment'!$B:$B,$A615,'Stock Adjustment'!$D:$D,"Supplier Returned")</f>
        <v>0</v>
      </c>
      <c r="M6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5" s="53" t="str">
        <f>IF(B615="","",VLOOKUP(B615,'Product Master'!$B:$G,4,FALSE))</f>
        <v/>
      </c>
      <c r="O615" s="53" t="str">
        <f>IF(B615="","",VLOOKUP(B615,'Product Master'!$B:$G,5,FALSE))</f>
        <v/>
      </c>
      <c r="P615" s="50" t="str">
        <f>IF(B615="","",VLOOKUP(B615,'Product Master'!$B:$I,7,FALSE))</f>
        <v/>
      </c>
      <c r="Q615" s="158"/>
      <c r="R615" s="58" t="str">
        <f t="shared" si="9"/>
        <v/>
      </c>
      <c r="S615" s="25"/>
      <c r="T615" s="25"/>
      <c r="U615" s="25"/>
      <c r="V615" s="25"/>
      <c r="W615" s="25"/>
      <c r="X615" s="25"/>
    </row>
    <row r="616" spans="1:24" x14ac:dyDescent="0.25">
      <c r="A616" s="31" t="s">
        <v>1176</v>
      </c>
      <c r="B616" s="32"/>
      <c r="C616" s="50" t="str">
        <f>IF(B616="","",VLOOKUP(B616,'Product Master'!$B:$G,2,FALSE))</f>
        <v/>
      </c>
      <c r="D616" s="50" t="str">
        <f>IF(B616="","",VLOOKUP(B616,'Product Master'!$B:$G,3,FALSE))</f>
        <v/>
      </c>
      <c r="E616" s="50"/>
      <c r="F616" s="50">
        <f>SUMIF('Stock Purchase'!$D:$D,B616,'Stock Purchase'!$F:$F)</f>
        <v>0</v>
      </c>
      <c r="G616" s="50">
        <f>SUMIFS('Stock Adjustment'!$E:$E,'Stock Adjustment'!$B:$B,$A616,'Stock Adjustment'!$D:$D,"Customer Returned")</f>
        <v>0</v>
      </c>
      <c r="H616" s="50">
        <f>SUMIF('Daily Sales Entry'!$D:$D,B616,'Daily Sales Entry'!$G:$G)</f>
        <v>0</v>
      </c>
      <c r="I616" s="50">
        <f>SUMIFS('Stock Adjustment'!$E:$E,'Stock Adjustment'!$B:$B,$A616,'Stock Adjustment'!$D:$D,"Staff Consumption")</f>
        <v>0</v>
      </c>
      <c r="J616" s="50">
        <f>SUMIFS('Stock Adjustment'!$E:$E,'Stock Adjustment'!$B:$B,$A616,'Stock Adjustment'!$D:$D,"Damaged")</f>
        <v>0</v>
      </c>
      <c r="K616" s="50">
        <f>SUMIFS('Stock Adjustment'!$E:$E,'Stock Adjustment'!$B:$B,$A616,'Stock Adjustment'!$D:$D,"Expired")</f>
        <v>0</v>
      </c>
      <c r="L616" s="50">
        <f>SUMIFS('Stock Adjustment'!$E:$E,'Stock Adjustment'!$B:$B,$A616,'Stock Adjustment'!$D:$D,"Supplier Returned")</f>
        <v>0</v>
      </c>
      <c r="M6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6" s="53" t="str">
        <f>IF(B616="","",VLOOKUP(B616,'Product Master'!$B:$G,4,FALSE))</f>
        <v/>
      </c>
      <c r="O616" s="53" t="str">
        <f>IF(B616="","",VLOOKUP(B616,'Product Master'!$B:$G,5,FALSE))</f>
        <v/>
      </c>
      <c r="P616" s="50" t="str">
        <f>IF(B616="","",VLOOKUP(B616,'Product Master'!$B:$I,7,FALSE))</f>
        <v/>
      </c>
      <c r="Q616" s="158"/>
      <c r="R616" s="58" t="str">
        <f t="shared" si="9"/>
        <v/>
      </c>
      <c r="S616" s="25"/>
      <c r="T616" s="25"/>
      <c r="U616" s="25"/>
      <c r="V616" s="25"/>
      <c r="W616" s="25"/>
      <c r="X616" s="25"/>
    </row>
    <row r="617" spans="1:24" x14ac:dyDescent="0.25">
      <c r="A617" s="31" t="s">
        <v>1177</v>
      </c>
      <c r="B617" s="32"/>
      <c r="C617" s="50" t="str">
        <f>IF(B617="","",VLOOKUP(B617,'Product Master'!$B:$G,2,FALSE))</f>
        <v/>
      </c>
      <c r="D617" s="50" t="str">
        <f>IF(B617="","",VLOOKUP(B617,'Product Master'!$B:$G,3,FALSE))</f>
        <v/>
      </c>
      <c r="E617" s="50"/>
      <c r="F617" s="50">
        <f>SUMIF('Stock Purchase'!$D:$D,B617,'Stock Purchase'!$F:$F)</f>
        <v>0</v>
      </c>
      <c r="G617" s="50">
        <f>SUMIFS('Stock Adjustment'!$E:$E,'Stock Adjustment'!$B:$B,$A617,'Stock Adjustment'!$D:$D,"Customer Returned")</f>
        <v>0</v>
      </c>
      <c r="H617" s="50">
        <f>SUMIF('Daily Sales Entry'!$D:$D,B617,'Daily Sales Entry'!$G:$G)</f>
        <v>0</v>
      </c>
      <c r="I617" s="50">
        <f>SUMIFS('Stock Adjustment'!$E:$E,'Stock Adjustment'!$B:$B,$A617,'Stock Adjustment'!$D:$D,"Staff Consumption")</f>
        <v>0</v>
      </c>
      <c r="J617" s="50">
        <f>SUMIFS('Stock Adjustment'!$E:$E,'Stock Adjustment'!$B:$B,$A617,'Stock Adjustment'!$D:$D,"Damaged")</f>
        <v>0</v>
      </c>
      <c r="K617" s="50">
        <f>SUMIFS('Stock Adjustment'!$E:$E,'Stock Adjustment'!$B:$B,$A617,'Stock Adjustment'!$D:$D,"Expired")</f>
        <v>0</v>
      </c>
      <c r="L617" s="50">
        <f>SUMIFS('Stock Adjustment'!$E:$E,'Stock Adjustment'!$B:$B,$A617,'Stock Adjustment'!$D:$D,"Supplier Returned")</f>
        <v>0</v>
      </c>
      <c r="M6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7" s="53" t="str">
        <f>IF(B617="","",VLOOKUP(B617,'Product Master'!$B:$G,4,FALSE))</f>
        <v/>
      </c>
      <c r="O617" s="53" t="str">
        <f>IF(B617="","",VLOOKUP(B617,'Product Master'!$B:$G,5,FALSE))</f>
        <v/>
      </c>
      <c r="P617" s="50" t="str">
        <f>IF(B617="","",VLOOKUP(B617,'Product Master'!$B:$I,7,FALSE))</f>
        <v/>
      </c>
      <c r="Q617" s="158"/>
      <c r="R617" s="58" t="str">
        <f t="shared" si="9"/>
        <v/>
      </c>
      <c r="S617" s="25"/>
      <c r="T617" s="25"/>
      <c r="U617" s="25"/>
      <c r="V617" s="25"/>
      <c r="W617" s="25"/>
      <c r="X617" s="25"/>
    </row>
    <row r="618" spans="1:24" x14ac:dyDescent="0.25">
      <c r="A618" s="31" t="s">
        <v>1178</v>
      </c>
      <c r="B618" s="32"/>
      <c r="C618" s="50" t="str">
        <f>IF(B618="","",VLOOKUP(B618,'Product Master'!$B:$G,2,FALSE))</f>
        <v/>
      </c>
      <c r="D618" s="50" t="str">
        <f>IF(B618="","",VLOOKUP(B618,'Product Master'!$B:$G,3,FALSE))</f>
        <v/>
      </c>
      <c r="E618" s="50"/>
      <c r="F618" s="50">
        <f>SUMIF('Stock Purchase'!$D:$D,B618,'Stock Purchase'!$F:$F)</f>
        <v>0</v>
      </c>
      <c r="G618" s="50">
        <f>SUMIFS('Stock Adjustment'!$E:$E,'Stock Adjustment'!$B:$B,$A618,'Stock Adjustment'!$D:$D,"Customer Returned")</f>
        <v>0</v>
      </c>
      <c r="H618" s="50">
        <f>SUMIF('Daily Sales Entry'!$D:$D,B618,'Daily Sales Entry'!$G:$G)</f>
        <v>0</v>
      </c>
      <c r="I618" s="50">
        <f>SUMIFS('Stock Adjustment'!$E:$E,'Stock Adjustment'!$B:$B,$A618,'Stock Adjustment'!$D:$D,"Staff Consumption")</f>
        <v>0</v>
      </c>
      <c r="J618" s="50">
        <f>SUMIFS('Stock Adjustment'!$E:$E,'Stock Adjustment'!$B:$B,$A618,'Stock Adjustment'!$D:$D,"Damaged")</f>
        <v>0</v>
      </c>
      <c r="K618" s="50">
        <f>SUMIFS('Stock Adjustment'!$E:$E,'Stock Adjustment'!$B:$B,$A618,'Stock Adjustment'!$D:$D,"Expired")</f>
        <v>0</v>
      </c>
      <c r="L618" s="50">
        <f>SUMIFS('Stock Adjustment'!$E:$E,'Stock Adjustment'!$B:$B,$A618,'Stock Adjustment'!$D:$D,"Supplier Returned")</f>
        <v>0</v>
      </c>
      <c r="M6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8" s="53" t="str">
        <f>IF(B618="","",VLOOKUP(B618,'Product Master'!$B:$G,4,FALSE))</f>
        <v/>
      </c>
      <c r="O618" s="53" t="str">
        <f>IF(B618="","",VLOOKUP(B618,'Product Master'!$B:$G,5,FALSE))</f>
        <v/>
      </c>
      <c r="P618" s="50" t="str">
        <f>IF(B618="","",VLOOKUP(B618,'Product Master'!$B:$I,7,FALSE))</f>
        <v/>
      </c>
      <c r="Q618" s="158"/>
      <c r="R618" s="58" t="str">
        <f t="shared" si="9"/>
        <v/>
      </c>
      <c r="S618" s="25"/>
      <c r="T618" s="25"/>
      <c r="U618" s="25"/>
      <c r="V618" s="25"/>
      <c r="W618" s="25"/>
      <c r="X618" s="25"/>
    </row>
    <row r="619" spans="1:24" x14ac:dyDescent="0.25">
      <c r="A619" s="31" t="s">
        <v>1179</v>
      </c>
      <c r="B619" s="32"/>
      <c r="C619" s="50" t="str">
        <f>IF(B619="","",VLOOKUP(B619,'Product Master'!$B:$G,2,FALSE))</f>
        <v/>
      </c>
      <c r="D619" s="50" t="str">
        <f>IF(B619="","",VLOOKUP(B619,'Product Master'!$B:$G,3,FALSE))</f>
        <v/>
      </c>
      <c r="E619" s="50"/>
      <c r="F619" s="50">
        <f>SUMIF('Stock Purchase'!$D:$D,B619,'Stock Purchase'!$F:$F)</f>
        <v>0</v>
      </c>
      <c r="G619" s="50">
        <f>SUMIFS('Stock Adjustment'!$E:$E,'Stock Adjustment'!$B:$B,$A619,'Stock Adjustment'!$D:$D,"Customer Returned")</f>
        <v>0</v>
      </c>
      <c r="H619" s="50">
        <f>SUMIF('Daily Sales Entry'!$D:$D,B619,'Daily Sales Entry'!$G:$G)</f>
        <v>0</v>
      </c>
      <c r="I619" s="50">
        <f>SUMIFS('Stock Adjustment'!$E:$E,'Stock Adjustment'!$B:$B,$A619,'Stock Adjustment'!$D:$D,"Staff Consumption")</f>
        <v>0</v>
      </c>
      <c r="J619" s="50">
        <f>SUMIFS('Stock Adjustment'!$E:$E,'Stock Adjustment'!$B:$B,$A619,'Stock Adjustment'!$D:$D,"Damaged")</f>
        <v>0</v>
      </c>
      <c r="K619" s="50">
        <f>SUMIFS('Stock Adjustment'!$E:$E,'Stock Adjustment'!$B:$B,$A619,'Stock Adjustment'!$D:$D,"Expired")</f>
        <v>0</v>
      </c>
      <c r="L619" s="50">
        <f>SUMIFS('Stock Adjustment'!$E:$E,'Stock Adjustment'!$B:$B,$A619,'Stock Adjustment'!$D:$D,"Supplier Returned")</f>
        <v>0</v>
      </c>
      <c r="M6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19" s="53" t="str">
        <f>IF(B619="","",VLOOKUP(B619,'Product Master'!$B:$G,4,FALSE))</f>
        <v/>
      </c>
      <c r="O619" s="53" t="str">
        <f>IF(B619="","",VLOOKUP(B619,'Product Master'!$B:$G,5,FALSE))</f>
        <v/>
      </c>
      <c r="P619" s="50" t="str">
        <f>IF(B619="","",VLOOKUP(B619,'Product Master'!$B:$I,7,FALSE))</f>
        <v/>
      </c>
      <c r="Q619" s="158"/>
      <c r="R619" s="58" t="str">
        <f t="shared" si="9"/>
        <v/>
      </c>
      <c r="S619" s="25"/>
      <c r="T619" s="25"/>
      <c r="U619" s="25"/>
      <c r="V619" s="25"/>
      <c r="W619" s="25"/>
      <c r="X619" s="25"/>
    </row>
    <row r="620" spans="1:24" x14ac:dyDescent="0.25">
      <c r="A620" s="31" t="s">
        <v>1180</v>
      </c>
      <c r="B620" s="32"/>
      <c r="C620" s="50" t="str">
        <f>IF(B620="","",VLOOKUP(B620,'Product Master'!$B:$G,2,FALSE))</f>
        <v/>
      </c>
      <c r="D620" s="50" t="str">
        <f>IF(B620="","",VLOOKUP(B620,'Product Master'!$B:$G,3,FALSE))</f>
        <v/>
      </c>
      <c r="E620" s="50"/>
      <c r="F620" s="50">
        <f>SUMIF('Stock Purchase'!$D:$D,B620,'Stock Purchase'!$F:$F)</f>
        <v>0</v>
      </c>
      <c r="G620" s="50">
        <f>SUMIFS('Stock Adjustment'!$E:$E,'Stock Adjustment'!$B:$B,$A620,'Stock Adjustment'!$D:$D,"Customer Returned")</f>
        <v>0</v>
      </c>
      <c r="H620" s="50">
        <f>SUMIF('Daily Sales Entry'!$D:$D,B620,'Daily Sales Entry'!$G:$G)</f>
        <v>0</v>
      </c>
      <c r="I620" s="50">
        <f>SUMIFS('Stock Adjustment'!$E:$E,'Stock Adjustment'!$B:$B,$A620,'Stock Adjustment'!$D:$D,"Staff Consumption")</f>
        <v>0</v>
      </c>
      <c r="J620" s="50">
        <f>SUMIFS('Stock Adjustment'!$E:$E,'Stock Adjustment'!$B:$B,$A620,'Stock Adjustment'!$D:$D,"Damaged")</f>
        <v>0</v>
      </c>
      <c r="K620" s="50">
        <f>SUMIFS('Stock Adjustment'!$E:$E,'Stock Adjustment'!$B:$B,$A620,'Stock Adjustment'!$D:$D,"Expired")</f>
        <v>0</v>
      </c>
      <c r="L620" s="50">
        <f>SUMIFS('Stock Adjustment'!$E:$E,'Stock Adjustment'!$B:$B,$A620,'Stock Adjustment'!$D:$D,"Supplier Returned")</f>
        <v>0</v>
      </c>
      <c r="M6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0" s="53" t="str">
        <f>IF(B620="","",VLOOKUP(B620,'Product Master'!$B:$G,4,FALSE))</f>
        <v/>
      </c>
      <c r="O620" s="53" t="str">
        <f>IF(B620="","",VLOOKUP(B620,'Product Master'!$B:$G,5,FALSE))</f>
        <v/>
      </c>
      <c r="P620" s="50" t="str">
        <f>IF(B620="","",VLOOKUP(B620,'Product Master'!$B:$I,7,FALSE))</f>
        <v/>
      </c>
      <c r="Q620" s="158"/>
      <c r="R620" s="58" t="str">
        <f t="shared" si="9"/>
        <v/>
      </c>
      <c r="S620" s="25"/>
      <c r="T620" s="25"/>
      <c r="U620" s="25"/>
      <c r="V620" s="25"/>
      <c r="W620" s="25"/>
      <c r="X620" s="25"/>
    </row>
    <row r="621" spans="1:24" x14ac:dyDescent="0.25">
      <c r="A621" s="31" t="s">
        <v>1181</v>
      </c>
      <c r="B621" s="32"/>
      <c r="C621" s="50" t="str">
        <f>IF(B621="","",VLOOKUP(B621,'Product Master'!$B:$G,2,FALSE))</f>
        <v/>
      </c>
      <c r="D621" s="50" t="str">
        <f>IF(B621="","",VLOOKUP(B621,'Product Master'!$B:$G,3,FALSE))</f>
        <v/>
      </c>
      <c r="E621" s="50"/>
      <c r="F621" s="50">
        <f>SUMIF('Stock Purchase'!$D:$D,B621,'Stock Purchase'!$F:$F)</f>
        <v>0</v>
      </c>
      <c r="G621" s="50">
        <f>SUMIFS('Stock Adjustment'!$E:$E,'Stock Adjustment'!$B:$B,$A621,'Stock Adjustment'!$D:$D,"Customer Returned")</f>
        <v>0</v>
      </c>
      <c r="H621" s="50">
        <f>SUMIF('Daily Sales Entry'!$D:$D,B621,'Daily Sales Entry'!$G:$G)</f>
        <v>0</v>
      </c>
      <c r="I621" s="50">
        <f>SUMIFS('Stock Adjustment'!$E:$E,'Stock Adjustment'!$B:$B,$A621,'Stock Adjustment'!$D:$D,"Staff Consumption")</f>
        <v>0</v>
      </c>
      <c r="J621" s="50">
        <f>SUMIFS('Stock Adjustment'!$E:$E,'Stock Adjustment'!$B:$B,$A621,'Stock Adjustment'!$D:$D,"Damaged")</f>
        <v>0</v>
      </c>
      <c r="K621" s="50">
        <f>SUMIFS('Stock Adjustment'!$E:$E,'Stock Adjustment'!$B:$B,$A621,'Stock Adjustment'!$D:$D,"Expired")</f>
        <v>0</v>
      </c>
      <c r="L621" s="50">
        <f>SUMIFS('Stock Adjustment'!$E:$E,'Stock Adjustment'!$B:$B,$A621,'Stock Adjustment'!$D:$D,"Supplier Returned")</f>
        <v>0</v>
      </c>
      <c r="M6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1" s="53" t="str">
        <f>IF(B621="","",VLOOKUP(B621,'Product Master'!$B:$G,4,FALSE))</f>
        <v/>
      </c>
      <c r="O621" s="53" t="str">
        <f>IF(B621="","",VLOOKUP(B621,'Product Master'!$B:$G,5,FALSE))</f>
        <v/>
      </c>
      <c r="P621" s="50" t="str">
        <f>IF(B621="","",VLOOKUP(B621,'Product Master'!$B:$I,7,FALSE))</f>
        <v/>
      </c>
      <c r="Q621" s="158"/>
      <c r="R621" s="58" t="str">
        <f t="shared" si="9"/>
        <v/>
      </c>
      <c r="S621" s="25"/>
      <c r="T621" s="25"/>
      <c r="U621" s="25"/>
      <c r="V621" s="25"/>
      <c r="W621" s="25"/>
      <c r="X621" s="25"/>
    </row>
    <row r="622" spans="1:24" x14ac:dyDescent="0.25">
      <c r="A622" s="31" t="s">
        <v>1182</v>
      </c>
      <c r="B622" s="32"/>
      <c r="C622" s="50" t="str">
        <f>IF(B622="","",VLOOKUP(B622,'Product Master'!$B:$G,2,FALSE))</f>
        <v/>
      </c>
      <c r="D622" s="50" t="str">
        <f>IF(B622="","",VLOOKUP(B622,'Product Master'!$B:$G,3,FALSE))</f>
        <v/>
      </c>
      <c r="E622" s="50"/>
      <c r="F622" s="50">
        <f>SUMIF('Stock Purchase'!$D:$D,B622,'Stock Purchase'!$F:$F)</f>
        <v>0</v>
      </c>
      <c r="G622" s="50">
        <f>SUMIFS('Stock Adjustment'!$E:$E,'Stock Adjustment'!$B:$B,$A622,'Stock Adjustment'!$D:$D,"Customer Returned")</f>
        <v>0</v>
      </c>
      <c r="H622" s="50">
        <f>SUMIF('Daily Sales Entry'!$D:$D,B622,'Daily Sales Entry'!$G:$G)</f>
        <v>0</v>
      </c>
      <c r="I622" s="50">
        <f>SUMIFS('Stock Adjustment'!$E:$E,'Stock Adjustment'!$B:$B,$A622,'Stock Adjustment'!$D:$D,"Staff Consumption")</f>
        <v>0</v>
      </c>
      <c r="J622" s="50">
        <f>SUMIFS('Stock Adjustment'!$E:$E,'Stock Adjustment'!$B:$B,$A622,'Stock Adjustment'!$D:$D,"Damaged")</f>
        <v>0</v>
      </c>
      <c r="K622" s="50">
        <f>SUMIFS('Stock Adjustment'!$E:$E,'Stock Adjustment'!$B:$B,$A622,'Stock Adjustment'!$D:$D,"Expired")</f>
        <v>0</v>
      </c>
      <c r="L622" s="50">
        <f>SUMIFS('Stock Adjustment'!$E:$E,'Stock Adjustment'!$B:$B,$A622,'Stock Adjustment'!$D:$D,"Supplier Returned")</f>
        <v>0</v>
      </c>
      <c r="M6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2" s="53" t="str">
        <f>IF(B622="","",VLOOKUP(B622,'Product Master'!$B:$G,4,FALSE))</f>
        <v/>
      </c>
      <c r="O622" s="53" t="str">
        <f>IF(B622="","",VLOOKUP(B622,'Product Master'!$B:$G,5,FALSE))</f>
        <v/>
      </c>
      <c r="P622" s="50" t="str">
        <f>IF(B622="","",VLOOKUP(B622,'Product Master'!$B:$I,7,FALSE))</f>
        <v/>
      </c>
      <c r="Q622" s="158"/>
      <c r="R622" s="58" t="str">
        <f t="shared" si="9"/>
        <v/>
      </c>
      <c r="S622" s="25"/>
      <c r="T622" s="25"/>
      <c r="U622" s="25"/>
      <c r="V622" s="25"/>
      <c r="W622" s="25"/>
      <c r="X622" s="25"/>
    </row>
    <row r="623" spans="1:24" x14ac:dyDescent="0.25">
      <c r="A623" s="31" t="s">
        <v>1183</v>
      </c>
      <c r="B623" s="32"/>
      <c r="C623" s="50" t="str">
        <f>IF(B623="","",VLOOKUP(B623,'Product Master'!$B:$G,2,FALSE))</f>
        <v/>
      </c>
      <c r="D623" s="50" t="str">
        <f>IF(B623="","",VLOOKUP(B623,'Product Master'!$B:$G,3,FALSE))</f>
        <v/>
      </c>
      <c r="E623" s="50"/>
      <c r="F623" s="50">
        <f>SUMIF('Stock Purchase'!$D:$D,B623,'Stock Purchase'!$F:$F)</f>
        <v>0</v>
      </c>
      <c r="G623" s="50">
        <f>SUMIFS('Stock Adjustment'!$E:$E,'Stock Adjustment'!$B:$B,$A623,'Stock Adjustment'!$D:$D,"Customer Returned")</f>
        <v>0</v>
      </c>
      <c r="H623" s="50">
        <f>SUMIF('Daily Sales Entry'!$D:$D,B623,'Daily Sales Entry'!$G:$G)</f>
        <v>0</v>
      </c>
      <c r="I623" s="50">
        <f>SUMIFS('Stock Adjustment'!$E:$E,'Stock Adjustment'!$B:$B,$A623,'Stock Adjustment'!$D:$D,"Staff Consumption")</f>
        <v>0</v>
      </c>
      <c r="J623" s="50">
        <f>SUMIFS('Stock Adjustment'!$E:$E,'Stock Adjustment'!$B:$B,$A623,'Stock Adjustment'!$D:$D,"Damaged")</f>
        <v>0</v>
      </c>
      <c r="K623" s="50">
        <f>SUMIFS('Stock Adjustment'!$E:$E,'Stock Adjustment'!$B:$B,$A623,'Stock Adjustment'!$D:$D,"Expired")</f>
        <v>0</v>
      </c>
      <c r="L623" s="50">
        <f>SUMIFS('Stock Adjustment'!$E:$E,'Stock Adjustment'!$B:$B,$A623,'Stock Adjustment'!$D:$D,"Supplier Returned")</f>
        <v>0</v>
      </c>
      <c r="M6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3" s="53" t="str">
        <f>IF(B623="","",VLOOKUP(B623,'Product Master'!$B:$G,4,FALSE))</f>
        <v/>
      </c>
      <c r="O623" s="53" t="str">
        <f>IF(B623="","",VLOOKUP(B623,'Product Master'!$B:$G,5,FALSE))</f>
        <v/>
      </c>
      <c r="P623" s="50" t="str">
        <f>IF(B623="","",VLOOKUP(B623,'Product Master'!$B:$I,7,FALSE))</f>
        <v/>
      </c>
      <c r="Q623" s="158"/>
      <c r="R623" s="58" t="str">
        <f t="shared" si="9"/>
        <v/>
      </c>
      <c r="S623" s="25"/>
      <c r="T623" s="25"/>
      <c r="U623" s="25"/>
      <c r="V623" s="25"/>
      <c r="W623" s="25"/>
      <c r="X623" s="25"/>
    </row>
    <row r="624" spans="1:24" x14ac:dyDescent="0.25">
      <c r="A624" s="31" t="s">
        <v>1184</v>
      </c>
      <c r="B624" s="32"/>
      <c r="C624" s="50" t="str">
        <f>IF(B624="","",VLOOKUP(B624,'Product Master'!$B:$G,2,FALSE))</f>
        <v/>
      </c>
      <c r="D624" s="50" t="str">
        <f>IF(B624="","",VLOOKUP(B624,'Product Master'!$B:$G,3,FALSE))</f>
        <v/>
      </c>
      <c r="E624" s="50"/>
      <c r="F624" s="50">
        <f>SUMIF('Stock Purchase'!$D:$D,B624,'Stock Purchase'!$F:$F)</f>
        <v>0</v>
      </c>
      <c r="G624" s="50">
        <f>SUMIFS('Stock Adjustment'!$E:$E,'Stock Adjustment'!$B:$B,$A624,'Stock Adjustment'!$D:$D,"Customer Returned")</f>
        <v>0</v>
      </c>
      <c r="H624" s="50">
        <f>SUMIF('Daily Sales Entry'!$D:$D,B624,'Daily Sales Entry'!$G:$G)</f>
        <v>0</v>
      </c>
      <c r="I624" s="50">
        <f>SUMIFS('Stock Adjustment'!$E:$E,'Stock Adjustment'!$B:$B,$A624,'Stock Adjustment'!$D:$D,"Staff Consumption")</f>
        <v>0</v>
      </c>
      <c r="J624" s="50">
        <f>SUMIFS('Stock Adjustment'!$E:$E,'Stock Adjustment'!$B:$B,$A624,'Stock Adjustment'!$D:$D,"Damaged")</f>
        <v>0</v>
      </c>
      <c r="K624" s="50">
        <f>SUMIFS('Stock Adjustment'!$E:$E,'Stock Adjustment'!$B:$B,$A624,'Stock Adjustment'!$D:$D,"Expired")</f>
        <v>0</v>
      </c>
      <c r="L624" s="50">
        <f>SUMIFS('Stock Adjustment'!$E:$E,'Stock Adjustment'!$B:$B,$A624,'Stock Adjustment'!$D:$D,"Supplier Returned")</f>
        <v>0</v>
      </c>
      <c r="M6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4" s="53" t="str">
        <f>IF(B624="","",VLOOKUP(B624,'Product Master'!$B:$G,4,FALSE))</f>
        <v/>
      </c>
      <c r="O624" s="53" t="str">
        <f>IF(B624="","",VLOOKUP(B624,'Product Master'!$B:$G,5,FALSE))</f>
        <v/>
      </c>
      <c r="P624" s="50" t="str">
        <f>IF(B624="","",VLOOKUP(B624,'Product Master'!$B:$I,7,FALSE))</f>
        <v/>
      </c>
      <c r="Q624" s="158"/>
      <c r="R624" s="58" t="str">
        <f t="shared" si="9"/>
        <v/>
      </c>
      <c r="S624" s="25"/>
      <c r="T624" s="25"/>
      <c r="U624" s="25"/>
      <c r="V624" s="25"/>
      <c r="W624" s="25"/>
      <c r="X624" s="25"/>
    </row>
    <row r="625" spans="1:24" x14ac:dyDescent="0.25">
      <c r="A625" s="31" t="s">
        <v>1185</v>
      </c>
      <c r="B625" s="32"/>
      <c r="C625" s="50" t="str">
        <f>IF(B625="","",VLOOKUP(B625,'Product Master'!$B:$G,2,FALSE))</f>
        <v/>
      </c>
      <c r="D625" s="50" t="str">
        <f>IF(B625="","",VLOOKUP(B625,'Product Master'!$B:$G,3,FALSE))</f>
        <v/>
      </c>
      <c r="E625" s="50"/>
      <c r="F625" s="50">
        <f>SUMIF('Stock Purchase'!$D:$D,B625,'Stock Purchase'!$F:$F)</f>
        <v>0</v>
      </c>
      <c r="G625" s="50">
        <f>SUMIFS('Stock Adjustment'!$E:$E,'Stock Adjustment'!$B:$B,$A625,'Stock Adjustment'!$D:$D,"Customer Returned")</f>
        <v>0</v>
      </c>
      <c r="H625" s="50">
        <f>SUMIF('Daily Sales Entry'!$D:$D,B625,'Daily Sales Entry'!$G:$G)</f>
        <v>0</v>
      </c>
      <c r="I625" s="50">
        <f>SUMIFS('Stock Adjustment'!$E:$E,'Stock Adjustment'!$B:$B,$A625,'Stock Adjustment'!$D:$D,"Staff Consumption")</f>
        <v>0</v>
      </c>
      <c r="J625" s="50">
        <f>SUMIFS('Stock Adjustment'!$E:$E,'Stock Adjustment'!$B:$B,$A625,'Stock Adjustment'!$D:$D,"Damaged")</f>
        <v>0</v>
      </c>
      <c r="K625" s="50">
        <f>SUMIFS('Stock Adjustment'!$E:$E,'Stock Adjustment'!$B:$B,$A625,'Stock Adjustment'!$D:$D,"Expired")</f>
        <v>0</v>
      </c>
      <c r="L625" s="50">
        <f>SUMIFS('Stock Adjustment'!$E:$E,'Stock Adjustment'!$B:$B,$A625,'Stock Adjustment'!$D:$D,"Supplier Returned")</f>
        <v>0</v>
      </c>
      <c r="M6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5" s="53" t="str">
        <f>IF(B625="","",VLOOKUP(B625,'Product Master'!$B:$G,4,FALSE))</f>
        <v/>
      </c>
      <c r="O625" s="53" t="str">
        <f>IF(B625="","",VLOOKUP(B625,'Product Master'!$B:$G,5,FALSE))</f>
        <v/>
      </c>
      <c r="P625" s="50" t="str">
        <f>IF(B625="","",VLOOKUP(B625,'Product Master'!$B:$I,7,FALSE))</f>
        <v/>
      </c>
      <c r="Q625" s="158"/>
      <c r="R625" s="58" t="str">
        <f t="shared" si="9"/>
        <v/>
      </c>
      <c r="S625" s="25"/>
      <c r="T625" s="25"/>
      <c r="U625" s="25"/>
      <c r="V625" s="25"/>
      <c r="W625" s="25"/>
      <c r="X625" s="25"/>
    </row>
    <row r="626" spans="1:24" x14ac:dyDescent="0.25">
      <c r="A626" s="31" t="s">
        <v>1186</v>
      </c>
      <c r="B626" s="32"/>
      <c r="C626" s="50" t="str">
        <f>IF(B626="","",VLOOKUP(B626,'Product Master'!$B:$G,2,FALSE))</f>
        <v/>
      </c>
      <c r="D626" s="50" t="str">
        <f>IF(B626="","",VLOOKUP(B626,'Product Master'!$B:$G,3,FALSE))</f>
        <v/>
      </c>
      <c r="E626" s="50"/>
      <c r="F626" s="50">
        <f>SUMIF('Stock Purchase'!$D:$D,B626,'Stock Purchase'!$F:$F)</f>
        <v>0</v>
      </c>
      <c r="G626" s="50">
        <f>SUMIFS('Stock Adjustment'!$E:$E,'Stock Adjustment'!$B:$B,$A626,'Stock Adjustment'!$D:$D,"Customer Returned")</f>
        <v>0</v>
      </c>
      <c r="H626" s="50">
        <f>SUMIF('Daily Sales Entry'!$D:$D,B626,'Daily Sales Entry'!$G:$G)</f>
        <v>0</v>
      </c>
      <c r="I626" s="50">
        <f>SUMIFS('Stock Adjustment'!$E:$E,'Stock Adjustment'!$B:$B,$A626,'Stock Adjustment'!$D:$D,"Staff Consumption")</f>
        <v>0</v>
      </c>
      <c r="J626" s="50">
        <f>SUMIFS('Stock Adjustment'!$E:$E,'Stock Adjustment'!$B:$B,$A626,'Stock Adjustment'!$D:$D,"Damaged")</f>
        <v>0</v>
      </c>
      <c r="K626" s="50">
        <f>SUMIFS('Stock Adjustment'!$E:$E,'Stock Adjustment'!$B:$B,$A626,'Stock Adjustment'!$D:$D,"Expired")</f>
        <v>0</v>
      </c>
      <c r="L626" s="50">
        <f>SUMIFS('Stock Adjustment'!$E:$E,'Stock Adjustment'!$B:$B,$A626,'Stock Adjustment'!$D:$D,"Supplier Returned")</f>
        <v>0</v>
      </c>
      <c r="M6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6" s="53" t="str">
        <f>IF(B626="","",VLOOKUP(B626,'Product Master'!$B:$G,4,FALSE))</f>
        <v/>
      </c>
      <c r="O626" s="53" t="str">
        <f>IF(B626="","",VLOOKUP(B626,'Product Master'!$B:$G,5,FALSE))</f>
        <v/>
      </c>
      <c r="P626" s="50" t="str">
        <f>IF(B626="","",VLOOKUP(B626,'Product Master'!$B:$I,7,FALSE))</f>
        <v/>
      </c>
      <c r="Q626" s="158"/>
      <c r="R626" s="58" t="str">
        <f t="shared" si="9"/>
        <v/>
      </c>
      <c r="S626" s="25"/>
      <c r="T626" s="25"/>
      <c r="U626" s="25"/>
      <c r="V626" s="25"/>
      <c r="W626" s="25"/>
      <c r="X626" s="25"/>
    </row>
    <row r="627" spans="1:24" x14ac:dyDescent="0.25">
      <c r="A627" s="31" t="s">
        <v>1187</v>
      </c>
      <c r="B627" s="32"/>
      <c r="C627" s="50" t="str">
        <f>IF(B627="","",VLOOKUP(B627,'Product Master'!$B:$G,2,FALSE))</f>
        <v/>
      </c>
      <c r="D627" s="50" t="str">
        <f>IF(B627="","",VLOOKUP(B627,'Product Master'!$B:$G,3,FALSE))</f>
        <v/>
      </c>
      <c r="E627" s="50"/>
      <c r="F627" s="50">
        <f>SUMIF('Stock Purchase'!$D:$D,B627,'Stock Purchase'!$F:$F)</f>
        <v>0</v>
      </c>
      <c r="G627" s="50">
        <f>SUMIFS('Stock Adjustment'!$E:$E,'Stock Adjustment'!$B:$B,$A627,'Stock Adjustment'!$D:$D,"Customer Returned")</f>
        <v>0</v>
      </c>
      <c r="H627" s="50">
        <f>SUMIF('Daily Sales Entry'!$D:$D,B627,'Daily Sales Entry'!$G:$G)</f>
        <v>0</v>
      </c>
      <c r="I627" s="50">
        <f>SUMIFS('Stock Adjustment'!$E:$E,'Stock Adjustment'!$B:$B,$A627,'Stock Adjustment'!$D:$D,"Staff Consumption")</f>
        <v>0</v>
      </c>
      <c r="J627" s="50">
        <f>SUMIFS('Stock Adjustment'!$E:$E,'Stock Adjustment'!$B:$B,$A627,'Stock Adjustment'!$D:$D,"Damaged")</f>
        <v>0</v>
      </c>
      <c r="K627" s="50">
        <f>SUMIFS('Stock Adjustment'!$E:$E,'Stock Adjustment'!$B:$B,$A627,'Stock Adjustment'!$D:$D,"Expired")</f>
        <v>0</v>
      </c>
      <c r="L627" s="50">
        <f>SUMIFS('Stock Adjustment'!$E:$E,'Stock Adjustment'!$B:$B,$A627,'Stock Adjustment'!$D:$D,"Supplier Returned")</f>
        <v>0</v>
      </c>
      <c r="M6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7" s="53" t="str">
        <f>IF(B627="","",VLOOKUP(B627,'Product Master'!$B:$G,4,FALSE))</f>
        <v/>
      </c>
      <c r="O627" s="53" t="str">
        <f>IF(B627="","",VLOOKUP(B627,'Product Master'!$B:$G,5,FALSE))</f>
        <v/>
      </c>
      <c r="P627" s="50" t="str">
        <f>IF(B627="","",VLOOKUP(B627,'Product Master'!$B:$I,7,FALSE))</f>
        <v/>
      </c>
      <c r="Q627" s="158"/>
      <c r="R627" s="58" t="str">
        <f t="shared" si="9"/>
        <v/>
      </c>
      <c r="S627" s="25"/>
      <c r="T627" s="25"/>
      <c r="U627" s="25"/>
      <c r="V627" s="25"/>
      <c r="W627" s="25"/>
      <c r="X627" s="25"/>
    </row>
    <row r="628" spans="1:24" x14ac:dyDescent="0.25">
      <c r="A628" s="31" t="s">
        <v>1188</v>
      </c>
      <c r="B628" s="32"/>
      <c r="C628" s="50" t="str">
        <f>IF(B628="","",VLOOKUP(B628,'Product Master'!$B:$G,2,FALSE))</f>
        <v/>
      </c>
      <c r="D628" s="50" t="str">
        <f>IF(B628="","",VLOOKUP(B628,'Product Master'!$B:$G,3,FALSE))</f>
        <v/>
      </c>
      <c r="E628" s="50"/>
      <c r="F628" s="50">
        <f>SUMIF('Stock Purchase'!$D:$D,B628,'Stock Purchase'!$F:$F)</f>
        <v>0</v>
      </c>
      <c r="G628" s="50">
        <f>SUMIFS('Stock Adjustment'!$E:$E,'Stock Adjustment'!$B:$B,$A628,'Stock Adjustment'!$D:$D,"Customer Returned")</f>
        <v>0</v>
      </c>
      <c r="H628" s="50">
        <f>SUMIF('Daily Sales Entry'!$D:$D,B628,'Daily Sales Entry'!$G:$G)</f>
        <v>0</v>
      </c>
      <c r="I628" s="50">
        <f>SUMIFS('Stock Adjustment'!$E:$E,'Stock Adjustment'!$B:$B,$A628,'Stock Adjustment'!$D:$D,"Staff Consumption")</f>
        <v>0</v>
      </c>
      <c r="J628" s="50">
        <f>SUMIFS('Stock Adjustment'!$E:$E,'Stock Adjustment'!$B:$B,$A628,'Stock Adjustment'!$D:$D,"Damaged")</f>
        <v>0</v>
      </c>
      <c r="K628" s="50">
        <f>SUMIFS('Stock Adjustment'!$E:$E,'Stock Adjustment'!$B:$B,$A628,'Stock Adjustment'!$D:$D,"Expired")</f>
        <v>0</v>
      </c>
      <c r="L628" s="50">
        <f>SUMIFS('Stock Adjustment'!$E:$E,'Stock Adjustment'!$B:$B,$A628,'Stock Adjustment'!$D:$D,"Supplier Returned")</f>
        <v>0</v>
      </c>
      <c r="M6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8" s="53" t="str">
        <f>IF(B628="","",VLOOKUP(B628,'Product Master'!$B:$G,4,FALSE))</f>
        <v/>
      </c>
      <c r="O628" s="53" t="str">
        <f>IF(B628="","",VLOOKUP(B628,'Product Master'!$B:$G,5,FALSE))</f>
        <v/>
      </c>
      <c r="P628" s="50" t="str">
        <f>IF(B628="","",VLOOKUP(B628,'Product Master'!$B:$I,7,FALSE))</f>
        <v/>
      </c>
      <c r="Q628" s="158"/>
      <c r="R628" s="58" t="str">
        <f t="shared" si="9"/>
        <v/>
      </c>
      <c r="S628" s="25"/>
      <c r="T628" s="25"/>
      <c r="U628" s="25"/>
      <c r="V628" s="25"/>
      <c r="W628" s="25"/>
      <c r="X628" s="25"/>
    </row>
    <row r="629" spans="1:24" x14ac:dyDescent="0.25">
      <c r="A629" s="31" t="s">
        <v>1189</v>
      </c>
      <c r="B629" s="32"/>
      <c r="C629" s="50" t="str">
        <f>IF(B629="","",VLOOKUP(B629,'Product Master'!$B:$G,2,FALSE))</f>
        <v/>
      </c>
      <c r="D629" s="50" t="str">
        <f>IF(B629="","",VLOOKUP(B629,'Product Master'!$B:$G,3,FALSE))</f>
        <v/>
      </c>
      <c r="E629" s="50"/>
      <c r="F629" s="50">
        <f>SUMIF('Stock Purchase'!$D:$D,B629,'Stock Purchase'!$F:$F)</f>
        <v>0</v>
      </c>
      <c r="G629" s="50">
        <f>SUMIFS('Stock Adjustment'!$E:$E,'Stock Adjustment'!$B:$B,$A629,'Stock Adjustment'!$D:$D,"Customer Returned")</f>
        <v>0</v>
      </c>
      <c r="H629" s="50">
        <f>SUMIF('Daily Sales Entry'!$D:$D,B629,'Daily Sales Entry'!$G:$G)</f>
        <v>0</v>
      </c>
      <c r="I629" s="50">
        <f>SUMIFS('Stock Adjustment'!$E:$E,'Stock Adjustment'!$B:$B,$A629,'Stock Adjustment'!$D:$D,"Staff Consumption")</f>
        <v>0</v>
      </c>
      <c r="J629" s="50">
        <f>SUMIFS('Stock Adjustment'!$E:$E,'Stock Adjustment'!$B:$B,$A629,'Stock Adjustment'!$D:$D,"Damaged")</f>
        <v>0</v>
      </c>
      <c r="K629" s="50">
        <f>SUMIFS('Stock Adjustment'!$E:$E,'Stock Adjustment'!$B:$B,$A629,'Stock Adjustment'!$D:$D,"Expired")</f>
        <v>0</v>
      </c>
      <c r="L629" s="50">
        <f>SUMIFS('Stock Adjustment'!$E:$E,'Stock Adjustment'!$B:$B,$A629,'Stock Adjustment'!$D:$D,"Supplier Returned")</f>
        <v>0</v>
      </c>
      <c r="M6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29" s="53" t="str">
        <f>IF(B629="","",VLOOKUP(B629,'Product Master'!$B:$G,4,FALSE))</f>
        <v/>
      </c>
      <c r="O629" s="53" t="str">
        <f>IF(B629="","",VLOOKUP(B629,'Product Master'!$B:$G,5,FALSE))</f>
        <v/>
      </c>
      <c r="P629" s="50" t="str">
        <f>IF(B629="","",VLOOKUP(B629,'Product Master'!$B:$I,7,FALSE))</f>
        <v/>
      </c>
      <c r="Q629" s="158"/>
      <c r="R629" s="58" t="str">
        <f t="shared" si="9"/>
        <v/>
      </c>
      <c r="S629" s="25"/>
      <c r="T629" s="25"/>
      <c r="U629" s="25"/>
      <c r="V629" s="25"/>
      <c r="W629" s="25"/>
      <c r="X629" s="25"/>
    </row>
    <row r="630" spans="1:24" x14ac:dyDescent="0.25">
      <c r="A630" s="31" t="s">
        <v>1190</v>
      </c>
      <c r="B630" s="32"/>
      <c r="C630" s="50" t="str">
        <f>IF(B630="","",VLOOKUP(B630,'Product Master'!$B:$G,2,FALSE))</f>
        <v/>
      </c>
      <c r="D630" s="50" t="str">
        <f>IF(B630="","",VLOOKUP(B630,'Product Master'!$B:$G,3,FALSE))</f>
        <v/>
      </c>
      <c r="E630" s="50"/>
      <c r="F630" s="50">
        <f>SUMIF('Stock Purchase'!$D:$D,B630,'Stock Purchase'!$F:$F)</f>
        <v>0</v>
      </c>
      <c r="G630" s="50">
        <f>SUMIFS('Stock Adjustment'!$E:$E,'Stock Adjustment'!$B:$B,$A630,'Stock Adjustment'!$D:$D,"Customer Returned")</f>
        <v>0</v>
      </c>
      <c r="H630" s="50">
        <f>SUMIF('Daily Sales Entry'!$D:$D,B630,'Daily Sales Entry'!$G:$G)</f>
        <v>0</v>
      </c>
      <c r="I630" s="50">
        <f>SUMIFS('Stock Adjustment'!$E:$E,'Stock Adjustment'!$B:$B,$A630,'Stock Adjustment'!$D:$D,"Staff Consumption")</f>
        <v>0</v>
      </c>
      <c r="J630" s="50">
        <f>SUMIFS('Stock Adjustment'!$E:$E,'Stock Adjustment'!$B:$B,$A630,'Stock Adjustment'!$D:$D,"Damaged")</f>
        <v>0</v>
      </c>
      <c r="K630" s="50">
        <f>SUMIFS('Stock Adjustment'!$E:$E,'Stock Adjustment'!$B:$B,$A630,'Stock Adjustment'!$D:$D,"Expired")</f>
        <v>0</v>
      </c>
      <c r="L630" s="50">
        <f>SUMIFS('Stock Adjustment'!$E:$E,'Stock Adjustment'!$B:$B,$A630,'Stock Adjustment'!$D:$D,"Supplier Returned")</f>
        <v>0</v>
      </c>
      <c r="M6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0" s="53" t="str">
        <f>IF(B630="","",VLOOKUP(B630,'Product Master'!$B:$G,4,FALSE))</f>
        <v/>
      </c>
      <c r="O630" s="53" t="str">
        <f>IF(B630="","",VLOOKUP(B630,'Product Master'!$B:$G,5,FALSE))</f>
        <v/>
      </c>
      <c r="P630" s="50" t="str">
        <f>IF(B630="","",VLOOKUP(B630,'Product Master'!$B:$I,7,FALSE))</f>
        <v/>
      </c>
      <c r="Q630" s="158"/>
      <c r="R630" s="58" t="str">
        <f t="shared" si="9"/>
        <v/>
      </c>
      <c r="S630" s="25"/>
      <c r="T630" s="25"/>
      <c r="U630" s="25"/>
      <c r="V630" s="25"/>
      <c r="W630" s="25"/>
      <c r="X630" s="25"/>
    </row>
    <row r="631" spans="1:24" x14ac:dyDescent="0.25">
      <c r="A631" s="31" t="s">
        <v>1191</v>
      </c>
      <c r="B631" s="32"/>
      <c r="C631" s="50" t="str">
        <f>IF(B631="","",VLOOKUP(B631,'Product Master'!$B:$G,2,FALSE))</f>
        <v/>
      </c>
      <c r="D631" s="50" t="str">
        <f>IF(B631="","",VLOOKUP(B631,'Product Master'!$B:$G,3,FALSE))</f>
        <v/>
      </c>
      <c r="E631" s="50"/>
      <c r="F631" s="50">
        <f>SUMIF('Stock Purchase'!$D:$D,B631,'Stock Purchase'!$F:$F)</f>
        <v>0</v>
      </c>
      <c r="G631" s="50">
        <f>SUMIFS('Stock Adjustment'!$E:$E,'Stock Adjustment'!$B:$B,$A631,'Stock Adjustment'!$D:$D,"Customer Returned")</f>
        <v>0</v>
      </c>
      <c r="H631" s="50">
        <f>SUMIF('Daily Sales Entry'!$D:$D,B631,'Daily Sales Entry'!$G:$G)</f>
        <v>0</v>
      </c>
      <c r="I631" s="50">
        <f>SUMIFS('Stock Adjustment'!$E:$E,'Stock Adjustment'!$B:$B,$A631,'Stock Adjustment'!$D:$D,"Staff Consumption")</f>
        <v>0</v>
      </c>
      <c r="J631" s="50">
        <f>SUMIFS('Stock Adjustment'!$E:$E,'Stock Adjustment'!$B:$B,$A631,'Stock Adjustment'!$D:$D,"Damaged")</f>
        <v>0</v>
      </c>
      <c r="K631" s="50">
        <f>SUMIFS('Stock Adjustment'!$E:$E,'Stock Adjustment'!$B:$B,$A631,'Stock Adjustment'!$D:$D,"Expired")</f>
        <v>0</v>
      </c>
      <c r="L631" s="50">
        <f>SUMIFS('Stock Adjustment'!$E:$E,'Stock Adjustment'!$B:$B,$A631,'Stock Adjustment'!$D:$D,"Supplier Returned")</f>
        <v>0</v>
      </c>
      <c r="M6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1" s="53" t="str">
        <f>IF(B631="","",VLOOKUP(B631,'Product Master'!$B:$G,4,FALSE))</f>
        <v/>
      </c>
      <c r="O631" s="53" t="str">
        <f>IF(B631="","",VLOOKUP(B631,'Product Master'!$B:$G,5,FALSE))</f>
        <v/>
      </c>
      <c r="P631" s="50" t="str">
        <f>IF(B631="","",VLOOKUP(B631,'Product Master'!$B:$I,7,FALSE))</f>
        <v/>
      </c>
      <c r="Q631" s="158"/>
      <c r="R631" s="58" t="str">
        <f t="shared" si="9"/>
        <v/>
      </c>
      <c r="S631" s="25"/>
      <c r="T631" s="25"/>
      <c r="U631" s="25"/>
      <c r="V631" s="25"/>
      <c r="W631" s="25"/>
      <c r="X631" s="25"/>
    </row>
    <row r="632" spans="1:24" x14ac:dyDescent="0.25">
      <c r="A632" s="31" t="s">
        <v>1192</v>
      </c>
      <c r="B632" s="32"/>
      <c r="C632" s="50" t="str">
        <f>IF(B632="","",VLOOKUP(B632,'Product Master'!$B:$G,2,FALSE))</f>
        <v/>
      </c>
      <c r="D632" s="50" t="str">
        <f>IF(B632="","",VLOOKUP(B632,'Product Master'!$B:$G,3,FALSE))</f>
        <v/>
      </c>
      <c r="E632" s="50"/>
      <c r="F632" s="50">
        <f>SUMIF('Stock Purchase'!$D:$D,B632,'Stock Purchase'!$F:$F)</f>
        <v>0</v>
      </c>
      <c r="G632" s="50">
        <f>SUMIFS('Stock Adjustment'!$E:$E,'Stock Adjustment'!$B:$B,$A632,'Stock Adjustment'!$D:$D,"Customer Returned")</f>
        <v>0</v>
      </c>
      <c r="H632" s="50">
        <f>SUMIF('Daily Sales Entry'!$D:$D,B632,'Daily Sales Entry'!$G:$G)</f>
        <v>0</v>
      </c>
      <c r="I632" s="50">
        <f>SUMIFS('Stock Adjustment'!$E:$E,'Stock Adjustment'!$B:$B,$A632,'Stock Adjustment'!$D:$D,"Staff Consumption")</f>
        <v>0</v>
      </c>
      <c r="J632" s="50">
        <f>SUMIFS('Stock Adjustment'!$E:$E,'Stock Adjustment'!$B:$B,$A632,'Stock Adjustment'!$D:$D,"Damaged")</f>
        <v>0</v>
      </c>
      <c r="K632" s="50">
        <f>SUMIFS('Stock Adjustment'!$E:$E,'Stock Adjustment'!$B:$B,$A632,'Stock Adjustment'!$D:$D,"Expired")</f>
        <v>0</v>
      </c>
      <c r="L632" s="50">
        <f>SUMIFS('Stock Adjustment'!$E:$E,'Stock Adjustment'!$B:$B,$A632,'Stock Adjustment'!$D:$D,"Supplier Returned")</f>
        <v>0</v>
      </c>
      <c r="M6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2" s="53" t="str">
        <f>IF(B632="","",VLOOKUP(B632,'Product Master'!$B:$G,4,FALSE))</f>
        <v/>
      </c>
      <c r="O632" s="53" t="str">
        <f>IF(B632="","",VLOOKUP(B632,'Product Master'!$B:$G,5,FALSE))</f>
        <v/>
      </c>
      <c r="P632" s="50" t="str">
        <f>IF(B632="","",VLOOKUP(B632,'Product Master'!$B:$I,7,FALSE))</f>
        <v/>
      </c>
      <c r="Q632" s="158"/>
      <c r="R632" s="58" t="str">
        <f t="shared" si="9"/>
        <v/>
      </c>
      <c r="S632" s="25"/>
      <c r="T632" s="25"/>
      <c r="U632" s="25"/>
      <c r="V632" s="25"/>
      <c r="W632" s="25"/>
      <c r="X632" s="25"/>
    </row>
    <row r="633" spans="1:24" x14ac:dyDescent="0.25">
      <c r="A633" s="31" t="s">
        <v>1193</v>
      </c>
      <c r="B633" s="32"/>
      <c r="C633" s="50" t="str">
        <f>IF(B633="","",VLOOKUP(B633,'Product Master'!$B:$G,2,FALSE))</f>
        <v/>
      </c>
      <c r="D633" s="50" t="str">
        <f>IF(B633="","",VLOOKUP(B633,'Product Master'!$B:$G,3,FALSE))</f>
        <v/>
      </c>
      <c r="E633" s="50"/>
      <c r="F633" s="50">
        <f>SUMIF('Stock Purchase'!$D:$D,B633,'Stock Purchase'!$F:$F)</f>
        <v>0</v>
      </c>
      <c r="G633" s="50">
        <f>SUMIFS('Stock Adjustment'!$E:$E,'Stock Adjustment'!$B:$B,$A633,'Stock Adjustment'!$D:$D,"Customer Returned")</f>
        <v>0</v>
      </c>
      <c r="H633" s="50">
        <f>SUMIF('Daily Sales Entry'!$D:$D,B633,'Daily Sales Entry'!$G:$G)</f>
        <v>0</v>
      </c>
      <c r="I633" s="50">
        <f>SUMIFS('Stock Adjustment'!$E:$E,'Stock Adjustment'!$B:$B,$A633,'Stock Adjustment'!$D:$D,"Staff Consumption")</f>
        <v>0</v>
      </c>
      <c r="J633" s="50">
        <f>SUMIFS('Stock Adjustment'!$E:$E,'Stock Adjustment'!$B:$B,$A633,'Stock Adjustment'!$D:$D,"Damaged")</f>
        <v>0</v>
      </c>
      <c r="K633" s="50">
        <f>SUMIFS('Stock Adjustment'!$E:$E,'Stock Adjustment'!$B:$B,$A633,'Stock Adjustment'!$D:$D,"Expired")</f>
        <v>0</v>
      </c>
      <c r="L633" s="50">
        <f>SUMIFS('Stock Adjustment'!$E:$E,'Stock Adjustment'!$B:$B,$A633,'Stock Adjustment'!$D:$D,"Supplier Returned")</f>
        <v>0</v>
      </c>
      <c r="M6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3" s="53" t="str">
        <f>IF(B633="","",VLOOKUP(B633,'Product Master'!$B:$G,4,FALSE))</f>
        <v/>
      </c>
      <c r="O633" s="53" t="str">
        <f>IF(B633="","",VLOOKUP(B633,'Product Master'!$B:$G,5,FALSE))</f>
        <v/>
      </c>
      <c r="P633" s="50" t="str">
        <f>IF(B633="","",VLOOKUP(B633,'Product Master'!$B:$I,7,FALSE))</f>
        <v/>
      </c>
      <c r="Q633" s="158"/>
      <c r="R633" s="58" t="str">
        <f t="shared" si="9"/>
        <v/>
      </c>
      <c r="S633" s="25"/>
      <c r="T633" s="25"/>
      <c r="U633" s="25"/>
      <c r="V633" s="25"/>
      <c r="W633" s="25"/>
      <c r="X633" s="25"/>
    </row>
    <row r="634" spans="1:24" x14ac:dyDescent="0.25">
      <c r="A634" s="31" t="s">
        <v>1194</v>
      </c>
      <c r="B634" s="32"/>
      <c r="C634" s="50" t="str">
        <f>IF(B634="","",VLOOKUP(B634,'Product Master'!$B:$G,2,FALSE))</f>
        <v/>
      </c>
      <c r="D634" s="50" t="str">
        <f>IF(B634="","",VLOOKUP(B634,'Product Master'!$B:$G,3,FALSE))</f>
        <v/>
      </c>
      <c r="E634" s="50"/>
      <c r="F634" s="50">
        <f>SUMIF('Stock Purchase'!$D:$D,B634,'Stock Purchase'!$F:$F)</f>
        <v>0</v>
      </c>
      <c r="G634" s="50">
        <f>SUMIFS('Stock Adjustment'!$E:$E,'Stock Adjustment'!$B:$B,$A634,'Stock Adjustment'!$D:$D,"Customer Returned")</f>
        <v>0</v>
      </c>
      <c r="H634" s="50">
        <f>SUMIF('Daily Sales Entry'!$D:$D,B634,'Daily Sales Entry'!$G:$G)</f>
        <v>0</v>
      </c>
      <c r="I634" s="50">
        <f>SUMIFS('Stock Adjustment'!$E:$E,'Stock Adjustment'!$B:$B,$A634,'Stock Adjustment'!$D:$D,"Staff Consumption")</f>
        <v>0</v>
      </c>
      <c r="J634" s="50">
        <f>SUMIFS('Stock Adjustment'!$E:$E,'Stock Adjustment'!$B:$B,$A634,'Stock Adjustment'!$D:$D,"Damaged")</f>
        <v>0</v>
      </c>
      <c r="K634" s="50">
        <f>SUMIFS('Stock Adjustment'!$E:$E,'Stock Adjustment'!$B:$B,$A634,'Stock Adjustment'!$D:$D,"Expired")</f>
        <v>0</v>
      </c>
      <c r="L634" s="50">
        <f>SUMIFS('Stock Adjustment'!$E:$E,'Stock Adjustment'!$B:$B,$A634,'Stock Adjustment'!$D:$D,"Supplier Returned")</f>
        <v>0</v>
      </c>
      <c r="M6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4" s="53" t="str">
        <f>IF(B634="","",VLOOKUP(B634,'Product Master'!$B:$G,4,FALSE))</f>
        <v/>
      </c>
      <c r="O634" s="53" t="str">
        <f>IF(B634="","",VLOOKUP(B634,'Product Master'!$B:$G,5,FALSE))</f>
        <v/>
      </c>
      <c r="P634" s="50" t="str">
        <f>IF(B634="","",VLOOKUP(B634,'Product Master'!$B:$I,7,FALSE))</f>
        <v/>
      </c>
      <c r="Q634" s="158"/>
      <c r="R634" s="58" t="str">
        <f t="shared" si="9"/>
        <v/>
      </c>
      <c r="S634" s="25"/>
      <c r="T634" s="25"/>
      <c r="U634" s="25"/>
      <c r="V634" s="25"/>
      <c r="W634" s="25"/>
      <c r="X634" s="25"/>
    </row>
    <row r="635" spans="1:24" x14ac:dyDescent="0.25">
      <c r="A635" s="31" t="s">
        <v>1195</v>
      </c>
      <c r="B635" s="32"/>
      <c r="C635" s="50" t="str">
        <f>IF(B635="","",VLOOKUP(B635,'Product Master'!$B:$G,2,FALSE))</f>
        <v/>
      </c>
      <c r="D635" s="50" t="str">
        <f>IF(B635="","",VLOOKUP(B635,'Product Master'!$B:$G,3,FALSE))</f>
        <v/>
      </c>
      <c r="E635" s="50"/>
      <c r="F635" s="50">
        <f>SUMIF('Stock Purchase'!$D:$D,B635,'Stock Purchase'!$F:$F)</f>
        <v>0</v>
      </c>
      <c r="G635" s="50">
        <f>SUMIFS('Stock Adjustment'!$E:$E,'Stock Adjustment'!$B:$B,$A635,'Stock Adjustment'!$D:$D,"Customer Returned")</f>
        <v>0</v>
      </c>
      <c r="H635" s="50">
        <f>SUMIF('Daily Sales Entry'!$D:$D,B635,'Daily Sales Entry'!$G:$G)</f>
        <v>0</v>
      </c>
      <c r="I635" s="50">
        <f>SUMIFS('Stock Adjustment'!$E:$E,'Stock Adjustment'!$B:$B,$A635,'Stock Adjustment'!$D:$D,"Staff Consumption")</f>
        <v>0</v>
      </c>
      <c r="J635" s="50">
        <f>SUMIFS('Stock Adjustment'!$E:$E,'Stock Adjustment'!$B:$B,$A635,'Stock Adjustment'!$D:$D,"Damaged")</f>
        <v>0</v>
      </c>
      <c r="K635" s="50">
        <f>SUMIFS('Stock Adjustment'!$E:$E,'Stock Adjustment'!$B:$B,$A635,'Stock Adjustment'!$D:$D,"Expired")</f>
        <v>0</v>
      </c>
      <c r="L635" s="50">
        <f>SUMIFS('Stock Adjustment'!$E:$E,'Stock Adjustment'!$B:$B,$A635,'Stock Adjustment'!$D:$D,"Supplier Returned")</f>
        <v>0</v>
      </c>
      <c r="M6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5" s="53" t="str">
        <f>IF(B635="","",VLOOKUP(B635,'Product Master'!$B:$G,4,FALSE))</f>
        <v/>
      </c>
      <c r="O635" s="53" t="str">
        <f>IF(B635="","",VLOOKUP(B635,'Product Master'!$B:$G,5,FALSE))</f>
        <v/>
      </c>
      <c r="P635" s="50" t="str">
        <f>IF(B635="","",VLOOKUP(B635,'Product Master'!$B:$I,7,FALSE))</f>
        <v/>
      </c>
      <c r="Q635" s="158"/>
      <c r="R635" s="58" t="str">
        <f t="shared" si="9"/>
        <v/>
      </c>
      <c r="S635" s="25"/>
      <c r="T635" s="25"/>
      <c r="U635" s="25"/>
      <c r="V635" s="25"/>
      <c r="W635" s="25"/>
      <c r="X635" s="25"/>
    </row>
    <row r="636" spans="1:24" x14ac:dyDescent="0.25">
      <c r="A636" s="31" t="s">
        <v>1196</v>
      </c>
      <c r="B636" s="32"/>
      <c r="C636" s="50" t="str">
        <f>IF(B636="","",VLOOKUP(B636,'Product Master'!$B:$G,2,FALSE))</f>
        <v/>
      </c>
      <c r="D636" s="50" t="str">
        <f>IF(B636="","",VLOOKUP(B636,'Product Master'!$B:$G,3,FALSE))</f>
        <v/>
      </c>
      <c r="E636" s="50"/>
      <c r="F636" s="50">
        <f>SUMIF('Stock Purchase'!$D:$D,B636,'Stock Purchase'!$F:$F)</f>
        <v>0</v>
      </c>
      <c r="G636" s="50">
        <f>SUMIFS('Stock Adjustment'!$E:$E,'Stock Adjustment'!$B:$B,$A636,'Stock Adjustment'!$D:$D,"Customer Returned")</f>
        <v>0</v>
      </c>
      <c r="H636" s="50">
        <f>SUMIF('Daily Sales Entry'!$D:$D,B636,'Daily Sales Entry'!$G:$G)</f>
        <v>0</v>
      </c>
      <c r="I636" s="50">
        <f>SUMIFS('Stock Adjustment'!$E:$E,'Stock Adjustment'!$B:$B,$A636,'Stock Adjustment'!$D:$D,"Staff Consumption")</f>
        <v>0</v>
      </c>
      <c r="J636" s="50">
        <f>SUMIFS('Stock Adjustment'!$E:$E,'Stock Adjustment'!$B:$B,$A636,'Stock Adjustment'!$D:$D,"Damaged")</f>
        <v>0</v>
      </c>
      <c r="K636" s="50">
        <f>SUMIFS('Stock Adjustment'!$E:$E,'Stock Adjustment'!$B:$B,$A636,'Stock Adjustment'!$D:$D,"Expired")</f>
        <v>0</v>
      </c>
      <c r="L636" s="50">
        <f>SUMIFS('Stock Adjustment'!$E:$E,'Stock Adjustment'!$B:$B,$A636,'Stock Adjustment'!$D:$D,"Supplier Returned")</f>
        <v>0</v>
      </c>
      <c r="M6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6" s="53" t="str">
        <f>IF(B636="","",VLOOKUP(B636,'Product Master'!$B:$G,4,FALSE))</f>
        <v/>
      </c>
      <c r="O636" s="53" t="str">
        <f>IF(B636="","",VLOOKUP(B636,'Product Master'!$B:$G,5,FALSE))</f>
        <v/>
      </c>
      <c r="P636" s="50" t="str">
        <f>IF(B636="","",VLOOKUP(B636,'Product Master'!$B:$I,7,FALSE))</f>
        <v/>
      </c>
      <c r="Q636" s="158"/>
      <c r="R636" s="58" t="str">
        <f t="shared" si="9"/>
        <v/>
      </c>
      <c r="S636" s="25"/>
      <c r="T636" s="25"/>
      <c r="U636" s="25"/>
      <c r="V636" s="25"/>
      <c r="W636" s="25"/>
      <c r="X636" s="25"/>
    </row>
    <row r="637" spans="1:24" x14ac:dyDescent="0.25">
      <c r="A637" s="31" t="s">
        <v>1197</v>
      </c>
      <c r="B637" s="32"/>
      <c r="C637" s="50" t="str">
        <f>IF(B637="","",VLOOKUP(B637,'Product Master'!$B:$G,2,FALSE))</f>
        <v/>
      </c>
      <c r="D637" s="50" t="str">
        <f>IF(B637="","",VLOOKUP(B637,'Product Master'!$B:$G,3,FALSE))</f>
        <v/>
      </c>
      <c r="E637" s="50"/>
      <c r="F637" s="50">
        <f>SUMIF('Stock Purchase'!$D:$D,B637,'Stock Purchase'!$F:$F)</f>
        <v>0</v>
      </c>
      <c r="G637" s="50">
        <f>SUMIFS('Stock Adjustment'!$E:$E,'Stock Adjustment'!$B:$B,$A637,'Stock Adjustment'!$D:$D,"Customer Returned")</f>
        <v>0</v>
      </c>
      <c r="H637" s="50">
        <f>SUMIF('Daily Sales Entry'!$D:$D,B637,'Daily Sales Entry'!$G:$G)</f>
        <v>0</v>
      </c>
      <c r="I637" s="50">
        <f>SUMIFS('Stock Adjustment'!$E:$E,'Stock Adjustment'!$B:$B,$A637,'Stock Adjustment'!$D:$D,"Staff Consumption")</f>
        <v>0</v>
      </c>
      <c r="J637" s="50">
        <f>SUMIFS('Stock Adjustment'!$E:$E,'Stock Adjustment'!$B:$B,$A637,'Stock Adjustment'!$D:$D,"Damaged")</f>
        <v>0</v>
      </c>
      <c r="K637" s="50">
        <f>SUMIFS('Stock Adjustment'!$E:$E,'Stock Adjustment'!$B:$B,$A637,'Stock Adjustment'!$D:$D,"Expired")</f>
        <v>0</v>
      </c>
      <c r="L637" s="50">
        <f>SUMIFS('Stock Adjustment'!$E:$E,'Stock Adjustment'!$B:$B,$A637,'Stock Adjustment'!$D:$D,"Supplier Returned")</f>
        <v>0</v>
      </c>
      <c r="M6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7" s="53" t="str">
        <f>IF(B637="","",VLOOKUP(B637,'Product Master'!$B:$G,4,FALSE))</f>
        <v/>
      </c>
      <c r="O637" s="53" t="str">
        <f>IF(B637="","",VLOOKUP(B637,'Product Master'!$B:$G,5,FALSE))</f>
        <v/>
      </c>
      <c r="P637" s="50" t="str">
        <f>IF(B637="","",VLOOKUP(B637,'Product Master'!$B:$I,7,FALSE))</f>
        <v/>
      </c>
      <c r="Q637" s="158"/>
      <c r="R637" s="58" t="str">
        <f t="shared" si="9"/>
        <v/>
      </c>
      <c r="S637" s="25"/>
      <c r="T637" s="25"/>
      <c r="U637" s="25"/>
      <c r="V637" s="25"/>
      <c r="W637" s="25"/>
      <c r="X637" s="25"/>
    </row>
    <row r="638" spans="1:24" x14ac:dyDescent="0.25">
      <c r="A638" s="31" t="s">
        <v>1198</v>
      </c>
      <c r="B638" s="32"/>
      <c r="C638" s="50" t="str">
        <f>IF(B638="","",VLOOKUP(B638,'Product Master'!$B:$G,2,FALSE))</f>
        <v/>
      </c>
      <c r="D638" s="50" t="str">
        <f>IF(B638="","",VLOOKUP(B638,'Product Master'!$B:$G,3,FALSE))</f>
        <v/>
      </c>
      <c r="E638" s="50"/>
      <c r="F638" s="50">
        <f>SUMIF('Stock Purchase'!$D:$D,B638,'Stock Purchase'!$F:$F)</f>
        <v>0</v>
      </c>
      <c r="G638" s="50">
        <f>SUMIFS('Stock Adjustment'!$E:$E,'Stock Adjustment'!$B:$B,$A638,'Stock Adjustment'!$D:$D,"Customer Returned")</f>
        <v>0</v>
      </c>
      <c r="H638" s="50">
        <f>SUMIF('Daily Sales Entry'!$D:$D,B638,'Daily Sales Entry'!$G:$G)</f>
        <v>0</v>
      </c>
      <c r="I638" s="50">
        <f>SUMIFS('Stock Adjustment'!$E:$E,'Stock Adjustment'!$B:$B,$A638,'Stock Adjustment'!$D:$D,"Staff Consumption")</f>
        <v>0</v>
      </c>
      <c r="J638" s="50">
        <f>SUMIFS('Stock Adjustment'!$E:$E,'Stock Adjustment'!$B:$B,$A638,'Stock Adjustment'!$D:$D,"Damaged")</f>
        <v>0</v>
      </c>
      <c r="K638" s="50">
        <f>SUMIFS('Stock Adjustment'!$E:$E,'Stock Adjustment'!$B:$B,$A638,'Stock Adjustment'!$D:$D,"Expired")</f>
        <v>0</v>
      </c>
      <c r="L638" s="50">
        <f>SUMIFS('Stock Adjustment'!$E:$E,'Stock Adjustment'!$B:$B,$A638,'Stock Adjustment'!$D:$D,"Supplier Returned")</f>
        <v>0</v>
      </c>
      <c r="M6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8" s="53" t="str">
        <f>IF(B638="","",VLOOKUP(B638,'Product Master'!$B:$G,4,FALSE))</f>
        <v/>
      </c>
      <c r="O638" s="53" t="str">
        <f>IF(B638="","",VLOOKUP(B638,'Product Master'!$B:$G,5,FALSE))</f>
        <v/>
      </c>
      <c r="P638" s="50" t="str">
        <f>IF(B638="","",VLOOKUP(B638,'Product Master'!$B:$I,7,FALSE))</f>
        <v/>
      </c>
      <c r="Q638" s="158"/>
      <c r="R638" s="58" t="str">
        <f t="shared" si="9"/>
        <v/>
      </c>
      <c r="S638" s="25"/>
      <c r="T638" s="25"/>
      <c r="U638" s="25"/>
      <c r="V638" s="25"/>
      <c r="W638" s="25"/>
      <c r="X638" s="25"/>
    </row>
    <row r="639" spans="1:24" x14ac:dyDescent="0.25">
      <c r="A639" s="31" t="s">
        <v>1199</v>
      </c>
      <c r="B639" s="32"/>
      <c r="C639" s="50" t="str">
        <f>IF(B639="","",VLOOKUP(B639,'Product Master'!$B:$G,2,FALSE))</f>
        <v/>
      </c>
      <c r="D639" s="50" t="str">
        <f>IF(B639="","",VLOOKUP(B639,'Product Master'!$B:$G,3,FALSE))</f>
        <v/>
      </c>
      <c r="E639" s="50"/>
      <c r="F639" s="50">
        <f>SUMIF('Stock Purchase'!$D:$D,B639,'Stock Purchase'!$F:$F)</f>
        <v>0</v>
      </c>
      <c r="G639" s="50">
        <f>SUMIFS('Stock Adjustment'!$E:$E,'Stock Adjustment'!$B:$B,$A639,'Stock Adjustment'!$D:$D,"Customer Returned")</f>
        <v>0</v>
      </c>
      <c r="H639" s="50">
        <f>SUMIF('Daily Sales Entry'!$D:$D,B639,'Daily Sales Entry'!$G:$G)</f>
        <v>0</v>
      </c>
      <c r="I639" s="50">
        <f>SUMIFS('Stock Adjustment'!$E:$E,'Stock Adjustment'!$B:$B,$A639,'Stock Adjustment'!$D:$D,"Staff Consumption")</f>
        <v>0</v>
      </c>
      <c r="J639" s="50">
        <f>SUMIFS('Stock Adjustment'!$E:$E,'Stock Adjustment'!$B:$B,$A639,'Stock Adjustment'!$D:$D,"Damaged")</f>
        <v>0</v>
      </c>
      <c r="K639" s="50">
        <f>SUMIFS('Stock Adjustment'!$E:$E,'Stock Adjustment'!$B:$B,$A639,'Stock Adjustment'!$D:$D,"Expired")</f>
        <v>0</v>
      </c>
      <c r="L639" s="50">
        <f>SUMIFS('Stock Adjustment'!$E:$E,'Stock Adjustment'!$B:$B,$A639,'Stock Adjustment'!$D:$D,"Supplier Returned")</f>
        <v>0</v>
      </c>
      <c r="M6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39" s="53" t="str">
        <f>IF(B639="","",VLOOKUP(B639,'Product Master'!$B:$G,4,FALSE))</f>
        <v/>
      </c>
      <c r="O639" s="53" t="str">
        <f>IF(B639="","",VLOOKUP(B639,'Product Master'!$B:$G,5,FALSE))</f>
        <v/>
      </c>
      <c r="P639" s="50" t="str">
        <f>IF(B639="","",VLOOKUP(B639,'Product Master'!$B:$I,7,FALSE))</f>
        <v/>
      </c>
      <c r="Q639" s="158"/>
      <c r="R639" s="58" t="str">
        <f t="shared" si="9"/>
        <v/>
      </c>
      <c r="S639" s="25"/>
      <c r="T639" s="25"/>
      <c r="U639" s="25"/>
      <c r="V639" s="25"/>
      <c r="W639" s="25"/>
      <c r="X639" s="25"/>
    </row>
    <row r="640" spans="1:24" x14ac:dyDescent="0.25">
      <c r="A640" s="31" t="s">
        <v>1200</v>
      </c>
      <c r="B640" s="32"/>
      <c r="C640" s="50" t="str">
        <f>IF(B640="","",VLOOKUP(B640,'Product Master'!$B:$G,2,FALSE))</f>
        <v/>
      </c>
      <c r="D640" s="50" t="str">
        <f>IF(B640="","",VLOOKUP(B640,'Product Master'!$B:$G,3,FALSE))</f>
        <v/>
      </c>
      <c r="E640" s="50"/>
      <c r="F640" s="50">
        <f>SUMIF('Stock Purchase'!$D:$D,B640,'Stock Purchase'!$F:$F)</f>
        <v>0</v>
      </c>
      <c r="G640" s="50">
        <f>SUMIFS('Stock Adjustment'!$E:$E,'Stock Adjustment'!$B:$B,$A640,'Stock Adjustment'!$D:$D,"Customer Returned")</f>
        <v>0</v>
      </c>
      <c r="H640" s="50">
        <f>SUMIF('Daily Sales Entry'!$D:$D,B640,'Daily Sales Entry'!$G:$G)</f>
        <v>0</v>
      </c>
      <c r="I640" s="50">
        <f>SUMIFS('Stock Adjustment'!$E:$E,'Stock Adjustment'!$B:$B,$A640,'Stock Adjustment'!$D:$D,"Staff Consumption")</f>
        <v>0</v>
      </c>
      <c r="J640" s="50">
        <f>SUMIFS('Stock Adjustment'!$E:$E,'Stock Adjustment'!$B:$B,$A640,'Stock Adjustment'!$D:$D,"Damaged")</f>
        <v>0</v>
      </c>
      <c r="K640" s="50">
        <f>SUMIFS('Stock Adjustment'!$E:$E,'Stock Adjustment'!$B:$B,$A640,'Stock Adjustment'!$D:$D,"Expired")</f>
        <v>0</v>
      </c>
      <c r="L640" s="50">
        <f>SUMIFS('Stock Adjustment'!$E:$E,'Stock Adjustment'!$B:$B,$A640,'Stock Adjustment'!$D:$D,"Supplier Returned")</f>
        <v>0</v>
      </c>
      <c r="M6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0" s="53" t="str">
        <f>IF(B640="","",VLOOKUP(B640,'Product Master'!$B:$G,4,FALSE))</f>
        <v/>
      </c>
      <c r="O640" s="53" t="str">
        <f>IF(B640="","",VLOOKUP(B640,'Product Master'!$B:$G,5,FALSE))</f>
        <v/>
      </c>
      <c r="P640" s="50" t="str">
        <f>IF(B640="","",VLOOKUP(B640,'Product Master'!$B:$I,7,FALSE))</f>
        <v/>
      </c>
      <c r="Q640" s="158"/>
      <c r="R640" s="58" t="str">
        <f t="shared" si="9"/>
        <v/>
      </c>
      <c r="S640" s="25"/>
      <c r="T640" s="25"/>
      <c r="U640" s="25"/>
      <c r="V640" s="25"/>
      <c r="W640" s="25"/>
      <c r="X640" s="25"/>
    </row>
    <row r="641" spans="1:24" x14ac:dyDescent="0.25">
      <c r="A641" s="31" t="s">
        <v>1201</v>
      </c>
      <c r="B641" s="32"/>
      <c r="C641" s="50" t="str">
        <f>IF(B641="","",VLOOKUP(B641,'Product Master'!$B:$G,2,FALSE))</f>
        <v/>
      </c>
      <c r="D641" s="50" t="str">
        <f>IF(B641="","",VLOOKUP(B641,'Product Master'!$B:$G,3,FALSE))</f>
        <v/>
      </c>
      <c r="E641" s="50"/>
      <c r="F641" s="50">
        <f>SUMIF('Stock Purchase'!$D:$D,B641,'Stock Purchase'!$F:$F)</f>
        <v>0</v>
      </c>
      <c r="G641" s="50">
        <f>SUMIFS('Stock Adjustment'!$E:$E,'Stock Adjustment'!$B:$B,$A641,'Stock Adjustment'!$D:$D,"Customer Returned")</f>
        <v>0</v>
      </c>
      <c r="H641" s="50">
        <f>SUMIF('Daily Sales Entry'!$D:$D,B641,'Daily Sales Entry'!$G:$G)</f>
        <v>0</v>
      </c>
      <c r="I641" s="50">
        <f>SUMIFS('Stock Adjustment'!$E:$E,'Stock Adjustment'!$B:$B,$A641,'Stock Adjustment'!$D:$D,"Staff Consumption")</f>
        <v>0</v>
      </c>
      <c r="J641" s="50">
        <f>SUMIFS('Stock Adjustment'!$E:$E,'Stock Adjustment'!$B:$B,$A641,'Stock Adjustment'!$D:$D,"Damaged")</f>
        <v>0</v>
      </c>
      <c r="K641" s="50">
        <f>SUMIFS('Stock Adjustment'!$E:$E,'Stock Adjustment'!$B:$B,$A641,'Stock Adjustment'!$D:$D,"Expired")</f>
        <v>0</v>
      </c>
      <c r="L641" s="50">
        <f>SUMIFS('Stock Adjustment'!$E:$E,'Stock Adjustment'!$B:$B,$A641,'Stock Adjustment'!$D:$D,"Supplier Returned")</f>
        <v>0</v>
      </c>
      <c r="M6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1" s="53" t="str">
        <f>IF(B641="","",VLOOKUP(B641,'Product Master'!$B:$G,4,FALSE))</f>
        <v/>
      </c>
      <c r="O641" s="53" t="str">
        <f>IF(B641="","",VLOOKUP(B641,'Product Master'!$B:$G,5,FALSE))</f>
        <v/>
      </c>
      <c r="P641" s="50" t="str">
        <f>IF(B641="","",VLOOKUP(B641,'Product Master'!$B:$I,7,FALSE))</f>
        <v/>
      </c>
      <c r="Q641" s="158"/>
      <c r="R641" s="58" t="str">
        <f t="shared" si="9"/>
        <v/>
      </c>
      <c r="S641" s="25"/>
      <c r="T641" s="25"/>
      <c r="U641" s="25"/>
      <c r="V641" s="25"/>
      <c r="W641" s="25"/>
      <c r="X641" s="25"/>
    </row>
    <row r="642" spans="1:24" x14ac:dyDescent="0.25">
      <c r="A642" s="31" t="s">
        <v>1202</v>
      </c>
      <c r="B642" s="32"/>
      <c r="C642" s="50" t="str">
        <f>IF(B642="","",VLOOKUP(B642,'Product Master'!$B:$G,2,FALSE))</f>
        <v/>
      </c>
      <c r="D642" s="50" t="str">
        <f>IF(B642="","",VLOOKUP(B642,'Product Master'!$B:$G,3,FALSE))</f>
        <v/>
      </c>
      <c r="E642" s="50"/>
      <c r="F642" s="50">
        <f>SUMIF('Stock Purchase'!$D:$D,B642,'Stock Purchase'!$F:$F)</f>
        <v>0</v>
      </c>
      <c r="G642" s="50">
        <f>SUMIFS('Stock Adjustment'!$E:$E,'Stock Adjustment'!$B:$B,$A642,'Stock Adjustment'!$D:$D,"Customer Returned")</f>
        <v>0</v>
      </c>
      <c r="H642" s="50">
        <f>SUMIF('Daily Sales Entry'!$D:$D,B642,'Daily Sales Entry'!$G:$G)</f>
        <v>0</v>
      </c>
      <c r="I642" s="50">
        <f>SUMIFS('Stock Adjustment'!$E:$E,'Stock Adjustment'!$B:$B,$A642,'Stock Adjustment'!$D:$D,"Staff Consumption")</f>
        <v>0</v>
      </c>
      <c r="J642" s="50">
        <f>SUMIFS('Stock Adjustment'!$E:$E,'Stock Adjustment'!$B:$B,$A642,'Stock Adjustment'!$D:$D,"Damaged")</f>
        <v>0</v>
      </c>
      <c r="K642" s="50">
        <f>SUMIFS('Stock Adjustment'!$E:$E,'Stock Adjustment'!$B:$B,$A642,'Stock Adjustment'!$D:$D,"Expired")</f>
        <v>0</v>
      </c>
      <c r="L642" s="50">
        <f>SUMIFS('Stock Adjustment'!$E:$E,'Stock Adjustment'!$B:$B,$A642,'Stock Adjustment'!$D:$D,"Supplier Returned")</f>
        <v>0</v>
      </c>
      <c r="M6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2" s="53" t="str">
        <f>IF(B642="","",VLOOKUP(B642,'Product Master'!$B:$G,4,FALSE))</f>
        <v/>
      </c>
      <c r="O642" s="53" t="str">
        <f>IF(B642="","",VLOOKUP(B642,'Product Master'!$B:$G,5,FALSE))</f>
        <v/>
      </c>
      <c r="P642" s="50" t="str">
        <f>IF(B642="","",VLOOKUP(B642,'Product Master'!$B:$I,7,FALSE))</f>
        <v/>
      </c>
      <c r="Q642" s="158"/>
      <c r="R642" s="58" t="str">
        <f t="shared" ref="R642:R705" si="10">IF(B642="","",IF(M642=0,"Out of Stock",IF(M642&lt;=10,"Low Stock","In Stock")))</f>
        <v/>
      </c>
      <c r="S642" s="25"/>
      <c r="T642" s="25"/>
      <c r="U642" s="25"/>
      <c r="V642" s="25"/>
      <c r="W642" s="25"/>
      <c r="X642" s="25"/>
    </row>
    <row r="643" spans="1:24" x14ac:dyDescent="0.25">
      <c r="A643" s="31" t="s">
        <v>1203</v>
      </c>
      <c r="B643" s="32"/>
      <c r="C643" s="50" t="str">
        <f>IF(B643="","",VLOOKUP(B643,'Product Master'!$B:$G,2,FALSE))</f>
        <v/>
      </c>
      <c r="D643" s="50" t="str">
        <f>IF(B643="","",VLOOKUP(B643,'Product Master'!$B:$G,3,FALSE))</f>
        <v/>
      </c>
      <c r="E643" s="50"/>
      <c r="F643" s="50">
        <f>SUMIF('Stock Purchase'!$D:$D,B643,'Stock Purchase'!$F:$F)</f>
        <v>0</v>
      </c>
      <c r="G643" s="50">
        <f>SUMIFS('Stock Adjustment'!$E:$E,'Stock Adjustment'!$B:$B,$A643,'Stock Adjustment'!$D:$D,"Customer Returned")</f>
        <v>0</v>
      </c>
      <c r="H643" s="50">
        <f>SUMIF('Daily Sales Entry'!$D:$D,B643,'Daily Sales Entry'!$G:$G)</f>
        <v>0</v>
      </c>
      <c r="I643" s="50">
        <f>SUMIFS('Stock Adjustment'!$E:$E,'Stock Adjustment'!$B:$B,$A643,'Stock Adjustment'!$D:$D,"Staff Consumption")</f>
        <v>0</v>
      </c>
      <c r="J643" s="50">
        <f>SUMIFS('Stock Adjustment'!$E:$E,'Stock Adjustment'!$B:$B,$A643,'Stock Adjustment'!$D:$D,"Damaged")</f>
        <v>0</v>
      </c>
      <c r="K643" s="50">
        <f>SUMIFS('Stock Adjustment'!$E:$E,'Stock Adjustment'!$B:$B,$A643,'Stock Adjustment'!$D:$D,"Expired")</f>
        <v>0</v>
      </c>
      <c r="L643" s="50">
        <f>SUMIFS('Stock Adjustment'!$E:$E,'Stock Adjustment'!$B:$B,$A643,'Stock Adjustment'!$D:$D,"Supplier Returned")</f>
        <v>0</v>
      </c>
      <c r="M6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3" s="53" t="str">
        <f>IF(B643="","",VLOOKUP(B643,'Product Master'!$B:$G,4,FALSE))</f>
        <v/>
      </c>
      <c r="O643" s="53" t="str">
        <f>IF(B643="","",VLOOKUP(B643,'Product Master'!$B:$G,5,FALSE))</f>
        <v/>
      </c>
      <c r="P643" s="50" t="str">
        <f>IF(B643="","",VLOOKUP(B643,'Product Master'!$B:$I,7,FALSE))</f>
        <v/>
      </c>
      <c r="Q643" s="158"/>
      <c r="R643" s="58" t="str">
        <f t="shared" si="10"/>
        <v/>
      </c>
      <c r="S643" s="25"/>
      <c r="T643" s="25"/>
      <c r="U643" s="25"/>
      <c r="V643" s="25"/>
      <c r="W643" s="25"/>
      <c r="X643" s="25"/>
    </row>
    <row r="644" spans="1:24" x14ac:dyDescent="0.25">
      <c r="A644" s="31" t="s">
        <v>1204</v>
      </c>
      <c r="B644" s="32"/>
      <c r="C644" s="50" t="str">
        <f>IF(B644="","",VLOOKUP(B644,'Product Master'!$B:$G,2,FALSE))</f>
        <v/>
      </c>
      <c r="D644" s="50" t="str">
        <f>IF(B644="","",VLOOKUP(B644,'Product Master'!$B:$G,3,FALSE))</f>
        <v/>
      </c>
      <c r="E644" s="50"/>
      <c r="F644" s="50">
        <f>SUMIF('Stock Purchase'!$D:$D,B644,'Stock Purchase'!$F:$F)</f>
        <v>0</v>
      </c>
      <c r="G644" s="50">
        <f>SUMIFS('Stock Adjustment'!$E:$E,'Stock Adjustment'!$B:$B,$A644,'Stock Adjustment'!$D:$D,"Customer Returned")</f>
        <v>0</v>
      </c>
      <c r="H644" s="50">
        <f>SUMIF('Daily Sales Entry'!$D:$D,B644,'Daily Sales Entry'!$G:$G)</f>
        <v>0</v>
      </c>
      <c r="I644" s="50">
        <f>SUMIFS('Stock Adjustment'!$E:$E,'Stock Adjustment'!$B:$B,$A644,'Stock Adjustment'!$D:$D,"Staff Consumption")</f>
        <v>0</v>
      </c>
      <c r="J644" s="50">
        <f>SUMIFS('Stock Adjustment'!$E:$E,'Stock Adjustment'!$B:$B,$A644,'Stock Adjustment'!$D:$D,"Damaged")</f>
        <v>0</v>
      </c>
      <c r="K644" s="50">
        <f>SUMIFS('Stock Adjustment'!$E:$E,'Stock Adjustment'!$B:$B,$A644,'Stock Adjustment'!$D:$D,"Expired")</f>
        <v>0</v>
      </c>
      <c r="L644" s="50">
        <f>SUMIFS('Stock Adjustment'!$E:$E,'Stock Adjustment'!$B:$B,$A644,'Stock Adjustment'!$D:$D,"Supplier Returned")</f>
        <v>0</v>
      </c>
      <c r="M6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4" s="53" t="str">
        <f>IF(B644="","",VLOOKUP(B644,'Product Master'!$B:$G,4,FALSE))</f>
        <v/>
      </c>
      <c r="O644" s="53" t="str">
        <f>IF(B644="","",VLOOKUP(B644,'Product Master'!$B:$G,5,FALSE))</f>
        <v/>
      </c>
      <c r="P644" s="50" t="str">
        <f>IF(B644="","",VLOOKUP(B644,'Product Master'!$B:$I,7,FALSE))</f>
        <v/>
      </c>
      <c r="Q644" s="158"/>
      <c r="R644" s="58" t="str">
        <f t="shared" si="10"/>
        <v/>
      </c>
      <c r="S644" s="25"/>
      <c r="T644" s="25"/>
      <c r="U644" s="25"/>
      <c r="V644" s="25"/>
      <c r="W644" s="25"/>
      <c r="X644" s="25"/>
    </row>
    <row r="645" spans="1:24" x14ac:dyDescent="0.25">
      <c r="A645" s="31" t="s">
        <v>1205</v>
      </c>
      <c r="B645" s="32"/>
      <c r="C645" s="50" t="str">
        <f>IF(B645="","",VLOOKUP(B645,'Product Master'!$B:$G,2,FALSE))</f>
        <v/>
      </c>
      <c r="D645" s="50" t="str">
        <f>IF(B645="","",VLOOKUP(B645,'Product Master'!$B:$G,3,FALSE))</f>
        <v/>
      </c>
      <c r="E645" s="50"/>
      <c r="F645" s="50">
        <f>SUMIF('Stock Purchase'!$D:$D,B645,'Stock Purchase'!$F:$F)</f>
        <v>0</v>
      </c>
      <c r="G645" s="50">
        <f>SUMIFS('Stock Adjustment'!$E:$E,'Stock Adjustment'!$B:$B,$A645,'Stock Adjustment'!$D:$D,"Customer Returned")</f>
        <v>0</v>
      </c>
      <c r="H645" s="50">
        <f>SUMIF('Daily Sales Entry'!$D:$D,B645,'Daily Sales Entry'!$G:$G)</f>
        <v>0</v>
      </c>
      <c r="I645" s="50">
        <f>SUMIFS('Stock Adjustment'!$E:$E,'Stock Adjustment'!$B:$B,$A645,'Stock Adjustment'!$D:$D,"Staff Consumption")</f>
        <v>0</v>
      </c>
      <c r="J645" s="50">
        <f>SUMIFS('Stock Adjustment'!$E:$E,'Stock Adjustment'!$B:$B,$A645,'Stock Adjustment'!$D:$D,"Damaged")</f>
        <v>0</v>
      </c>
      <c r="K645" s="50">
        <f>SUMIFS('Stock Adjustment'!$E:$E,'Stock Adjustment'!$B:$B,$A645,'Stock Adjustment'!$D:$D,"Expired")</f>
        <v>0</v>
      </c>
      <c r="L645" s="50">
        <f>SUMIFS('Stock Adjustment'!$E:$E,'Stock Adjustment'!$B:$B,$A645,'Stock Adjustment'!$D:$D,"Supplier Returned")</f>
        <v>0</v>
      </c>
      <c r="M6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5" s="53" t="str">
        <f>IF(B645="","",VLOOKUP(B645,'Product Master'!$B:$G,4,FALSE))</f>
        <v/>
      </c>
      <c r="O645" s="53" t="str">
        <f>IF(B645="","",VLOOKUP(B645,'Product Master'!$B:$G,5,FALSE))</f>
        <v/>
      </c>
      <c r="P645" s="50" t="str">
        <f>IF(B645="","",VLOOKUP(B645,'Product Master'!$B:$I,7,FALSE))</f>
        <v/>
      </c>
      <c r="Q645" s="158"/>
      <c r="R645" s="58" t="str">
        <f t="shared" si="10"/>
        <v/>
      </c>
      <c r="S645" s="25"/>
      <c r="T645" s="25"/>
      <c r="U645" s="25"/>
      <c r="V645" s="25"/>
      <c r="W645" s="25"/>
      <c r="X645" s="25"/>
    </row>
    <row r="646" spans="1:24" x14ac:dyDescent="0.25">
      <c r="A646" s="31" t="s">
        <v>1206</v>
      </c>
      <c r="B646" s="32"/>
      <c r="C646" s="50" t="str">
        <f>IF(B646="","",VLOOKUP(B646,'Product Master'!$B:$G,2,FALSE))</f>
        <v/>
      </c>
      <c r="D646" s="50" t="str">
        <f>IF(B646="","",VLOOKUP(B646,'Product Master'!$B:$G,3,FALSE))</f>
        <v/>
      </c>
      <c r="E646" s="50"/>
      <c r="F646" s="50">
        <f>SUMIF('Stock Purchase'!$D:$D,B646,'Stock Purchase'!$F:$F)</f>
        <v>0</v>
      </c>
      <c r="G646" s="50">
        <f>SUMIFS('Stock Adjustment'!$E:$E,'Stock Adjustment'!$B:$B,$A646,'Stock Adjustment'!$D:$D,"Customer Returned")</f>
        <v>0</v>
      </c>
      <c r="H646" s="50">
        <f>SUMIF('Daily Sales Entry'!$D:$D,B646,'Daily Sales Entry'!$G:$G)</f>
        <v>0</v>
      </c>
      <c r="I646" s="50">
        <f>SUMIFS('Stock Adjustment'!$E:$E,'Stock Adjustment'!$B:$B,$A646,'Stock Adjustment'!$D:$D,"Staff Consumption")</f>
        <v>0</v>
      </c>
      <c r="J646" s="50">
        <f>SUMIFS('Stock Adjustment'!$E:$E,'Stock Adjustment'!$B:$B,$A646,'Stock Adjustment'!$D:$D,"Damaged")</f>
        <v>0</v>
      </c>
      <c r="K646" s="50">
        <f>SUMIFS('Stock Adjustment'!$E:$E,'Stock Adjustment'!$B:$B,$A646,'Stock Adjustment'!$D:$D,"Expired")</f>
        <v>0</v>
      </c>
      <c r="L646" s="50">
        <f>SUMIFS('Stock Adjustment'!$E:$E,'Stock Adjustment'!$B:$B,$A646,'Stock Adjustment'!$D:$D,"Supplier Returned")</f>
        <v>0</v>
      </c>
      <c r="M6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6" s="53" t="str">
        <f>IF(B646="","",VLOOKUP(B646,'Product Master'!$B:$G,4,FALSE))</f>
        <v/>
      </c>
      <c r="O646" s="53" t="str">
        <f>IF(B646="","",VLOOKUP(B646,'Product Master'!$B:$G,5,FALSE))</f>
        <v/>
      </c>
      <c r="P646" s="50" t="str">
        <f>IF(B646="","",VLOOKUP(B646,'Product Master'!$B:$I,7,FALSE))</f>
        <v/>
      </c>
      <c r="Q646" s="158"/>
      <c r="R646" s="58" t="str">
        <f t="shared" si="10"/>
        <v/>
      </c>
      <c r="S646" s="25"/>
      <c r="T646" s="25"/>
      <c r="U646" s="25"/>
      <c r="V646" s="25"/>
      <c r="W646" s="25"/>
      <c r="X646" s="25"/>
    </row>
    <row r="647" spans="1:24" x14ac:dyDescent="0.25">
      <c r="A647" s="31" t="s">
        <v>1207</v>
      </c>
      <c r="B647" s="32"/>
      <c r="C647" s="50" t="str">
        <f>IF(B647="","",VLOOKUP(B647,'Product Master'!$B:$G,2,FALSE))</f>
        <v/>
      </c>
      <c r="D647" s="50" t="str">
        <f>IF(B647="","",VLOOKUP(B647,'Product Master'!$B:$G,3,FALSE))</f>
        <v/>
      </c>
      <c r="E647" s="50"/>
      <c r="F647" s="50">
        <f>SUMIF('Stock Purchase'!$D:$D,B647,'Stock Purchase'!$F:$F)</f>
        <v>0</v>
      </c>
      <c r="G647" s="50">
        <f>SUMIFS('Stock Adjustment'!$E:$E,'Stock Adjustment'!$B:$B,$A647,'Stock Adjustment'!$D:$D,"Customer Returned")</f>
        <v>0</v>
      </c>
      <c r="H647" s="50">
        <f>SUMIF('Daily Sales Entry'!$D:$D,B647,'Daily Sales Entry'!$G:$G)</f>
        <v>0</v>
      </c>
      <c r="I647" s="50">
        <f>SUMIFS('Stock Adjustment'!$E:$E,'Stock Adjustment'!$B:$B,$A647,'Stock Adjustment'!$D:$D,"Staff Consumption")</f>
        <v>0</v>
      </c>
      <c r="J647" s="50">
        <f>SUMIFS('Stock Adjustment'!$E:$E,'Stock Adjustment'!$B:$B,$A647,'Stock Adjustment'!$D:$D,"Damaged")</f>
        <v>0</v>
      </c>
      <c r="K647" s="50">
        <f>SUMIFS('Stock Adjustment'!$E:$E,'Stock Adjustment'!$B:$B,$A647,'Stock Adjustment'!$D:$D,"Expired")</f>
        <v>0</v>
      </c>
      <c r="L647" s="50">
        <f>SUMIFS('Stock Adjustment'!$E:$E,'Stock Adjustment'!$B:$B,$A647,'Stock Adjustment'!$D:$D,"Supplier Returned")</f>
        <v>0</v>
      </c>
      <c r="M6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7" s="53" t="str">
        <f>IF(B647="","",VLOOKUP(B647,'Product Master'!$B:$G,4,FALSE))</f>
        <v/>
      </c>
      <c r="O647" s="53" t="str">
        <f>IF(B647="","",VLOOKUP(B647,'Product Master'!$B:$G,5,FALSE))</f>
        <v/>
      </c>
      <c r="P647" s="50" t="str">
        <f>IF(B647="","",VLOOKUP(B647,'Product Master'!$B:$I,7,FALSE))</f>
        <v/>
      </c>
      <c r="Q647" s="158"/>
      <c r="R647" s="58" t="str">
        <f t="shared" si="10"/>
        <v/>
      </c>
      <c r="S647" s="25"/>
      <c r="T647" s="25"/>
      <c r="U647" s="25"/>
      <c r="V647" s="25"/>
      <c r="W647" s="25"/>
      <c r="X647" s="25"/>
    </row>
    <row r="648" spans="1:24" x14ac:dyDescent="0.25">
      <c r="A648" s="31" t="s">
        <v>1208</v>
      </c>
      <c r="B648" s="32"/>
      <c r="C648" s="50" t="str">
        <f>IF(B648="","",VLOOKUP(B648,'Product Master'!$B:$G,2,FALSE))</f>
        <v/>
      </c>
      <c r="D648" s="50" t="str">
        <f>IF(B648="","",VLOOKUP(B648,'Product Master'!$B:$G,3,FALSE))</f>
        <v/>
      </c>
      <c r="E648" s="50"/>
      <c r="F648" s="50">
        <f>SUMIF('Stock Purchase'!$D:$D,B648,'Stock Purchase'!$F:$F)</f>
        <v>0</v>
      </c>
      <c r="G648" s="50">
        <f>SUMIFS('Stock Adjustment'!$E:$E,'Stock Adjustment'!$B:$B,$A648,'Stock Adjustment'!$D:$D,"Customer Returned")</f>
        <v>0</v>
      </c>
      <c r="H648" s="50">
        <f>SUMIF('Daily Sales Entry'!$D:$D,B648,'Daily Sales Entry'!$G:$G)</f>
        <v>0</v>
      </c>
      <c r="I648" s="50">
        <f>SUMIFS('Stock Adjustment'!$E:$E,'Stock Adjustment'!$B:$B,$A648,'Stock Adjustment'!$D:$D,"Staff Consumption")</f>
        <v>0</v>
      </c>
      <c r="J648" s="50">
        <f>SUMIFS('Stock Adjustment'!$E:$E,'Stock Adjustment'!$B:$B,$A648,'Stock Adjustment'!$D:$D,"Damaged")</f>
        <v>0</v>
      </c>
      <c r="K648" s="50">
        <f>SUMIFS('Stock Adjustment'!$E:$E,'Stock Adjustment'!$B:$B,$A648,'Stock Adjustment'!$D:$D,"Expired")</f>
        <v>0</v>
      </c>
      <c r="L648" s="50">
        <f>SUMIFS('Stock Adjustment'!$E:$E,'Stock Adjustment'!$B:$B,$A648,'Stock Adjustment'!$D:$D,"Supplier Returned")</f>
        <v>0</v>
      </c>
      <c r="M6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8" s="53" t="str">
        <f>IF(B648="","",VLOOKUP(B648,'Product Master'!$B:$G,4,FALSE))</f>
        <v/>
      </c>
      <c r="O648" s="53" t="str">
        <f>IF(B648="","",VLOOKUP(B648,'Product Master'!$B:$G,5,FALSE))</f>
        <v/>
      </c>
      <c r="P648" s="50" t="str">
        <f>IF(B648="","",VLOOKUP(B648,'Product Master'!$B:$I,7,FALSE))</f>
        <v/>
      </c>
      <c r="Q648" s="158"/>
      <c r="R648" s="58" t="str">
        <f t="shared" si="10"/>
        <v/>
      </c>
      <c r="S648" s="25"/>
      <c r="T648" s="25"/>
      <c r="U648" s="25"/>
      <c r="V648" s="25"/>
      <c r="W648" s="25"/>
      <c r="X648" s="25"/>
    </row>
    <row r="649" spans="1:24" x14ac:dyDescent="0.25">
      <c r="A649" s="31" t="s">
        <v>1209</v>
      </c>
      <c r="B649" s="32"/>
      <c r="C649" s="50" t="str">
        <f>IF(B649="","",VLOOKUP(B649,'Product Master'!$B:$G,2,FALSE))</f>
        <v/>
      </c>
      <c r="D649" s="50" t="str">
        <f>IF(B649="","",VLOOKUP(B649,'Product Master'!$B:$G,3,FALSE))</f>
        <v/>
      </c>
      <c r="E649" s="50"/>
      <c r="F649" s="50">
        <f>SUMIF('Stock Purchase'!$D:$D,B649,'Stock Purchase'!$F:$F)</f>
        <v>0</v>
      </c>
      <c r="G649" s="50">
        <f>SUMIFS('Stock Adjustment'!$E:$E,'Stock Adjustment'!$B:$B,$A649,'Stock Adjustment'!$D:$D,"Customer Returned")</f>
        <v>0</v>
      </c>
      <c r="H649" s="50">
        <f>SUMIF('Daily Sales Entry'!$D:$D,B649,'Daily Sales Entry'!$G:$G)</f>
        <v>0</v>
      </c>
      <c r="I649" s="50">
        <f>SUMIFS('Stock Adjustment'!$E:$E,'Stock Adjustment'!$B:$B,$A649,'Stock Adjustment'!$D:$D,"Staff Consumption")</f>
        <v>0</v>
      </c>
      <c r="J649" s="50">
        <f>SUMIFS('Stock Adjustment'!$E:$E,'Stock Adjustment'!$B:$B,$A649,'Stock Adjustment'!$D:$D,"Damaged")</f>
        <v>0</v>
      </c>
      <c r="K649" s="50">
        <f>SUMIFS('Stock Adjustment'!$E:$E,'Stock Adjustment'!$B:$B,$A649,'Stock Adjustment'!$D:$D,"Expired")</f>
        <v>0</v>
      </c>
      <c r="L649" s="50">
        <f>SUMIFS('Stock Adjustment'!$E:$E,'Stock Adjustment'!$B:$B,$A649,'Stock Adjustment'!$D:$D,"Supplier Returned")</f>
        <v>0</v>
      </c>
      <c r="M6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49" s="53" t="str">
        <f>IF(B649="","",VLOOKUP(B649,'Product Master'!$B:$G,4,FALSE))</f>
        <v/>
      </c>
      <c r="O649" s="53" t="str">
        <f>IF(B649="","",VLOOKUP(B649,'Product Master'!$B:$G,5,FALSE))</f>
        <v/>
      </c>
      <c r="P649" s="50" t="str">
        <f>IF(B649="","",VLOOKUP(B649,'Product Master'!$B:$I,7,FALSE))</f>
        <v/>
      </c>
      <c r="Q649" s="158"/>
      <c r="R649" s="58" t="str">
        <f t="shared" si="10"/>
        <v/>
      </c>
      <c r="S649" s="25"/>
      <c r="T649" s="25"/>
      <c r="U649" s="25"/>
      <c r="V649" s="25"/>
      <c r="W649" s="25"/>
      <c r="X649" s="25"/>
    </row>
    <row r="650" spans="1:24" x14ac:dyDescent="0.25">
      <c r="A650" s="31" t="s">
        <v>1210</v>
      </c>
      <c r="B650" s="32"/>
      <c r="C650" s="50" t="str">
        <f>IF(B650="","",VLOOKUP(B650,'Product Master'!$B:$G,2,FALSE))</f>
        <v/>
      </c>
      <c r="D650" s="50" t="str">
        <f>IF(B650="","",VLOOKUP(B650,'Product Master'!$B:$G,3,FALSE))</f>
        <v/>
      </c>
      <c r="E650" s="50"/>
      <c r="F650" s="50">
        <f>SUMIF('Stock Purchase'!$D:$D,B650,'Stock Purchase'!$F:$F)</f>
        <v>0</v>
      </c>
      <c r="G650" s="50">
        <f>SUMIFS('Stock Adjustment'!$E:$E,'Stock Adjustment'!$B:$B,$A650,'Stock Adjustment'!$D:$D,"Customer Returned")</f>
        <v>0</v>
      </c>
      <c r="H650" s="50">
        <f>SUMIF('Daily Sales Entry'!$D:$D,B650,'Daily Sales Entry'!$G:$G)</f>
        <v>0</v>
      </c>
      <c r="I650" s="50">
        <f>SUMIFS('Stock Adjustment'!$E:$E,'Stock Adjustment'!$B:$B,$A650,'Stock Adjustment'!$D:$D,"Staff Consumption")</f>
        <v>0</v>
      </c>
      <c r="J650" s="50">
        <f>SUMIFS('Stock Adjustment'!$E:$E,'Stock Adjustment'!$B:$B,$A650,'Stock Adjustment'!$D:$D,"Damaged")</f>
        <v>0</v>
      </c>
      <c r="K650" s="50">
        <f>SUMIFS('Stock Adjustment'!$E:$E,'Stock Adjustment'!$B:$B,$A650,'Stock Adjustment'!$D:$D,"Expired")</f>
        <v>0</v>
      </c>
      <c r="L650" s="50">
        <f>SUMIFS('Stock Adjustment'!$E:$E,'Stock Adjustment'!$B:$B,$A650,'Stock Adjustment'!$D:$D,"Supplier Returned")</f>
        <v>0</v>
      </c>
      <c r="M6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0" s="53" t="str">
        <f>IF(B650="","",VLOOKUP(B650,'Product Master'!$B:$G,4,FALSE))</f>
        <v/>
      </c>
      <c r="O650" s="53" t="str">
        <f>IF(B650="","",VLOOKUP(B650,'Product Master'!$B:$G,5,FALSE))</f>
        <v/>
      </c>
      <c r="P650" s="50" t="str">
        <f>IF(B650="","",VLOOKUP(B650,'Product Master'!$B:$I,7,FALSE))</f>
        <v/>
      </c>
      <c r="Q650" s="158"/>
      <c r="R650" s="58" t="str">
        <f t="shared" si="10"/>
        <v/>
      </c>
      <c r="S650" s="25"/>
      <c r="T650" s="25"/>
      <c r="U650" s="25"/>
      <c r="V650" s="25"/>
      <c r="W650" s="25"/>
      <c r="X650" s="25"/>
    </row>
    <row r="651" spans="1:24" x14ac:dyDescent="0.25">
      <c r="A651" s="31" t="s">
        <v>1211</v>
      </c>
      <c r="B651" s="32"/>
      <c r="C651" s="50" t="str">
        <f>IF(B651="","",VLOOKUP(B651,'Product Master'!$B:$G,2,FALSE))</f>
        <v/>
      </c>
      <c r="D651" s="50" t="str">
        <f>IF(B651="","",VLOOKUP(B651,'Product Master'!$B:$G,3,FALSE))</f>
        <v/>
      </c>
      <c r="E651" s="50"/>
      <c r="F651" s="50">
        <f>SUMIF('Stock Purchase'!$D:$D,B651,'Stock Purchase'!$F:$F)</f>
        <v>0</v>
      </c>
      <c r="G651" s="50">
        <f>SUMIFS('Stock Adjustment'!$E:$E,'Stock Adjustment'!$B:$B,$A651,'Stock Adjustment'!$D:$D,"Customer Returned")</f>
        <v>0</v>
      </c>
      <c r="H651" s="50">
        <f>SUMIF('Daily Sales Entry'!$D:$D,B651,'Daily Sales Entry'!$G:$G)</f>
        <v>0</v>
      </c>
      <c r="I651" s="50">
        <f>SUMIFS('Stock Adjustment'!$E:$E,'Stock Adjustment'!$B:$B,$A651,'Stock Adjustment'!$D:$D,"Staff Consumption")</f>
        <v>0</v>
      </c>
      <c r="J651" s="50">
        <f>SUMIFS('Stock Adjustment'!$E:$E,'Stock Adjustment'!$B:$B,$A651,'Stock Adjustment'!$D:$D,"Damaged")</f>
        <v>0</v>
      </c>
      <c r="K651" s="50">
        <f>SUMIFS('Stock Adjustment'!$E:$E,'Stock Adjustment'!$B:$B,$A651,'Stock Adjustment'!$D:$D,"Expired")</f>
        <v>0</v>
      </c>
      <c r="L651" s="50">
        <f>SUMIFS('Stock Adjustment'!$E:$E,'Stock Adjustment'!$B:$B,$A651,'Stock Adjustment'!$D:$D,"Supplier Returned")</f>
        <v>0</v>
      </c>
      <c r="M6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1" s="53" t="str">
        <f>IF(B651="","",VLOOKUP(B651,'Product Master'!$B:$G,4,FALSE))</f>
        <v/>
      </c>
      <c r="O651" s="53" t="str">
        <f>IF(B651="","",VLOOKUP(B651,'Product Master'!$B:$G,5,FALSE))</f>
        <v/>
      </c>
      <c r="P651" s="50" t="str">
        <f>IF(B651="","",VLOOKUP(B651,'Product Master'!$B:$I,7,FALSE))</f>
        <v/>
      </c>
      <c r="Q651" s="158"/>
      <c r="R651" s="58" t="str">
        <f t="shared" si="10"/>
        <v/>
      </c>
      <c r="S651" s="25"/>
      <c r="T651" s="25"/>
      <c r="U651" s="25"/>
      <c r="V651" s="25"/>
      <c r="W651" s="25"/>
      <c r="X651" s="25"/>
    </row>
    <row r="652" spans="1:24" x14ac:dyDescent="0.25">
      <c r="A652" s="31" t="s">
        <v>1212</v>
      </c>
      <c r="B652" s="32"/>
      <c r="C652" s="50" t="str">
        <f>IF(B652="","",VLOOKUP(B652,'Product Master'!$B:$G,2,FALSE))</f>
        <v/>
      </c>
      <c r="D652" s="50" t="str">
        <f>IF(B652="","",VLOOKUP(B652,'Product Master'!$B:$G,3,FALSE))</f>
        <v/>
      </c>
      <c r="E652" s="50"/>
      <c r="F652" s="50">
        <f>SUMIF('Stock Purchase'!$D:$D,B652,'Stock Purchase'!$F:$F)</f>
        <v>0</v>
      </c>
      <c r="G652" s="50">
        <f>SUMIFS('Stock Adjustment'!$E:$E,'Stock Adjustment'!$B:$B,$A652,'Stock Adjustment'!$D:$D,"Customer Returned")</f>
        <v>0</v>
      </c>
      <c r="H652" s="50">
        <f>SUMIF('Daily Sales Entry'!$D:$D,B652,'Daily Sales Entry'!$G:$G)</f>
        <v>0</v>
      </c>
      <c r="I652" s="50">
        <f>SUMIFS('Stock Adjustment'!$E:$E,'Stock Adjustment'!$B:$B,$A652,'Stock Adjustment'!$D:$D,"Staff Consumption")</f>
        <v>0</v>
      </c>
      <c r="J652" s="50">
        <f>SUMIFS('Stock Adjustment'!$E:$E,'Stock Adjustment'!$B:$B,$A652,'Stock Adjustment'!$D:$D,"Damaged")</f>
        <v>0</v>
      </c>
      <c r="K652" s="50">
        <f>SUMIFS('Stock Adjustment'!$E:$E,'Stock Adjustment'!$B:$B,$A652,'Stock Adjustment'!$D:$D,"Expired")</f>
        <v>0</v>
      </c>
      <c r="L652" s="50">
        <f>SUMIFS('Stock Adjustment'!$E:$E,'Stock Adjustment'!$B:$B,$A652,'Stock Adjustment'!$D:$D,"Supplier Returned")</f>
        <v>0</v>
      </c>
      <c r="M6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2" s="53" t="str">
        <f>IF(B652="","",VLOOKUP(B652,'Product Master'!$B:$G,4,FALSE))</f>
        <v/>
      </c>
      <c r="O652" s="53" t="str">
        <f>IF(B652="","",VLOOKUP(B652,'Product Master'!$B:$G,5,FALSE))</f>
        <v/>
      </c>
      <c r="P652" s="50" t="str">
        <f>IF(B652="","",VLOOKUP(B652,'Product Master'!$B:$I,7,FALSE))</f>
        <v/>
      </c>
      <c r="Q652" s="158"/>
      <c r="R652" s="58" t="str">
        <f t="shared" si="10"/>
        <v/>
      </c>
      <c r="S652" s="25"/>
      <c r="T652" s="25"/>
      <c r="U652" s="25"/>
      <c r="V652" s="25"/>
      <c r="W652" s="25"/>
      <c r="X652" s="25"/>
    </row>
    <row r="653" spans="1:24" x14ac:dyDescent="0.25">
      <c r="A653" s="31" t="s">
        <v>1213</v>
      </c>
      <c r="B653" s="32"/>
      <c r="C653" s="50" t="str">
        <f>IF(B653="","",VLOOKUP(B653,'Product Master'!$B:$G,2,FALSE))</f>
        <v/>
      </c>
      <c r="D653" s="50" t="str">
        <f>IF(B653="","",VLOOKUP(B653,'Product Master'!$B:$G,3,FALSE))</f>
        <v/>
      </c>
      <c r="E653" s="50"/>
      <c r="F653" s="50">
        <f>SUMIF('Stock Purchase'!$D:$D,B653,'Stock Purchase'!$F:$F)</f>
        <v>0</v>
      </c>
      <c r="G653" s="50">
        <f>SUMIFS('Stock Adjustment'!$E:$E,'Stock Adjustment'!$B:$B,$A653,'Stock Adjustment'!$D:$D,"Customer Returned")</f>
        <v>0</v>
      </c>
      <c r="H653" s="50">
        <f>SUMIF('Daily Sales Entry'!$D:$D,B653,'Daily Sales Entry'!$G:$G)</f>
        <v>0</v>
      </c>
      <c r="I653" s="50">
        <f>SUMIFS('Stock Adjustment'!$E:$E,'Stock Adjustment'!$B:$B,$A653,'Stock Adjustment'!$D:$D,"Staff Consumption")</f>
        <v>0</v>
      </c>
      <c r="J653" s="50">
        <f>SUMIFS('Stock Adjustment'!$E:$E,'Stock Adjustment'!$B:$B,$A653,'Stock Adjustment'!$D:$D,"Damaged")</f>
        <v>0</v>
      </c>
      <c r="K653" s="50">
        <f>SUMIFS('Stock Adjustment'!$E:$E,'Stock Adjustment'!$B:$B,$A653,'Stock Adjustment'!$D:$D,"Expired")</f>
        <v>0</v>
      </c>
      <c r="L653" s="50">
        <f>SUMIFS('Stock Adjustment'!$E:$E,'Stock Adjustment'!$B:$B,$A653,'Stock Adjustment'!$D:$D,"Supplier Returned")</f>
        <v>0</v>
      </c>
      <c r="M6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3" s="53" t="str">
        <f>IF(B653="","",VLOOKUP(B653,'Product Master'!$B:$G,4,FALSE))</f>
        <v/>
      </c>
      <c r="O653" s="53" t="str">
        <f>IF(B653="","",VLOOKUP(B653,'Product Master'!$B:$G,5,FALSE))</f>
        <v/>
      </c>
      <c r="P653" s="50" t="str">
        <f>IF(B653="","",VLOOKUP(B653,'Product Master'!$B:$I,7,FALSE))</f>
        <v/>
      </c>
      <c r="Q653" s="158"/>
      <c r="R653" s="58" t="str">
        <f t="shared" si="10"/>
        <v/>
      </c>
      <c r="S653" s="25"/>
      <c r="T653" s="25"/>
      <c r="U653" s="25"/>
      <c r="V653" s="25"/>
      <c r="W653" s="25"/>
      <c r="X653" s="25"/>
    </row>
    <row r="654" spans="1:24" x14ac:dyDescent="0.25">
      <c r="A654" s="31" t="s">
        <v>1214</v>
      </c>
      <c r="B654" s="32"/>
      <c r="C654" s="50" t="str">
        <f>IF(B654="","",VLOOKUP(B654,'Product Master'!$B:$G,2,FALSE))</f>
        <v/>
      </c>
      <c r="D654" s="50" t="str">
        <f>IF(B654="","",VLOOKUP(B654,'Product Master'!$B:$G,3,FALSE))</f>
        <v/>
      </c>
      <c r="E654" s="50"/>
      <c r="F654" s="50">
        <f>SUMIF('Stock Purchase'!$D:$D,B654,'Stock Purchase'!$F:$F)</f>
        <v>0</v>
      </c>
      <c r="G654" s="50">
        <f>SUMIFS('Stock Adjustment'!$E:$E,'Stock Adjustment'!$B:$B,$A654,'Stock Adjustment'!$D:$D,"Customer Returned")</f>
        <v>0</v>
      </c>
      <c r="H654" s="50">
        <f>SUMIF('Daily Sales Entry'!$D:$D,B654,'Daily Sales Entry'!$G:$G)</f>
        <v>0</v>
      </c>
      <c r="I654" s="50">
        <f>SUMIFS('Stock Adjustment'!$E:$E,'Stock Adjustment'!$B:$B,$A654,'Stock Adjustment'!$D:$D,"Staff Consumption")</f>
        <v>0</v>
      </c>
      <c r="J654" s="50">
        <f>SUMIFS('Stock Adjustment'!$E:$E,'Stock Adjustment'!$B:$B,$A654,'Stock Adjustment'!$D:$D,"Damaged")</f>
        <v>0</v>
      </c>
      <c r="K654" s="50">
        <f>SUMIFS('Stock Adjustment'!$E:$E,'Stock Adjustment'!$B:$B,$A654,'Stock Adjustment'!$D:$D,"Expired")</f>
        <v>0</v>
      </c>
      <c r="L654" s="50">
        <f>SUMIFS('Stock Adjustment'!$E:$E,'Stock Adjustment'!$B:$B,$A654,'Stock Adjustment'!$D:$D,"Supplier Returned")</f>
        <v>0</v>
      </c>
      <c r="M6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4" s="53" t="str">
        <f>IF(B654="","",VLOOKUP(B654,'Product Master'!$B:$G,4,FALSE))</f>
        <v/>
      </c>
      <c r="O654" s="53" t="str">
        <f>IF(B654="","",VLOOKUP(B654,'Product Master'!$B:$G,5,FALSE))</f>
        <v/>
      </c>
      <c r="P654" s="50" t="str">
        <f>IF(B654="","",VLOOKUP(B654,'Product Master'!$B:$I,7,FALSE))</f>
        <v/>
      </c>
      <c r="Q654" s="158"/>
      <c r="R654" s="58" t="str">
        <f t="shared" si="10"/>
        <v/>
      </c>
      <c r="S654" s="25"/>
      <c r="T654" s="25"/>
      <c r="U654" s="25"/>
      <c r="V654" s="25"/>
      <c r="W654" s="25"/>
      <c r="X654" s="25"/>
    </row>
    <row r="655" spans="1:24" x14ac:dyDescent="0.25">
      <c r="A655" s="31" t="s">
        <v>1215</v>
      </c>
      <c r="B655" s="32"/>
      <c r="C655" s="50" t="str">
        <f>IF(B655="","",VLOOKUP(B655,'Product Master'!$B:$G,2,FALSE))</f>
        <v/>
      </c>
      <c r="D655" s="50" t="str">
        <f>IF(B655="","",VLOOKUP(B655,'Product Master'!$B:$G,3,FALSE))</f>
        <v/>
      </c>
      <c r="E655" s="50"/>
      <c r="F655" s="50">
        <f>SUMIF('Stock Purchase'!$D:$D,B655,'Stock Purchase'!$F:$F)</f>
        <v>0</v>
      </c>
      <c r="G655" s="50">
        <f>SUMIFS('Stock Adjustment'!$E:$E,'Stock Adjustment'!$B:$B,$A655,'Stock Adjustment'!$D:$D,"Customer Returned")</f>
        <v>0</v>
      </c>
      <c r="H655" s="50">
        <f>SUMIF('Daily Sales Entry'!$D:$D,B655,'Daily Sales Entry'!$G:$G)</f>
        <v>0</v>
      </c>
      <c r="I655" s="50">
        <f>SUMIFS('Stock Adjustment'!$E:$E,'Stock Adjustment'!$B:$B,$A655,'Stock Adjustment'!$D:$D,"Staff Consumption")</f>
        <v>0</v>
      </c>
      <c r="J655" s="50">
        <f>SUMIFS('Stock Adjustment'!$E:$E,'Stock Adjustment'!$B:$B,$A655,'Stock Adjustment'!$D:$D,"Damaged")</f>
        <v>0</v>
      </c>
      <c r="K655" s="50">
        <f>SUMIFS('Stock Adjustment'!$E:$E,'Stock Adjustment'!$B:$B,$A655,'Stock Adjustment'!$D:$D,"Expired")</f>
        <v>0</v>
      </c>
      <c r="L655" s="50">
        <f>SUMIFS('Stock Adjustment'!$E:$E,'Stock Adjustment'!$B:$B,$A655,'Stock Adjustment'!$D:$D,"Supplier Returned")</f>
        <v>0</v>
      </c>
      <c r="M6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5" s="53" t="str">
        <f>IF(B655="","",VLOOKUP(B655,'Product Master'!$B:$G,4,FALSE))</f>
        <v/>
      </c>
      <c r="O655" s="53" t="str">
        <f>IF(B655="","",VLOOKUP(B655,'Product Master'!$B:$G,5,FALSE))</f>
        <v/>
      </c>
      <c r="P655" s="50" t="str">
        <f>IF(B655="","",VLOOKUP(B655,'Product Master'!$B:$I,7,FALSE))</f>
        <v/>
      </c>
      <c r="Q655" s="158"/>
      <c r="R655" s="58" t="str">
        <f t="shared" si="10"/>
        <v/>
      </c>
      <c r="S655" s="25"/>
      <c r="T655" s="25"/>
      <c r="U655" s="25"/>
      <c r="V655" s="25"/>
      <c r="W655" s="25"/>
      <c r="X655" s="25"/>
    </row>
    <row r="656" spans="1:24" x14ac:dyDescent="0.25">
      <c r="A656" s="31" t="s">
        <v>1216</v>
      </c>
      <c r="B656" s="32"/>
      <c r="C656" s="50" t="str">
        <f>IF(B656="","",VLOOKUP(B656,'Product Master'!$B:$G,2,FALSE))</f>
        <v/>
      </c>
      <c r="D656" s="50" t="str">
        <f>IF(B656="","",VLOOKUP(B656,'Product Master'!$B:$G,3,FALSE))</f>
        <v/>
      </c>
      <c r="E656" s="50"/>
      <c r="F656" s="50">
        <f>SUMIF('Stock Purchase'!$D:$D,B656,'Stock Purchase'!$F:$F)</f>
        <v>0</v>
      </c>
      <c r="G656" s="50">
        <f>SUMIFS('Stock Adjustment'!$E:$E,'Stock Adjustment'!$B:$B,$A656,'Stock Adjustment'!$D:$D,"Customer Returned")</f>
        <v>0</v>
      </c>
      <c r="H656" s="50">
        <f>SUMIF('Daily Sales Entry'!$D:$D,B656,'Daily Sales Entry'!$G:$G)</f>
        <v>0</v>
      </c>
      <c r="I656" s="50">
        <f>SUMIFS('Stock Adjustment'!$E:$E,'Stock Adjustment'!$B:$B,$A656,'Stock Adjustment'!$D:$D,"Staff Consumption")</f>
        <v>0</v>
      </c>
      <c r="J656" s="50">
        <f>SUMIFS('Stock Adjustment'!$E:$E,'Stock Adjustment'!$B:$B,$A656,'Stock Adjustment'!$D:$D,"Damaged")</f>
        <v>0</v>
      </c>
      <c r="K656" s="50">
        <f>SUMIFS('Stock Adjustment'!$E:$E,'Stock Adjustment'!$B:$B,$A656,'Stock Adjustment'!$D:$D,"Expired")</f>
        <v>0</v>
      </c>
      <c r="L656" s="50">
        <f>SUMIFS('Stock Adjustment'!$E:$E,'Stock Adjustment'!$B:$B,$A656,'Stock Adjustment'!$D:$D,"Supplier Returned")</f>
        <v>0</v>
      </c>
      <c r="M6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6" s="53" t="str">
        <f>IF(B656="","",VLOOKUP(B656,'Product Master'!$B:$G,4,FALSE))</f>
        <v/>
      </c>
      <c r="O656" s="53" t="str">
        <f>IF(B656="","",VLOOKUP(B656,'Product Master'!$B:$G,5,FALSE))</f>
        <v/>
      </c>
      <c r="P656" s="50" t="str">
        <f>IF(B656="","",VLOOKUP(B656,'Product Master'!$B:$I,7,FALSE))</f>
        <v/>
      </c>
      <c r="Q656" s="158"/>
      <c r="R656" s="58" t="str">
        <f t="shared" si="10"/>
        <v/>
      </c>
      <c r="S656" s="25"/>
      <c r="T656" s="25"/>
      <c r="U656" s="25"/>
      <c r="V656" s="25"/>
      <c r="W656" s="25"/>
      <c r="X656" s="25"/>
    </row>
    <row r="657" spans="1:24" x14ac:dyDescent="0.25">
      <c r="A657" s="31" t="s">
        <v>1217</v>
      </c>
      <c r="B657" s="32"/>
      <c r="C657" s="50" t="str">
        <f>IF(B657="","",VLOOKUP(B657,'Product Master'!$B:$G,2,FALSE))</f>
        <v/>
      </c>
      <c r="D657" s="50" t="str">
        <f>IF(B657="","",VLOOKUP(B657,'Product Master'!$B:$G,3,FALSE))</f>
        <v/>
      </c>
      <c r="E657" s="50"/>
      <c r="F657" s="50">
        <f>SUMIF('Stock Purchase'!$D:$D,B657,'Stock Purchase'!$F:$F)</f>
        <v>0</v>
      </c>
      <c r="G657" s="50">
        <f>SUMIFS('Stock Adjustment'!$E:$E,'Stock Adjustment'!$B:$B,$A657,'Stock Adjustment'!$D:$D,"Customer Returned")</f>
        <v>0</v>
      </c>
      <c r="H657" s="50">
        <f>SUMIF('Daily Sales Entry'!$D:$D,B657,'Daily Sales Entry'!$G:$G)</f>
        <v>0</v>
      </c>
      <c r="I657" s="50">
        <f>SUMIFS('Stock Adjustment'!$E:$E,'Stock Adjustment'!$B:$B,$A657,'Stock Adjustment'!$D:$D,"Staff Consumption")</f>
        <v>0</v>
      </c>
      <c r="J657" s="50">
        <f>SUMIFS('Stock Adjustment'!$E:$E,'Stock Adjustment'!$B:$B,$A657,'Stock Adjustment'!$D:$D,"Damaged")</f>
        <v>0</v>
      </c>
      <c r="K657" s="50">
        <f>SUMIFS('Stock Adjustment'!$E:$E,'Stock Adjustment'!$B:$B,$A657,'Stock Adjustment'!$D:$D,"Expired")</f>
        <v>0</v>
      </c>
      <c r="L657" s="50">
        <f>SUMIFS('Stock Adjustment'!$E:$E,'Stock Adjustment'!$B:$B,$A657,'Stock Adjustment'!$D:$D,"Supplier Returned")</f>
        <v>0</v>
      </c>
      <c r="M6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7" s="53" t="str">
        <f>IF(B657="","",VLOOKUP(B657,'Product Master'!$B:$G,4,FALSE))</f>
        <v/>
      </c>
      <c r="O657" s="53" t="str">
        <f>IF(B657="","",VLOOKUP(B657,'Product Master'!$B:$G,5,FALSE))</f>
        <v/>
      </c>
      <c r="P657" s="50" t="str">
        <f>IF(B657="","",VLOOKUP(B657,'Product Master'!$B:$I,7,FALSE))</f>
        <v/>
      </c>
      <c r="Q657" s="158"/>
      <c r="R657" s="58" t="str">
        <f t="shared" si="10"/>
        <v/>
      </c>
      <c r="S657" s="25"/>
      <c r="T657" s="25"/>
      <c r="U657" s="25"/>
      <c r="V657" s="25"/>
      <c r="W657" s="25"/>
      <c r="X657" s="25"/>
    </row>
    <row r="658" spans="1:24" x14ac:dyDescent="0.25">
      <c r="A658" s="31" t="s">
        <v>1218</v>
      </c>
      <c r="B658" s="32"/>
      <c r="C658" s="50" t="str">
        <f>IF(B658="","",VLOOKUP(B658,'Product Master'!$B:$G,2,FALSE))</f>
        <v/>
      </c>
      <c r="D658" s="50" t="str">
        <f>IF(B658="","",VLOOKUP(B658,'Product Master'!$B:$G,3,FALSE))</f>
        <v/>
      </c>
      <c r="E658" s="50"/>
      <c r="F658" s="50">
        <f>SUMIF('Stock Purchase'!$D:$D,B658,'Stock Purchase'!$F:$F)</f>
        <v>0</v>
      </c>
      <c r="G658" s="50">
        <f>SUMIFS('Stock Adjustment'!$E:$E,'Stock Adjustment'!$B:$B,$A658,'Stock Adjustment'!$D:$D,"Customer Returned")</f>
        <v>0</v>
      </c>
      <c r="H658" s="50">
        <f>SUMIF('Daily Sales Entry'!$D:$D,B658,'Daily Sales Entry'!$G:$G)</f>
        <v>0</v>
      </c>
      <c r="I658" s="50">
        <f>SUMIFS('Stock Adjustment'!$E:$E,'Stock Adjustment'!$B:$B,$A658,'Stock Adjustment'!$D:$D,"Staff Consumption")</f>
        <v>0</v>
      </c>
      <c r="J658" s="50">
        <f>SUMIFS('Stock Adjustment'!$E:$E,'Stock Adjustment'!$B:$B,$A658,'Stock Adjustment'!$D:$D,"Damaged")</f>
        <v>0</v>
      </c>
      <c r="K658" s="50">
        <f>SUMIFS('Stock Adjustment'!$E:$E,'Stock Adjustment'!$B:$B,$A658,'Stock Adjustment'!$D:$D,"Expired")</f>
        <v>0</v>
      </c>
      <c r="L658" s="50">
        <f>SUMIFS('Stock Adjustment'!$E:$E,'Stock Adjustment'!$B:$B,$A658,'Stock Adjustment'!$D:$D,"Supplier Returned")</f>
        <v>0</v>
      </c>
      <c r="M6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8" s="53" t="str">
        <f>IF(B658="","",VLOOKUP(B658,'Product Master'!$B:$G,4,FALSE))</f>
        <v/>
      </c>
      <c r="O658" s="53" t="str">
        <f>IF(B658="","",VLOOKUP(B658,'Product Master'!$B:$G,5,FALSE))</f>
        <v/>
      </c>
      <c r="P658" s="50" t="str">
        <f>IF(B658="","",VLOOKUP(B658,'Product Master'!$B:$I,7,FALSE))</f>
        <v/>
      </c>
      <c r="Q658" s="158"/>
      <c r="R658" s="58" t="str">
        <f t="shared" si="10"/>
        <v/>
      </c>
      <c r="S658" s="25"/>
      <c r="T658" s="25"/>
      <c r="U658" s="25"/>
      <c r="V658" s="25"/>
      <c r="W658" s="25"/>
      <c r="X658" s="25"/>
    </row>
    <row r="659" spans="1:24" x14ac:dyDescent="0.25">
      <c r="A659" s="31" t="s">
        <v>1219</v>
      </c>
      <c r="B659" s="32"/>
      <c r="C659" s="50" t="str">
        <f>IF(B659="","",VLOOKUP(B659,'Product Master'!$B:$G,2,FALSE))</f>
        <v/>
      </c>
      <c r="D659" s="50" t="str">
        <f>IF(B659="","",VLOOKUP(B659,'Product Master'!$B:$G,3,FALSE))</f>
        <v/>
      </c>
      <c r="E659" s="50"/>
      <c r="F659" s="50">
        <f>SUMIF('Stock Purchase'!$D:$D,B659,'Stock Purchase'!$F:$F)</f>
        <v>0</v>
      </c>
      <c r="G659" s="50">
        <f>SUMIFS('Stock Adjustment'!$E:$E,'Stock Adjustment'!$B:$B,$A659,'Stock Adjustment'!$D:$D,"Customer Returned")</f>
        <v>0</v>
      </c>
      <c r="H659" s="50">
        <f>SUMIF('Daily Sales Entry'!$D:$D,B659,'Daily Sales Entry'!$G:$G)</f>
        <v>0</v>
      </c>
      <c r="I659" s="50">
        <f>SUMIFS('Stock Adjustment'!$E:$E,'Stock Adjustment'!$B:$B,$A659,'Stock Adjustment'!$D:$D,"Staff Consumption")</f>
        <v>0</v>
      </c>
      <c r="J659" s="50">
        <f>SUMIFS('Stock Adjustment'!$E:$E,'Stock Adjustment'!$B:$B,$A659,'Stock Adjustment'!$D:$D,"Damaged")</f>
        <v>0</v>
      </c>
      <c r="K659" s="50">
        <f>SUMIFS('Stock Adjustment'!$E:$E,'Stock Adjustment'!$B:$B,$A659,'Stock Adjustment'!$D:$D,"Expired")</f>
        <v>0</v>
      </c>
      <c r="L659" s="50">
        <f>SUMIFS('Stock Adjustment'!$E:$E,'Stock Adjustment'!$B:$B,$A659,'Stock Adjustment'!$D:$D,"Supplier Returned")</f>
        <v>0</v>
      </c>
      <c r="M6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59" s="53" t="str">
        <f>IF(B659="","",VLOOKUP(B659,'Product Master'!$B:$G,4,FALSE))</f>
        <v/>
      </c>
      <c r="O659" s="53" t="str">
        <f>IF(B659="","",VLOOKUP(B659,'Product Master'!$B:$G,5,FALSE))</f>
        <v/>
      </c>
      <c r="P659" s="50" t="str">
        <f>IF(B659="","",VLOOKUP(B659,'Product Master'!$B:$I,7,FALSE))</f>
        <v/>
      </c>
      <c r="Q659" s="158"/>
      <c r="R659" s="58" t="str">
        <f t="shared" si="10"/>
        <v/>
      </c>
      <c r="S659" s="25"/>
      <c r="T659" s="25"/>
      <c r="U659" s="25"/>
      <c r="V659" s="25"/>
      <c r="W659" s="25"/>
      <c r="X659" s="25"/>
    </row>
    <row r="660" spans="1:24" x14ac:dyDescent="0.25">
      <c r="A660" s="31" t="s">
        <v>1220</v>
      </c>
      <c r="B660" s="32"/>
      <c r="C660" s="50" t="str">
        <f>IF(B660="","",VLOOKUP(B660,'Product Master'!$B:$G,2,FALSE))</f>
        <v/>
      </c>
      <c r="D660" s="50" t="str">
        <f>IF(B660="","",VLOOKUP(B660,'Product Master'!$B:$G,3,FALSE))</f>
        <v/>
      </c>
      <c r="E660" s="50"/>
      <c r="F660" s="50">
        <f>SUMIF('Stock Purchase'!$D:$D,B660,'Stock Purchase'!$F:$F)</f>
        <v>0</v>
      </c>
      <c r="G660" s="50">
        <f>SUMIFS('Stock Adjustment'!$E:$E,'Stock Adjustment'!$B:$B,$A660,'Stock Adjustment'!$D:$D,"Customer Returned")</f>
        <v>0</v>
      </c>
      <c r="H660" s="50">
        <f>SUMIF('Daily Sales Entry'!$D:$D,B660,'Daily Sales Entry'!$G:$G)</f>
        <v>0</v>
      </c>
      <c r="I660" s="50">
        <f>SUMIFS('Stock Adjustment'!$E:$E,'Stock Adjustment'!$B:$B,$A660,'Stock Adjustment'!$D:$D,"Staff Consumption")</f>
        <v>0</v>
      </c>
      <c r="J660" s="50">
        <f>SUMIFS('Stock Adjustment'!$E:$E,'Stock Adjustment'!$B:$B,$A660,'Stock Adjustment'!$D:$D,"Damaged")</f>
        <v>0</v>
      </c>
      <c r="K660" s="50">
        <f>SUMIFS('Stock Adjustment'!$E:$E,'Stock Adjustment'!$B:$B,$A660,'Stock Adjustment'!$D:$D,"Expired")</f>
        <v>0</v>
      </c>
      <c r="L660" s="50">
        <f>SUMIFS('Stock Adjustment'!$E:$E,'Stock Adjustment'!$B:$B,$A660,'Stock Adjustment'!$D:$D,"Supplier Returned")</f>
        <v>0</v>
      </c>
      <c r="M6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0" s="53" t="str">
        <f>IF(B660="","",VLOOKUP(B660,'Product Master'!$B:$G,4,FALSE))</f>
        <v/>
      </c>
      <c r="O660" s="53" t="str">
        <f>IF(B660="","",VLOOKUP(B660,'Product Master'!$B:$G,5,FALSE))</f>
        <v/>
      </c>
      <c r="P660" s="50" t="str">
        <f>IF(B660="","",VLOOKUP(B660,'Product Master'!$B:$I,7,FALSE))</f>
        <v/>
      </c>
      <c r="Q660" s="158"/>
      <c r="R660" s="58" t="str">
        <f t="shared" si="10"/>
        <v/>
      </c>
      <c r="S660" s="25"/>
      <c r="T660" s="25"/>
      <c r="U660" s="25"/>
      <c r="V660" s="25"/>
      <c r="W660" s="25"/>
      <c r="X660" s="25"/>
    </row>
    <row r="661" spans="1:24" x14ac:dyDescent="0.25">
      <c r="A661" s="31" t="s">
        <v>1221</v>
      </c>
      <c r="B661" s="32"/>
      <c r="C661" s="50" t="str">
        <f>IF(B661="","",VLOOKUP(B661,'Product Master'!$B:$G,2,FALSE))</f>
        <v/>
      </c>
      <c r="D661" s="50" t="str">
        <f>IF(B661="","",VLOOKUP(B661,'Product Master'!$B:$G,3,FALSE))</f>
        <v/>
      </c>
      <c r="E661" s="50"/>
      <c r="F661" s="50">
        <f>SUMIF('Stock Purchase'!$D:$D,B661,'Stock Purchase'!$F:$F)</f>
        <v>0</v>
      </c>
      <c r="G661" s="50">
        <f>SUMIFS('Stock Adjustment'!$E:$E,'Stock Adjustment'!$B:$B,$A661,'Stock Adjustment'!$D:$D,"Customer Returned")</f>
        <v>0</v>
      </c>
      <c r="H661" s="50">
        <f>SUMIF('Daily Sales Entry'!$D:$D,B661,'Daily Sales Entry'!$G:$G)</f>
        <v>0</v>
      </c>
      <c r="I661" s="50">
        <f>SUMIFS('Stock Adjustment'!$E:$E,'Stock Adjustment'!$B:$B,$A661,'Stock Adjustment'!$D:$D,"Staff Consumption")</f>
        <v>0</v>
      </c>
      <c r="J661" s="50">
        <f>SUMIFS('Stock Adjustment'!$E:$E,'Stock Adjustment'!$B:$B,$A661,'Stock Adjustment'!$D:$D,"Damaged")</f>
        <v>0</v>
      </c>
      <c r="K661" s="50">
        <f>SUMIFS('Stock Adjustment'!$E:$E,'Stock Adjustment'!$B:$B,$A661,'Stock Adjustment'!$D:$D,"Expired")</f>
        <v>0</v>
      </c>
      <c r="L661" s="50">
        <f>SUMIFS('Stock Adjustment'!$E:$E,'Stock Adjustment'!$B:$B,$A661,'Stock Adjustment'!$D:$D,"Supplier Returned")</f>
        <v>0</v>
      </c>
      <c r="M6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1" s="53" t="str">
        <f>IF(B661="","",VLOOKUP(B661,'Product Master'!$B:$G,4,FALSE))</f>
        <v/>
      </c>
      <c r="O661" s="53" t="str">
        <f>IF(B661="","",VLOOKUP(B661,'Product Master'!$B:$G,5,FALSE))</f>
        <v/>
      </c>
      <c r="P661" s="50" t="str">
        <f>IF(B661="","",VLOOKUP(B661,'Product Master'!$B:$I,7,FALSE))</f>
        <v/>
      </c>
      <c r="Q661" s="158"/>
      <c r="R661" s="58" t="str">
        <f t="shared" si="10"/>
        <v/>
      </c>
      <c r="S661" s="25"/>
      <c r="T661" s="25"/>
      <c r="U661" s="25"/>
      <c r="V661" s="25"/>
      <c r="W661" s="25"/>
      <c r="X661" s="25"/>
    </row>
    <row r="662" spans="1:24" x14ac:dyDescent="0.25">
      <c r="A662" s="31" t="s">
        <v>1222</v>
      </c>
      <c r="B662" s="32"/>
      <c r="C662" s="50" t="str">
        <f>IF(B662="","",VLOOKUP(B662,'Product Master'!$B:$G,2,FALSE))</f>
        <v/>
      </c>
      <c r="D662" s="50" t="str">
        <f>IF(B662="","",VLOOKUP(B662,'Product Master'!$B:$G,3,FALSE))</f>
        <v/>
      </c>
      <c r="E662" s="50"/>
      <c r="F662" s="50">
        <f>SUMIF('Stock Purchase'!$D:$D,B662,'Stock Purchase'!$F:$F)</f>
        <v>0</v>
      </c>
      <c r="G662" s="50">
        <f>SUMIFS('Stock Adjustment'!$E:$E,'Stock Adjustment'!$B:$B,$A662,'Stock Adjustment'!$D:$D,"Customer Returned")</f>
        <v>0</v>
      </c>
      <c r="H662" s="50">
        <f>SUMIF('Daily Sales Entry'!$D:$D,B662,'Daily Sales Entry'!$G:$G)</f>
        <v>0</v>
      </c>
      <c r="I662" s="50">
        <f>SUMIFS('Stock Adjustment'!$E:$E,'Stock Adjustment'!$B:$B,$A662,'Stock Adjustment'!$D:$D,"Staff Consumption")</f>
        <v>0</v>
      </c>
      <c r="J662" s="50">
        <f>SUMIFS('Stock Adjustment'!$E:$E,'Stock Adjustment'!$B:$B,$A662,'Stock Adjustment'!$D:$D,"Damaged")</f>
        <v>0</v>
      </c>
      <c r="K662" s="50">
        <f>SUMIFS('Stock Adjustment'!$E:$E,'Stock Adjustment'!$B:$B,$A662,'Stock Adjustment'!$D:$D,"Expired")</f>
        <v>0</v>
      </c>
      <c r="L662" s="50">
        <f>SUMIFS('Stock Adjustment'!$E:$E,'Stock Adjustment'!$B:$B,$A662,'Stock Adjustment'!$D:$D,"Supplier Returned")</f>
        <v>0</v>
      </c>
      <c r="M6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2" s="53" t="str">
        <f>IF(B662="","",VLOOKUP(B662,'Product Master'!$B:$G,4,FALSE))</f>
        <v/>
      </c>
      <c r="O662" s="53" t="str">
        <f>IF(B662="","",VLOOKUP(B662,'Product Master'!$B:$G,5,FALSE))</f>
        <v/>
      </c>
      <c r="P662" s="50" t="str">
        <f>IF(B662="","",VLOOKUP(B662,'Product Master'!$B:$I,7,FALSE))</f>
        <v/>
      </c>
      <c r="Q662" s="158"/>
      <c r="R662" s="58" t="str">
        <f t="shared" si="10"/>
        <v/>
      </c>
      <c r="S662" s="25"/>
      <c r="T662" s="25"/>
      <c r="U662" s="25"/>
      <c r="V662" s="25"/>
      <c r="W662" s="25"/>
      <c r="X662" s="25"/>
    </row>
    <row r="663" spans="1:24" x14ac:dyDescent="0.25">
      <c r="A663" s="31" t="s">
        <v>1223</v>
      </c>
      <c r="B663" s="32"/>
      <c r="C663" s="50" t="str">
        <f>IF(B663="","",VLOOKUP(B663,'Product Master'!$B:$G,2,FALSE))</f>
        <v/>
      </c>
      <c r="D663" s="50" t="str">
        <f>IF(B663="","",VLOOKUP(B663,'Product Master'!$B:$G,3,FALSE))</f>
        <v/>
      </c>
      <c r="E663" s="50"/>
      <c r="F663" s="50">
        <f>SUMIF('Stock Purchase'!$D:$D,B663,'Stock Purchase'!$F:$F)</f>
        <v>0</v>
      </c>
      <c r="G663" s="50">
        <f>SUMIFS('Stock Adjustment'!$E:$E,'Stock Adjustment'!$B:$B,$A663,'Stock Adjustment'!$D:$D,"Customer Returned")</f>
        <v>0</v>
      </c>
      <c r="H663" s="50">
        <f>SUMIF('Daily Sales Entry'!$D:$D,B663,'Daily Sales Entry'!$G:$G)</f>
        <v>0</v>
      </c>
      <c r="I663" s="50">
        <f>SUMIFS('Stock Adjustment'!$E:$E,'Stock Adjustment'!$B:$B,$A663,'Stock Adjustment'!$D:$D,"Staff Consumption")</f>
        <v>0</v>
      </c>
      <c r="J663" s="50">
        <f>SUMIFS('Stock Adjustment'!$E:$E,'Stock Adjustment'!$B:$B,$A663,'Stock Adjustment'!$D:$D,"Damaged")</f>
        <v>0</v>
      </c>
      <c r="K663" s="50">
        <f>SUMIFS('Stock Adjustment'!$E:$E,'Stock Adjustment'!$B:$B,$A663,'Stock Adjustment'!$D:$D,"Expired")</f>
        <v>0</v>
      </c>
      <c r="L663" s="50">
        <f>SUMIFS('Stock Adjustment'!$E:$E,'Stock Adjustment'!$B:$B,$A663,'Stock Adjustment'!$D:$D,"Supplier Returned")</f>
        <v>0</v>
      </c>
      <c r="M6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3" s="53" t="str">
        <f>IF(B663="","",VLOOKUP(B663,'Product Master'!$B:$G,4,FALSE))</f>
        <v/>
      </c>
      <c r="O663" s="53" t="str">
        <f>IF(B663="","",VLOOKUP(B663,'Product Master'!$B:$G,5,FALSE))</f>
        <v/>
      </c>
      <c r="P663" s="50" t="str">
        <f>IF(B663="","",VLOOKUP(B663,'Product Master'!$B:$I,7,FALSE))</f>
        <v/>
      </c>
      <c r="Q663" s="158"/>
      <c r="R663" s="58" t="str">
        <f t="shared" si="10"/>
        <v/>
      </c>
      <c r="S663" s="25"/>
      <c r="T663" s="25"/>
      <c r="U663" s="25"/>
      <c r="V663" s="25"/>
      <c r="W663" s="25"/>
      <c r="X663" s="25"/>
    </row>
    <row r="664" spans="1:24" x14ac:dyDescent="0.25">
      <c r="A664" s="31" t="s">
        <v>1224</v>
      </c>
      <c r="B664" s="32"/>
      <c r="C664" s="50" t="str">
        <f>IF(B664="","",VLOOKUP(B664,'Product Master'!$B:$G,2,FALSE))</f>
        <v/>
      </c>
      <c r="D664" s="50" t="str">
        <f>IF(B664="","",VLOOKUP(B664,'Product Master'!$B:$G,3,FALSE))</f>
        <v/>
      </c>
      <c r="E664" s="50"/>
      <c r="F664" s="50">
        <f>SUMIF('Stock Purchase'!$D:$D,B664,'Stock Purchase'!$F:$F)</f>
        <v>0</v>
      </c>
      <c r="G664" s="50">
        <f>SUMIFS('Stock Adjustment'!$E:$E,'Stock Adjustment'!$B:$B,$A664,'Stock Adjustment'!$D:$D,"Customer Returned")</f>
        <v>0</v>
      </c>
      <c r="H664" s="50">
        <f>SUMIF('Daily Sales Entry'!$D:$D,B664,'Daily Sales Entry'!$G:$G)</f>
        <v>0</v>
      </c>
      <c r="I664" s="50">
        <f>SUMIFS('Stock Adjustment'!$E:$E,'Stock Adjustment'!$B:$B,$A664,'Stock Adjustment'!$D:$D,"Staff Consumption")</f>
        <v>0</v>
      </c>
      <c r="J664" s="50">
        <f>SUMIFS('Stock Adjustment'!$E:$E,'Stock Adjustment'!$B:$B,$A664,'Stock Adjustment'!$D:$D,"Damaged")</f>
        <v>0</v>
      </c>
      <c r="K664" s="50">
        <f>SUMIFS('Stock Adjustment'!$E:$E,'Stock Adjustment'!$B:$B,$A664,'Stock Adjustment'!$D:$D,"Expired")</f>
        <v>0</v>
      </c>
      <c r="L664" s="50">
        <f>SUMIFS('Stock Adjustment'!$E:$E,'Stock Adjustment'!$B:$B,$A664,'Stock Adjustment'!$D:$D,"Supplier Returned")</f>
        <v>0</v>
      </c>
      <c r="M6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4" s="53" t="str">
        <f>IF(B664="","",VLOOKUP(B664,'Product Master'!$B:$G,4,FALSE))</f>
        <v/>
      </c>
      <c r="O664" s="53" t="str">
        <f>IF(B664="","",VLOOKUP(B664,'Product Master'!$B:$G,5,FALSE))</f>
        <v/>
      </c>
      <c r="P664" s="50" t="str">
        <f>IF(B664="","",VLOOKUP(B664,'Product Master'!$B:$I,7,FALSE))</f>
        <v/>
      </c>
      <c r="Q664" s="158"/>
      <c r="R664" s="58" t="str">
        <f t="shared" si="10"/>
        <v/>
      </c>
      <c r="S664" s="25"/>
      <c r="T664" s="25"/>
      <c r="U664" s="25"/>
      <c r="V664" s="25"/>
      <c r="W664" s="25"/>
      <c r="X664" s="25"/>
    </row>
    <row r="665" spans="1:24" x14ac:dyDescent="0.25">
      <c r="A665" s="31" t="s">
        <v>1225</v>
      </c>
      <c r="B665" s="32"/>
      <c r="C665" s="50" t="str">
        <f>IF(B665="","",VLOOKUP(B665,'Product Master'!$B:$G,2,FALSE))</f>
        <v/>
      </c>
      <c r="D665" s="50" t="str">
        <f>IF(B665="","",VLOOKUP(B665,'Product Master'!$B:$G,3,FALSE))</f>
        <v/>
      </c>
      <c r="E665" s="50"/>
      <c r="F665" s="50">
        <f>SUMIF('Stock Purchase'!$D:$D,B665,'Stock Purchase'!$F:$F)</f>
        <v>0</v>
      </c>
      <c r="G665" s="50">
        <f>SUMIFS('Stock Adjustment'!$E:$E,'Stock Adjustment'!$B:$B,$A665,'Stock Adjustment'!$D:$D,"Customer Returned")</f>
        <v>0</v>
      </c>
      <c r="H665" s="50">
        <f>SUMIF('Daily Sales Entry'!$D:$D,B665,'Daily Sales Entry'!$G:$G)</f>
        <v>0</v>
      </c>
      <c r="I665" s="50">
        <f>SUMIFS('Stock Adjustment'!$E:$E,'Stock Adjustment'!$B:$B,$A665,'Stock Adjustment'!$D:$D,"Staff Consumption")</f>
        <v>0</v>
      </c>
      <c r="J665" s="50">
        <f>SUMIFS('Stock Adjustment'!$E:$E,'Stock Adjustment'!$B:$B,$A665,'Stock Adjustment'!$D:$D,"Damaged")</f>
        <v>0</v>
      </c>
      <c r="K665" s="50">
        <f>SUMIFS('Stock Adjustment'!$E:$E,'Stock Adjustment'!$B:$B,$A665,'Stock Adjustment'!$D:$D,"Expired")</f>
        <v>0</v>
      </c>
      <c r="L665" s="50">
        <f>SUMIFS('Stock Adjustment'!$E:$E,'Stock Adjustment'!$B:$B,$A665,'Stock Adjustment'!$D:$D,"Supplier Returned")</f>
        <v>0</v>
      </c>
      <c r="M6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5" s="53" t="str">
        <f>IF(B665="","",VLOOKUP(B665,'Product Master'!$B:$G,4,FALSE))</f>
        <v/>
      </c>
      <c r="O665" s="53" t="str">
        <f>IF(B665="","",VLOOKUP(B665,'Product Master'!$B:$G,5,FALSE))</f>
        <v/>
      </c>
      <c r="P665" s="50" t="str">
        <f>IF(B665="","",VLOOKUP(B665,'Product Master'!$B:$I,7,FALSE))</f>
        <v/>
      </c>
      <c r="Q665" s="158"/>
      <c r="R665" s="58" t="str">
        <f t="shared" si="10"/>
        <v/>
      </c>
      <c r="S665" s="25"/>
      <c r="T665" s="25"/>
      <c r="U665" s="25"/>
      <c r="V665" s="25"/>
      <c r="W665" s="25"/>
      <c r="X665" s="25"/>
    </row>
    <row r="666" spans="1:24" x14ac:dyDescent="0.25">
      <c r="A666" s="31" t="s">
        <v>1226</v>
      </c>
      <c r="B666" s="32"/>
      <c r="C666" s="50" t="str">
        <f>IF(B666="","",VLOOKUP(B666,'Product Master'!$B:$G,2,FALSE))</f>
        <v/>
      </c>
      <c r="D666" s="50" t="str">
        <f>IF(B666="","",VLOOKUP(B666,'Product Master'!$B:$G,3,FALSE))</f>
        <v/>
      </c>
      <c r="E666" s="50"/>
      <c r="F666" s="50">
        <f>SUMIF('Stock Purchase'!$D:$D,B666,'Stock Purchase'!$F:$F)</f>
        <v>0</v>
      </c>
      <c r="G666" s="50">
        <f>SUMIFS('Stock Adjustment'!$E:$E,'Stock Adjustment'!$B:$B,$A666,'Stock Adjustment'!$D:$D,"Customer Returned")</f>
        <v>0</v>
      </c>
      <c r="H666" s="50">
        <f>SUMIF('Daily Sales Entry'!$D:$D,B666,'Daily Sales Entry'!$G:$G)</f>
        <v>0</v>
      </c>
      <c r="I666" s="50">
        <f>SUMIFS('Stock Adjustment'!$E:$E,'Stock Adjustment'!$B:$B,$A666,'Stock Adjustment'!$D:$D,"Staff Consumption")</f>
        <v>0</v>
      </c>
      <c r="J666" s="50">
        <f>SUMIFS('Stock Adjustment'!$E:$E,'Stock Adjustment'!$B:$B,$A666,'Stock Adjustment'!$D:$D,"Damaged")</f>
        <v>0</v>
      </c>
      <c r="K666" s="50">
        <f>SUMIFS('Stock Adjustment'!$E:$E,'Stock Adjustment'!$B:$B,$A666,'Stock Adjustment'!$D:$D,"Expired")</f>
        <v>0</v>
      </c>
      <c r="L666" s="50">
        <f>SUMIFS('Stock Adjustment'!$E:$E,'Stock Adjustment'!$B:$B,$A666,'Stock Adjustment'!$D:$D,"Supplier Returned")</f>
        <v>0</v>
      </c>
      <c r="M6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6" s="53" t="str">
        <f>IF(B666="","",VLOOKUP(B666,'Product Master'!$B:$G,4,FALSE))</f>
        <v/>
      </c>
      <c r="O666" s="53" t="str">
        <f>IF(B666="","",VLOOKUP(B666,'Product Master'!$B:$G,5,FALSE))</f>
        <v/>
      </c>
      <c r="P666" s="50" t="str">
        <f>IF(B666="","",VLOOKUP(B666,'Product Master'!$B:$I,7,FALSE))</f>
        <v/>
      </c>
      <c r="Q666" s="158"/>
      <c r="R666" s="58" t="str">
        <f t="shared" si="10"/>
        <v/>
      </c>
      <c r="S666" s="25"/>
      <c r="T666" s="25"/>
      <c r="U666" s="25"/>
      <c r="V666" s="25"/>
      <c r="W666" s="25"/>
      <c r="X666" s="25"/>
    </row>
    <row r="667" spans="1:24" x14ac:dyDescent="0.25">
      <c r="A667" s="31" t="s">
        <v>1227</v>
      </c>
      <c r="B667" s="32"/>
      <c r="C667" s="50" t="str">
        <f>IF(B667="","",VLOOKUP(B667,'Product Master'!$B:$G,2,FALSE))</f>
        <v/>
      </c>
      <c r="D667" s="50" t="str">
        <f>IF(B667="","",VLOOKUP(B667,'Product Master'!$B:$G,3,FALSE))</f>
        <v/>
      </c>
      <c r="E667" s="50"/>
      <c r="F667" s="50">
        <f>SUMIF('Stock Purchase'!$D:$D,B667,'Stock Purchase'!$F:$F)</f>
        <v>0</v>
      </c>
      <c r="G667" s="50">
        <f>SUMIFS('Stock Adjustment'!$E:$E,'Stock Adjustment'!$B:$B,$A667,'Stock Adjustment'!$D:$D,"Customer Returned")</f>
        <v>0</v>
      </c>
      <c r="H667" s="50">
        <f>SUMIF('Daily Sales Entry'!$D:$D,B667,'Daily Sales Entry'!$G:$G)</f>
        <v>0</v>
      </c>
      <c r="I667" s="50">
        <f>SUMIFS('Stock Adjustment'!$E:$E,'Stock Adjustment'!$B:$B,$A667,'Stock Adjustment'!$D:$D,"Staff Consumption")</f>
        <v>0</v>
      </c>
      <c r="J667" s="50">
        <f>SUMIFS('Stock Adjustment'!$E:$E,'Stock Adjustment'!$B:$B,$A667,'Stock Adjustment'!$D:$D,"Damaged")</f>
        <v>0</v>
      </c>
      <c r="K667" s="50">
        <f>SUMIFS('Stock Adjustment'!$E:$E,'Stock Adjustment'!$B:$B,$A667,'Stock Adjustment'!$D:$D,"Expired")</f>
        <v>0</v>
      </c>
      <c r="L667" s="50">
        <f>SUMIFS('Stock Adjustment'!$E:$E,'Stock Adjustment'!$B:$B,$A667,'Stock Adjustment'!$D:$D,"Supplier Returned")</f>
        <v>0</v>
      </c>
      <c r="M6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7" s="53" t="str">
        <f>IF(B667="","",VLOOKUP(B667,'Product Master'!$B:$G,4,FALSE))</f>
        <v/>
      </c>
      <c r="O667" s="53" t="str">
        <f>IF(B667="","",VLOOKUP(B667,'Product Master'!$B:$G,5,FALSE))</f>
        <v/>
      </c>
      <c r="P667" s="50" t="str">
        <f>IF(B667="","",VLOOKUP(B667,'Product Master'!$B:$I,7,FALSE))</f>
        <v/>
      </c>
      <c r="Q667" s="158"/>
      <c r="R667" s="58" t="str">
        <f t="shared" si="10"/>
        <v/>
      </c>
      <c r="S667" s="25"/>
      <c r="T667" s="25"/>
      <c r="U667" s="25"/>
      <c r="V667" s="25"/>
      <c r="W667" s="25"/>
      <c r="X667" s="25"/>
    </row>
    <row r="668" spans="1:24" x14ac:dyDescent="0.25">
      <c r="A668" s="31" t="s">
        <v>1228</v>
      </c>
      <c r="B668" s="32"/>
      <c r="C668" s="50" t="str">
        <f>IF(B668="","",VLOOKUP(B668,'Product Master'!$B:$G,2,FALSE))</f>
        <v/>
      </c>
      <c r="D668" s="50" t="str">
        <f>IF(B668="","",VLOOKUP(B668,'Product Master'!$B:$G,3,FALSE))</f>
        <v/>
      </c>
      <c r="E668" s="50"/>
      <c r="F668" s="50">
        <f>SUMIF('Stock Purchase'!$D:$D,B668,'Stock Purchase'!$F:$F)</f>
        <v>0</v>
      </c>
      <c r="G668" s="50">
        <f>SUMIFS('Stock Adjustment'!$E:$E,'Stock Adjustment'!$B:$B,$A668,'Stock Adjustment'!$D:$D,"Customer Returned")</f>
        <v>0</v>
      </c>
      <c r="H668" s="50">
        <f>SUMIF('Daily Sales Entry'!$D:$D,B668,'Daily Sales Entry'!$G:$G)</f>
        <v>0</v>
      </c>
      <c r="I668" s="50">
        <f>SUMIFS('Stock Adjustment'!$E:$E,'Stock Adjustment'!$B:$B,$A668,'Stock Adjustment'!$D:$D,"Staff Consumption")</f>
        <v>0</v>
      </c>
      <c r="J668" s="50">
        <f>SUMIFS('Stock Adjustment'!$E:$E,'Stock Adjustment'!$B:$B,$A668,'Stock Adjustment'!$D:$D,"Damaged")</f>
        <v>0</v>
      </c>
      <c r="K668" s="50">
        <f>SUMIFS('Stock Adjustment'!$E:$E,'Stock Adjustment'!$B:$B,$A668,'Stock Adjustment'!$D:$D,"Expired")</f>
        <v>0</v>
      </c>
      <c r="L668" s="50">
        <f>SUMIFS('Stock Adjustment'!$E:$E,'Stock Adjustment'!$B:$B,$A668,'Stock Adjustment'!$D:$D,"Supplier Returned")</f>
        <v>0</v>
      </c>
      <c r="M6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8" s="53" t="str">
        <f>IF(B668="","",VLOOKUP(B668,'Product Master'!$B:$G,4,FALSE))</f>
        <v/>
      </c>
      <c r="O668" s="53" t="str">
        <f>IF(B668="","",VLOOKUP(B668,'Product Master'!$B:$G,5,FALSE))</f>
        <v/>
      </c>
      <c r="P668" s="50" t="str">
        <f>IF(B668="","",VLOOKUP(B668,'Product Master'!$B:$I,7,FALSE))</f>
        <v/>
      </c>
      <c r="Q668" s="158"/>
      <c r="R668" s="58" t="str">
        <f t="shared" si="10"/>
        <v/>
      </c>
      <c r="S668" s="25"/>
      <c r="T668" s="25"/>
      <c r="U668" s="25"/>
      <c r="V668" s="25"/>
      <c r="W668" s="25"/>
      <c r="X668" s="25"/>
    </row>
    <row r="669" spans="1:24" x14ac:dyDescent="0.25">
      <c r="A669" s="31" t="s">
        <v>1229</v>
      </c>
      <c r="B669" s="32"/>
      <c r="C669" s="50" t="str">
        <f>IF(B669="","",VLOOKUP(B669,'Product Master'!$B:$G,2,FALSE))</f>
        <v/>
      </c>
      <c r="D669" s="50" t="str">
        <f>IF(B669="","",VLOOKUP(B669,'Product Master'!$B:$G,3,FALSE))</f>
        <v/>
      </c>
      <c r="E669" s="50"/>
      <c r="F669" s="50">
        <f>SUMIF('Stock Purchase'!$D:$D,B669,'Stock Purchase'!$F:$F)</f>
        <v>0</v>
      </c>
      <c r="G669" s="50">
        <f>SUMIFS('Stock Adjustment'!$E:$E,'Stock Adjustment'!$B:$B,$A669,'Stock Adjustment'!$D:$D,"Customer Returned")</f>
        <v>0</v>
      </c>
      <c r="H669" s="50">
        <f>SUMIF('Daily Sales Entry'!$D:$D,B669,'Daily Sales Entry'!$G:$G)</f>
        <v>0</v>
      </c>
      <c r="I669" s="50">
        <f>SUMIFS('Stock Adjustment'!$E:$E,'Stock Adjustment'!$B:$B,$A669,'Stock Adjustment'!$D:$D,"Staff Consumption")</f>
        <v>0</v>
      </c>
      <c r="J669" s="50">
        <f>SUMIFS('Stock Adjustment'!$E:$E,'Stock Adjustment'!$B:$B,$A669,'Stock Adjustment'!$D:$D,"Damaged")</f>
        <v>0</v>
      </c>
      <c r="K669" s="50">
        <f>SUMIFS('Stock Adjustment'!$E:$E,'Stock Adjustment'!$B:$B,$A669,'Stock Adjustment'!$D:$D,"Expired")</f>
        <v>0</v>
      </c>
      <c r="L669" s="50">
        <f>SUMIFS('Stock Adjustment'!$E:$E,'Stock Adjustment'!$B:$B,$A669,'Stock Adjustment'!$D:$D,"Supplier Returned")</f>
        <v>0</v>
      </c>
      <c r="M6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69" s="53" t="str">
        <f>IF(B669="","",VLOOKUP(B669,'Product Master'!$B:$G,4,FALSE))</f>
        <v/>
      </c>
      <c r="O669" s="53" t="str">
        <f>IF(B669="","",VLOOKUP(B669,'Product Master'!$B:$G,5,FALSE))</f>
        <v/>
      </c>
      <c r="P669" s="50" t="str">
        <f>IF(B669="","",VLOOKUP(B669,'Product Master'!$B:$I,7,FALSE))</f>
        <v/>
      </c>
      <c r="Q669" s="158"/>
      <c r="R669" s="58" t="str">
        <f t="shared" si="10"/>
        <v/>
      </c>
      <c r="S669" s="25"/>
      <c r="T669" s="25"/>
      <c r="U669" s="25"/>
      <c r="V669" s="25"/>
      <c r="W669" s="25"/>
      <c r="X669" s="25"/>
    </row>
    <row r="670" spans="1:24" x14ac:dyDescent="0.25">
      <c r="A670" s="31" t="s">
        <v>1230</v>
      </c>
      <c r="B670" s="32"/>
      <c r="C670" s="50" t="str">
        <f>IF(B670="","",VLOOKUP(B670,'Product Master'!$B:$G,2,FALSE))</f>
        <v/>
      </c>
      <c r="D670" s="50" t="str">
        <f>IF(B670="","",VLOOKUP(B670,'Product Master'!$B:$G,3,FALSE))</f>
        <v/>
      </c>
      <c r="E670" s="50"/>
      <c r="F670" s="50">
        <f>SUMIF('Stock Purchase'!$D:$D,B670,'Stock Purchase'!$F:$F)</f>
        <v>0</v>
      </c>
      <c r="G670" s="50">
        <f>SUMIFS('Stock Adjustment'!$E:$E,'Stock Adjustment'!$B:$B,$A670,'Stock Adjustment'!$D:$D,"Customer Returned")</f>
        <v>0</v>
      </c>
      <c r="H670" s="50">
        <f>SUMIF('Daily Sales Entry'!$D:$D,B670,'Daily Sales Entry'!$G:$G)</f>
        <v>0</v>
      </c>
      <c r="I670" s="50">
        <f>SUMIFS('Stock Adjustment'!$E:$E,'Stock Adjustment'!$B:$B,$A670,'Stock Adjustment'!$D:$D,"Staff Consumption")</f>
        <v>0</v>
      </c>
      <c r="J670" s="50">
        <f>SUMIFS('Stock Adjustment'!$E:$E,'Stock Adjustment'!$B:$B,$A670,'Stock Adjustment'!$D:$D,"Damaged")</f>
        <v>0</v>
      </c>
      <c r="K670" s="50">
        <f>SUMIFS('Stock Adjustment'!$E:$E,'Stock Adjustment'!$B:$B,$A670,'Stock Adjustment'!$D:$D,"Expired")</f>
        <v>0</v>
      </c>
      <c r="L670" s="50">
        <f>SUMIFS('Stock Adjustment'!$E:$E,'Stock Adjustment'!$B:$B,$A670,'Stock Adjustment'!$D:$D,"Supplier Returned")</f>
        <v>0</v>
      </c>
      <c r="M6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0" s="53" t="str">
        <f>IF(B670="","",VLOOKUP(B670,'Product Master'!$B:$G,4,FALSE))</f>
        <v/>
      </c>
      <c r="O670" s="53" t="str">
        <f>IF(B670="","",VLOOKUP(B670,'Product Master'!$B:$G,5,FALSE))</f>
        <v/>
      </c>
      <c r="P670" s="50" t="str">
        <f>IF(B670="","",VLOOKUP(B670,'Product Master'!$B:$I,7,FALSE))</f>
        <v/>
      </c>
      <c r="Q670" s="158"/>
      <c r="R670" s="58" t="str">
        <f t="shared" si="10"/>
        <v/>
      </c>
      <c r="S670" s="25"/>
      <c r="T670" s="25"/>
      <c r="U670" s="25"/>
      <c r="V670" s="25"/>
      <c r="W670" s="25"/>
      <c r="X670" s="25"/>
    </row>
    <row r="671" spans="1:24" x14ac:dyDescent="0.25">
      <c r="A671" s="31" t="s">
        <v>1231</v>
      </c>
      <c r="B671" s="32"/>
      <c r="C671" s="50" t="str">
        <f>IF(B671="","",VLOOKUP(B671,'Product Master'!$B:$G,2,FALSE))</f>
        <v/>
      </c>
      <c r="D671" s="50" t="str">
        <f>IF(B671="","",VLOOKUP(B671,'Product Master'!$B:$G,3,FALSE))</f>
        <v/>
      </c>
      <c r="E671" s="50"/>
      <c r="F671" s="50">
        <f>SUMIF('Stock Purchase'!$D:$D,B671,'Stock Purchase'!$F:$F)</f>
        <v>0</v>
      </c>
      <c r="G671" s="50">
        <f>SUMIFS('Stock Adjustment'!$E:$E,'Stock Adjustment'!$B:$B,$A671,'Stock Adjustment'!$D:$D,"Customer Returned")</f>
        <v>0</v>
      </c>
      <c r="H671" s="50">
        <f>SUMIF('Daily Sales Entry'!$D:$D,B671,'Daily Sales Entry'!$G:$G)</f>
        <v>0</v>
      </c>
      <c r="I671" s="50">
        <f>SUMIFS('Stock Adjustment'!$E:$E,'Stock Adjustment'!$B:$B,$A671,'Stock Adjustment'!$D:$D,"Staff Consumption")</f>
        <v>0</v>
      </c>
      <c r="J671" s="50">
        <f>SUMIFS('Stock Adjustment'!$E:$E,'Stock Adjustment'!$B:$B,$A671,'Stock Adjustment'!$D:$D,"Damaged")</f>
        <v>0</v>
      </c>
      <c r="K671" s="50">
        <f>SUMIFS('Stock Adjustment'!$E:$E,'Stock Adjustment'!$B:$B,$A671,'Stock Adjustment'!$D:$D,"Expired")</f>
        <v>0</v>
      </c>
      <c r="L671" s="50">
        <f>SUMIFS('Stock Adjustment'!$E:$E,'Stock Adjustment'!$B:$B,$A671,'Stock Adjustment'!$D:$D,"Supplier Returned")</f>
        <v>0</v>
      </c>
      <c r="M6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1" s="53" t="str">
        <f>IF(B671="","",VLOOKUP(B671,'Product Master'!$B:$G,4,FALSE))</f>
        <v/>
      </c>
      <c r="O671" s="53" t="str">
        <f>IF(B671="","",VLOOKUP(B671,'Product Master'!$B:$G,5,FALSE))</f>
        <v/>
      </c>
      <c r="P671" s="50" t="str">
        <f>IF(B671="","",VLOOKUP(B671,'Product Master'!$B:$I,7,FALSE))</f>
        <v/>
      </c>
      <c r="Q671" s="158"/>
      <c r="R671" s="58" t="str">
        <f t="shared" si="10"/>
        <v/>
      </c>
      <c r="S671" s="25"/>
      <c r="T671" s="25"/>
      <c r="U671" s="25"/>
      <c r="V671" s="25"/>
      <c r="W671" s="25"/>
      <c r="X671" s="25"/>
    </row>
    <row r="672" spans="1:24" x14ac:dyDescent="0.25">
      <c r="A672" s="31" t="s">
        <v>1232</v>
      </c>
      <c r="B672" s="32"/>
      <c r="C672" s="50" t="str">
        <f>IF(B672="","",VLOOKUP(B672,'Product Master'!$B:$G,2,FALSE))</f>
        <v/>
      </c>
      <c r="D672" s="50" t="str">
        <f>IF(B672="","",VLOOKUP(B672,'Product Master'!$B:$G,3,FALSE))</f>
        <v/>
      </c>
      <c r="E672" s="50"/>
      <c r="F672" s="50">
        <f>SUMIF('Stock Purchase'!$D:$D,B672,'Stock Purchase'!$F:$F)</f>
        <v>0</v>
      </c>
      <c r="G672" s="50">
        <f>SUMIFS('Stock Adjustment'!$E:$E,'Stock Adjustment'!$B:$B,$A672,'Stock Adjustment'!$D:$D,"Customer Returned")</f>
        <v>0</v>
      </c>
      <c r="H672" s="50">
        <f>SUMIF('Daily Sales Entry'!$D:$D,B672,'Daily Sales Entry'!$G:$G)</f>
        <v>0</v>
      </c>
      <c r="I672" s="50">
        <f>SUMIFS('Stock Adjustment'!$E:$E,'Stock Adjustment'!$B:$B,$A672,'Stock Adjustment'!$D:$D,"Staff Consumption")</f>
        <v>0</v>
      </c>
      <c r="J672" s="50">
        <f>SUMIFS('Stock Adjustment'!$E:$E,'Stock Adjustment'!$B:$B,$A672,'Stock Adjustment'!$D:$D,"Damaged")</f>
        <v>0</v>
      </c>
      <c r="K672" s="50">
        <f>SUMIFS('Stock Adjustment'!$E:$E,'Stock Adjustment'!$B:$B,$A672,'Stock Adjustment'!$D:$D,"Expired")</f>
        <v>0</v>
      </c>
      <c r="L672" s="50">
        <f>SUMIFS('Stock Adjustment'!$E:$E,'Stock Adjustment'!$B:$B,$A672,'Stock Adjustment'!$D:$D,"Supplier Returned")</f>
        <v>0</v>
      </c>
      <c r="M6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2" s="53" t="str">
        <f>IF(B672="","",VLOOKUP(B672,'Product Master'!$B:$G,4,FALSE))</f>
        <v/>
      </c>
      <c r="O672" s="53" t="str">
        <f>IF(B672="","",VLOOKUP(B672,'Product Master'!$B:$G,5,FALSE))</f>
        <v/>
      </c>
      <c r="P672" s="50" t="str">
        <f>IF(B672="","",VLOOKUP(B672,'Product Master'!$B:$I,7,FALSE))</f>
        <v/>
      </c>
      <c r="Q672" s="158"/>
      <c r="R672" s="58" t="str">
        <f t="shared" si="10"/>
        <v/>
      </c>
      <c r="S672" s="25"/>
      <c r="T672" s="25"/>
      <c r="U672" s="25"/>
      <c r="V672" s="25"/>
      <c r="W672" s="25"/>
      <c r="X672" s="25"/>
    </row>
    <row r="673" spans="1:24" x14ac:dyDescent="0.25">
      <c r="A673" s="31" t="s">
        <v>1233</v>
      </c>
      <c r="B673" s="32"/>
      <c r="C673" s="50" t="str">
        <f>IF(B673="","",VLOOKUP(B673,'Product Master'!$B:$G,2,FALSE))</f>
        <v/>
      </c>
      <c r="D673" s="50" t="str">
        <f>IF(B673="","",VLOOKUP(B673,'Product Master'!$B:$G,3,FALSE))</f>
        <v/>
      </c>
      <c r="E673" s="50"/>
      <c r="F673" s="50">
        <f>SUMIF('Stock Purchase'!$D:$D,B673,'Stock Purchase'!$F:$F)</f>
        <v>0</v>
      </c>
      <c r="G673" s="50">
        <f>SUMIFS('Stock Adjustment'!$E:$E,'Stock Adjustment'!$B:$B,$A673,'Stock Adjustment'!$D:$D,"Customer Returned")</f>
        <v>0</v>
      </c>
      <c r="H673" s="50">
        <f>SUMIF('Daily Sales Entry'!$D:$D,B673,'Daily Sales Entry'!$G:$G)</f>
        <v>0</v>
      </c>
      <c r="I673" s="50">
        <f>SUMIFS('Stock Adjustment'!$E:$E,'Stock Adjustment'!$B:$B,$A673,'Stock Adjustment'!$D:$D,"Staff Consumption")</f>
        <v>0</v>
      </c>
      <c r="J673" s="50">
        <f>SUMIFS('Stock Adjustment'!$E:$E,'Stock Adjustment'!$B:$B,$A673,'Stock Adjustment'!$D:$D,"Damaged")</f>
        <v>0</v>
      </c>
      <c r="K673" s="50">
        <f>SUMIFS('Stock Adjustment'!$E:$E,'Stock Adjustment'!$B:$B,$A673,'Stock Adjustment'!$D:$D,"Expired")</f>
        <v>0</v>
      </c>
      <c r="L673" s="50">
        <f>SUMIFS('Stock Adjustment'!$E:$E,'Stock Adjustment'!$B:$B,$A673,'Stock Adjustment'!$D:$D,"Supplier Returned")</f>
        <v>0</v>
      </c>
      <c r="M6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3" s="53" t="str">
        <f>IF(B673="","",VLOOKUP(B673,'Product Master'!$B:$G,4,FALSE))</f>
        <v/>
      </c>
      <c r="O673" s="53" t="str">
        <f>IF(B673="","",VLOOKUP(B673,'Product Master'!$B:$G,5,FALSE))</f>
        <v/>
      </c>
      <c r="P673" s="50" t="str">
        <f>IF(B673="","",VLOOKUP(B673,'Product Master'!$B:$I,7,FALSE))</f>
        <v/>
      </c>
      <c r="Q673" s="158"/>
      <c r="R673" s="58" t="str">
        <f t="shared" si="10"/>
        <v/>
      </c>
      <c r="S673" s="25"/>
      <c r="T673" s="25"/>
      <c r="U673" s="25"/>
      <c r="V673" s="25"/>
      <c r="W673" s="25"/>
      <c r="X673" s="25"/>
    </row>
    <row r="674" spans="1:24" x14ac:dyDescent="0.25">
      <c r="A674" s="31" t="s">
        <v>1234</v>
      </c>
      <c r="B674" s="32"/>
      <c r="C674" s="50" t="str">
        <f>IF(B674="","",VLOOKUP(B674,'Product Master'!$B:$G,2,FALSE))</f>
        <v/>
      </c>
      <c r="D674" s="50" t="str">
        <f>IF(B674="","",VLOOKUP(B674,'Product Master'!$B:$G,3,FALSE))</f>
        <v/>
      </c>
      <c r="E674" s="50"/>
      <c r="F674" s="50">
        <f>SUMIF('Stock Purchase'!$D:$D,B674,'Stock Purchase'!$F:$F)</f>
        <v>0</v>
      </c>
      <c r="G674" s="50">
        <f>SUMIFS('Stock Adjustment'!$E:$E,'Stock Adjustment'!$B:$B,$A674,'Stock Adjustment'!$D:$D,"Customer Returned")</f>
        <v>0</v>
      </c>
      <c r="H674" s="50">
        <f>SUMIF('Daily Sales Entry'!$D:$D,B674,'Daily Sales Entry'!$G:$G)</f>
        <v>0</v>
      </c>
      <c r="I674" s="50">
        <f>SUMIFS('Stock Adjustment'!$E:$E,'Stock Adjustment'!$B:$B,$A674,'Stock Adjustment'!$D:$D,"Staff Consumption")</f>
        <v>0</v>
      </c>
      <c r="J674" s="50">
        <f>SUMIFS('Stock Adjustment'!$E:$E,'Stock Adjustment'!$B:$B,$A674,'Stock Adjustment'!$D:$D,"Damaged")</f>
        <v>0</v>
      </c>
      <c r="K674" s="50">
        <f>SUMIFS('Stock Adjustment'!$E:$E,'Stock Adjustment'!$B:$B,$A674,'Stock Adjustment'!$D:$D,"Expired")</f>
        <v>0</v>
      </c>
      <c r="L674" s="50">
        <f>SUMIFS('Stock Adjustment'!$E:$E,'Stock Adjustment'!$B:$B,$A674,'Stock Adjustment'!$D:$D,"Supplier Returned")</f>
        <v>0</v>
      </c>
      <c r="M6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4" s="53" t="str">
        <f>IF(B674="","",VLOOKUP(B674,'Product Master'!$B:$G,4,FALSE))</f>
        <v/>
      </c>
      <c r="O674" s="53" t="str">
        <f>IF(B674="","",VLOOKUP(B674,'Product Master'!$B:$G,5,FALSE))</f>
        <v/>
      </c>
      <c r="P674" s="50" t="str">
        <f>IF(B674="","",VLOOKUP(B674,'Product Master'!$B:$I,7,FALSE))</f>
        <v/>
      </c>
      <c r="Q674" s="158"/>
      <c r="R674" s="58" t="str">
        <f t="shared" si="10"/>
        <v/>
      </c>
      <c r="S674" s="25"/>
      <c r="T674" s="25"/>
      <c r="U674" s="25"/>
      <c r="V674" s="25"/>
      <c r="W674" s="25"/>
      <c r="X674" s="25"/>
    </row>
    <row r="675" spans="1:24" x14ac:dyDescent="0.25">
      <c r="A675" s="31" t="s">
        <v>1235</v>
      </c>
      <c r="B675" s="32"/>
      <c r="C675" s="50" t="str">
        <f>IF(B675="","",VLOOKUP(B675,'Product Master'!$B:$G,2,FALSE))</f>
        <v/>
      </c>
      <c r="D675" s="50" t="str">
        <f>IF(B675="","",VLOOKUP(B675,'Product Master'!$B:$G,3,FALSE))</f>
        <v/>
      </c>
      <c r="E675" s="50"/>
      <c r="F675" s="50">
        <f>SUMIF('Stock Purchase'!$D:$D,B675,'Stock Purchase'!$F:$F)</f>
        <v>0</v>
      </c>
      <c r="G675" s="50">
        <f>SUMIFS('Stock Adjustment'!$E:$E,'Stock Adjustment'!$B:$B,$A675,'Stock Adjustment'!$D:$D,"Customer Returned")</f>
        <v>0</v>
      </c>
      <c r="H675" s="50">
        <f>SUMIF('Daily Sales Entry'!$D:$D,B675,'Daily Sales Entry'!$G:$G)</f>
        <v>0</v>
      </c>
      <c r="I675" s="50">
        <f>SUMIFS('Stock Adjustment'!$E:$E,'Stock Adjustment'!$B:$B,$A675,'Stock Adjustment'!$D:$D,"Staff Consumption")</f>
        <v>0</v>
      </c>
      <c r="J675" s="50">
        <f>SUMIFS('Stock Adjustment'!$E:$E,'Stock Adjustment'!$B:$B,$A675,'Stock Adjustment'!$D:$D,"Damaged")</f>
        <v>0</v>
      </c>
      <c r="K675" s="50">
        <f>SUMIFS('Stock Adjustment'!$E:$E,'Stock Adjustment'!$B:$B,$A675,'Stock Adjustment'!$D:$D,"Expired")</f>
        <v>0</v>
      </c>
      <c r="L675" s="50">
        <f>SUMIFS('Stock Adjustment'!$E:$E,'Stock Adjustment'!$B:$B,$A675,'Stock Adjustment'!$D:$D,"Supplier Returned")</f>
        <v>0</v>
      </c>
      <c r="M6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5" s="53" t="str">
        <f>IF(B675="","",VLOOKUP(B675,'Product Master'!$B:$G,4,FALSE))</f>
        <v/>
      </c>
      <c r="O675" s="53" t="str">
        <f>IF(B675="","",VLOOKUP(B675,'Product Master'!$B:$G,5,FALSE))</f>
        <v/>
      </c>
      <c r="P675" s="50" t="str">
        <f>IF(B675="","",VLOOKUP(B675,'Product Master'!$B:$I,7,FALSE))</f>
        <v/>
      </c>
      <c r="Q675" s="158"/>
      <c r="R675" s="58" t="str">
        <f t="shared" si="10"/>
        <v/>
      </c>
      <c r="S675" s="25"/>
      <c r="T675" s="25"/>
      <c r="U675" s="25"/>
      <c r="V675" s="25"/>
      <c r="W675" s="25"/>
      <c r="X675" s="25"/>
    </row>
    <row r="676" spans="1:24" x14ac:dyDescent="0.25">
      <c r="A676" s="31" t="s">
        <v>1236</v>
      </c>
      <c r="B676" s="32"/>
      <c r="C676" s="50" t="str">
        <f>IF(B676="","",VLOOKUP(B676,'Product Master'!$B:$G,2,FALSE))</f>
        <v/>
      </c>
      <c r="D676" s="50" t="str">
        <f>IF(B676="","",VLOOKUP(B676,'Product Master'!$B:$G,3,FALSE))</f>
        <v/>
      </c>
      <c r="E676" s="50"/>
      <c r="F676" s="50">
        <f>SUMIF('Stock Purchase'!$D:$D,B676,'Stock Purchase'!$F:$F)</f>
        <v>0</v>
      </c>
      <c r="G676" s="50">
        <f>SUMIFS('Stock Adjustment'!$E:$E,'Stock Adjustment'!$B:$B,$A676,'Stock Adjustment'!$D:$D,"Customer Returned")</f>
        <v>0</v>
      </c>
      <c r="H676" s="50">
        <f>SUMIF('Daily Sales Entry'!$D:$D,B676,'Daily Sales Entry'!$G:$G)</f>
        <v>0</v>
      </c>
      <c r="I676" s="50">
        <f>SUMIFS('Stock Adjustment'!$E:$E,'Stock Adjustment'!$B:$B,$A676,'Stock Adjustment'!$D:$D,"Staff Consumption")</f>
        <v>0</v>
      </c>
      <c r="J676" s="50">
        <f>SUMIFS('Stock Adjustment'!$E:$E,'Stock Adjustment'!$B:$B,$A676,'Stock Adjustment'!$D:$D,"Damaged")</f>
        <v>0</v>
      </c>
      <c r="K676" s="50">
        <f>SUMIFS('Stock Adjustment'!$E:$E,'Stock Adjustment'!$B:$B,$A676,'Stock Adjustment'!$D:$D,"Expired")</f>
        <v>0</v>
      </c>
      <c r="L676" s="50">
        <f>SUMIFS('Stock Adjustment'!$E:$E,'Stock Adjustment'!$B:$B,$A676,'Stock Adjustment'!$D:$D,"Supplier Returned")</f>
        <v>0</v>
      </c>
      <c r="M6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6" s="53" t="str">
        <f>IF(B676="","",VLOOKUP(B676,'Product Master'!$B:$G,4,FALSE))</f>
        <v/>
      </c>
      <c r="O676" s="53" t="str">
        <f>IF(B676="","",VLOOKUP(B676,'Product Master'!$B:$G,5,FALSE))</f>
        <v/>
      </c>
      <c r="P676" s="50" t="str">
        <f>IF(B676="","",VLOOKUP(B676,'Product Master'!$B:$I,7,FALSE))</f>
        <v/>
      </c>
      <c r="Q676" s="158"/>
      <c r="R676" s="58" t="str">
        <f t="shared" si="10"/>
        <v/>
      </c>
      <c r="S676" s="25"/>
      <c r="T676" s="25"/>
      <c r="U676" s="25"/>
      <c r="V676" s="25"/>
      <c r="W676" s="25"/>
      <c r="X676" s="25"/>
    </row>
    <row r="677" spans="1:24" x14ac:dyDescent="0.25">
      <c r="A677" s="31" t="s">
        <v>1237</v>
      </c>
      <c r="B677" s="32"/>
      <c r="C677" s="50" t="str">
        <f>IF(B677="","",VLOOKUP(B677,'Product Master'!$B:$G,2,FALSE))</f>
        <v/>
      </c>
      <c r="D677" s="50" t="str">
        <f>IF(B677="","",VLOOKUP(B677,'Product Master'!$B:$G,3,FALSE))</f>
        <v/>
      </c>
      <c r="E677" s="50"/>
      <c r="F677" s="50">
        <f>SUMIF('Stock Purchase'!$D:$D,B677,'Stock Purchase'!$F:$F)</f>
        <v>0</v>
      </c>
      <c r="G677" s="50">
        <f>SUMIFS('Stock Adjustment'!$E:$E,'Stock Adjustment'!$B:$B,$A677,'Stock Adjustment'!$D:$D,"Customer Returned")</f>
        <v>0</v>
      </c>
      <c r="H677" s="50">
        <f>SUMIF('Daily Sales Entry'!$D:$D,B677,'Daily Sales Entry'!$G:$G)</f>
        <v>0</v>
      </c>
      <c r="I677" s="50">
        <f>SUMIFS('Stock Adjustment'!$E:$E,'Stock Adjustment'!$B:$B,$A677,'Stock Adjustment'!$D:$D,"Staff Consumption")</f>
        <v>0</v>
      </c>
      <c r="J677" s="50">
        <f>SUMIFS('Stock Adjustment'!$E:$E,'Stock Adjustment'!$B:$B,$A677,'Stock Adjustment'!$D:$D,"Damaged")</f>
        <v>0</v>
      </c>
      <c r="K677" s="50">
        <f>SUMIFS('Stock Adjustment'!$E:$E,'Stock Adjustment'!$B:$B,$A677,'Stock Adjustment'!$D:$D,"Expired")</f>
        <v>0</v>
      </c>
      <c r="L677" s="50">
        <f>SUMIFS('Stock Adjustment'!$E:$E,'Stock Adjustment'!$B:$B,$A677,'Stock Adjustment'!$D:$D,"Supplier Returned")</f>
        <v>0</v>
      </c>
      <c r="M6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7" s="53" t="str">
        <f>IF(B677="","",VLOOKUP(B677,'Product Master'!$B:$G,4,FALSE))</f>
        <v/>
      </c>
      <c r="O677" s="53" t="str">
        <f>IF(B677="","",VLOOKUP(B677,'Product Master'!$B:$G,5,FALSE))</f>
        <v/>
      </c>
      <c r="P677" s="50" t="str">
        <f>IF(B677="","",VLOOKUP(B677,'Product Master'!$B:$I,7,FALSE))</f>
        <v/>
      </c>
      <c r="Q677" s="158"/>
      <c r="R677" s="58" t="str">
        <f t="shared" si="10"/>
        <v/>
      </c>
      <c r="S677" s="25"/>
      <c r="T677" s="25"/>
      <c r="U677" s="25"/>
      <c r="V677" s="25"/>
      <c r="W677" s="25"/>
      <c r="X677" s="25"/>
    </row>
    <row r="678" spans="1:24" x14ac:dyDescent="0.25">
      <c r="A678" s="31" t="s">
        <v>1238</v>
      </c>
      <c r="B678" s="32"/>
      <c r="C678" s="50" t="str">
        <f>IF(B678="","",VLOOKUP(B678,'Product Master'!$B:$G,2,FALSE))</f>
        <v/>
      </c>
      <c r="D678" s="50" t="str">
        <f>IF(B678="","",VLOOKUP(B678,'Product Master'!$B:$G,3,FALSE))</f>
        <v/>
      </c>
      <c r="E678" s="50"/>
      <c r="F678" s="50">
        <f>SUMIF('Stock Purchase'!$D:$D,B678,'Stock Purchase'!$F:$F)</f>
        <v>0</v>
      </c>
      <c r="G678" s="50">
        <f>SUMIFS('Stock Adjustment'!$E:$E,'Stock Adjustment'!$B:$B,$A678,'Stock Adjustment'!$D:$D,"Customer Returned")</f>
        <v>0</v>
      </c>
      <c r="H678" s="50">
        <f>SUMIF('Daily Sales Entry'!$D:$D,B678,'Daily Sales Entry'!$G:$G)</f>
        <v>0</v>
      </c>
      <c r="I678" s="50">
        <f>SUMIFS('Stock Adjustment'!$E:$E,'Stock Adjustment'!$B:$B,$A678,'Stock Adjustment'!$D:$D,"Staff Consumption")</f>
        <v>0</v>
      </c>
      <c r="J678" s="50">
        <f>SUMIFS('Stock Adjustment'!$E:$E,'Stock Adjustment'!$B:$B,$A678,'Stock Adjustment'!$D:$D,"Damaged")</f>
        <v>0</v>
      </c>
      <c r="K678" s="50">
        <f>SUMIFS('Stock Adjustment'!$E:$E,'Stock Adjustment'!$B:$B,$A678,'Stock Adjustment'!$D:$D,"Expired")</f>
        <v>0</v>
      </c>
      <c r="L678" s="50">
        <f>SUMIFS('Stock Adjustment'!$E:$E,'Stock Adjustment'!$B:$B,$A678,'Stock Adjustment'!$D:$D,"Supplier Returned")</f>
        <v>0</v>
      </c>
      <c r="M6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8" s="53" t="str">
        <f>IF(B678="","",VLOOKUP(B678,'Product Master'!$B:$G,4,FALSE))</f>
        <v/>
      </c>
      <c r="O678" s="53" t="str">
        <f>IF(B678="","",VLOOKUP(B678,'Product Master'!$B:$G,5,FALSE))</f>
        <v/>
      </c>
      <c r="P678" s="50" t="str">
        <f>IF(B678="","",VLOOKUP(B678,'Product Master'!$B:$I,7,FALSE))</f>
        <v/>
      </c>
      <c r="Q678" s="158"/>
      <c r="R678" s="58" t="str">
        <f t="shared" si="10"/>
        <v/>
      </c>
      <c r="S678" s="25"/>
      <c r="T678" s="25"/>
      <c r="U678" s="25"/>
      <c r="V678" s="25"/>
      <c r="W678" s="25"/>
      <c r="X678" s="25"/>
    </row>
    <row r="679" spans="1:24" x14ac:dyDescent="0.25">
      <c r="A679" s="31" t="s">
        <v>1239</v>
      </c>
      <c r="B679" s="32"/>
      <c r="C679" s="50" t="str">
        <f>IF(B679="","",VLOOKUP(B679,'Product Master'!$B:$G,2,FALSE))</f>
        <v/>
      </c>
      <c r="D679" s="50" t="str">
        <f>IF(B679="","",VLOOKUP(B679,'Product Master'!$B:$G,3,FALSE))</f>
        <v/>
      </c>
      <c r="E679" s="50"/>
      <c r="F679" s="50">
        <f>SUMIF('Stock Purchase'!$D:$D,B679,'Stock Purchase'!$F:$F)</f>
        <v>0</v>
      </c>
      <c r="G679" s="50">
        <f>SUMIFS('Stock Adjustment'!$E:$E,'Stock Adjustment'!$B:$B,$A679,'Stock Adjustment'!$D:$D,"Customer Returned")</f>
        <v>0</v>
      </c>
      <c r="H679" s="50">
        <f>SUMIF('Daily Sales Entry'!$D:$D,B679,'Daily Sales Entry'!$G:$G)</f>
        <v>0</v>
      </c>
      <c r="I679" s="50">
        <f>SUMIFS('Stock Adjustment'!$E:$E,'Stock Adjustment'!$B:$B,$A679,'Stock Adjustment'!$D:$D,"Staff Consumption")</f>
        <v>0</v>
      </c>
      <c r="J679" s="50">
        <f>SUMIFS('Stock Adjustment'!$E:$E,'Stock Adjustment'!$B:$B,$A679,'Stock Adjustment'!$D:$D,"Damaged")</f>
        <v>0</v>
      </c>
      <c r="K679" s="50">
        <f>SUMIFS('Stock Adjustment'!$E:$E,'Stock Adjustment'!$B:$B,$A679,'Stock Adjustment'!$D:$D,"Expired")</f>
        <v>0</v>
      </c>
      <c r="L679" s="50">
        <f>SUMIFS('Stock Adjustment'!$E:$E,'Stock Adjustment'!$B:$B,$A679,'Stock Adjustment'!$D:$D,"Supplier Returned")</f>
        <v>0</v>
      </c>
      <c r="M6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79" s="53" t="str">
        <f>IF(B679="","",VLOOKUP(B679,'Product Master'!$B:$G,4,FALSE))</f>
        <v/>
      </c>
      <c r="O679" s="53" t="str">
        <f>IF(B679="","",VLOOKUP(B679,'Product Master'!$B:$G,5,FALSE))</f>
        <v/>
      </c>
      <c r="P679" s="50" t="str">
        <f>IF(B679="","",VLOOKUP(B679,'Product Master'!$B:$I,7,FALSE))</f>
        <v/>
      </c>
      <c r="Q679" s="158"/>
      <c r="R679" s="58" t="str">
        <f t="shared" si="10"/>
        <v/>
      </c>
      <c r="S679" s="25"/>
      <c r="T679" s="25"/>
      <c r="U679" s="25"/>
      <c r="V679" s="25"/>
      <c r="W679" s="25"/>
      <c r="X679" s="25"/>
    </row>
    <row r="680" spans="1:24" x14ac:dyDescent="0.25">
      <c r="A680" s="31" t="s">
        <v>1240</v>
      </c>
      <c r="B680" s="32"/>
      <c r="C680" s="50" t="str">
        <f>IF(B680="","",VLOOKUP(B680,'Product Master'!$B:$G,2,FALSE))</f>
        <v/>
      </c>
      <c r="D680" s="50" t="str">
        <f>IF(B680="","",VLOOKUP(B680,'Product Master'!$B:$G,3,FALSE))</f>
        <v/>
      </c>
      <c r="E680" s="50"/>
      <c r="F680" s="50">
        <f>SUMIF('Stock Purchase'!$D:$D,B680,'Stock Purchase'!$F:$F)</f>
        <v>0</v>
      </c>
      <c r="G680" s="50">
        <f>SUMIFS('Stock Adjustment'!$E:$E,'Stock Adjustment'!$B:$B,$A680,'Stock Adjustment'!$D:$D,"Customer Returned")</f>
        <v>0</v>
      </c>
      <c r="H680" s="50">
        <f>SUMIF('Daily Sales Entry'!$D:$D,B680,'Daily Sales Entry'!$G:$G)</f>
        <v>0</v>
      </c>
      <c r="I680" s="50">
        <f>SUMIFS('Stock Adjustment'!$E:$E,'Stock Adjustment'!$B:$B,$A680,'Stock Adjustment'!$D:$D,"Staff Consumption")</f>
        <v>0</v>
      </c>
      <c r="J680" s="50">
        <f>SUMIFS('Stock Adjustment'!$E:$E,'Stock Adjustment'!$B:$B,$A680,'Stock Adjustment'!$D:$D,"Damaged")</f>
        <v>0</v>
      </c>
      <c r="K680" s="50">
        <f>SUMIFS('Stock Adjustment'!$E:$E,'Stock Adjustment'!$B:$B,$A680,'Stock Adjustment'!$D:$D,"Expired")</f>
        <v>0</v>
      </c>
      <c r="L680" s="50">
        <f>SUMIFS('Stock Adjustment'!$E:$E,'Stock Adjustment'!$B:$B,$A680,'Stock Adjustment'!$D:$D,"Supplier Returned")</f>
        <v>0</v>
      </c>
      <c r="M6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0" s="53" t="str">
        <f>IF(B680="","",VLOOKUP(B680,'Product Master'!$B:$G,4,FALSE))</f>
        <v/>
      </c>
      <c r="O680" s="53" t="str">
        <f>IF(B680="","",VLOOKUP(B680,'Product Master'!$B:$G,5,FALSE))</f>
        <v/>
      </c>
      <c r="P680" s="50" t="str">
        <f>IF(B680="","",VLOOKUP(B680,'Product Master'!$B:$I,7,FALSE))</f>
        <v/>
      </c>
      <c r="Q680" s="158"/>
      <c r="R680" s="58" t="str">
        <f t="shared" si="10"/>
        <v/>
      </c>
      <c r="S680" s="25"/>
      <c r="T680" s="25"/>
      <c r="U680" s="25"/>
      <c r="V680" s="25"/>
      <c r="W680" s="25"/>
      <c r="X680" s="25"/>
    </row>
    <row r="681" spans="1:24" x14ac:dyDescent="0.25">
      <c r="A681" s="31" t="s">
        <v>1241</v>
      </c>
      <c r="B681" s="32"/>
      <c r="C681" s="50" t="str">
        <f>IF(B681="","",VLOOKUP(B681,'Product Master'!$B:$G,2,FALSE))</f>
        <v/>
      </c>
      <c r="D681" s="50" t="str">
        <f>IF(B681="","",VLOOKUP(B681,'Product Master'!$B:$G,3,FALSE))</f>
        <v/>
      </c>
      <c r="E681" s="50"/>
      <c r="F681" s="50">
        <f>SUMIF('Stock Purchase'!$D:$D,B681,'Stock Purchase'!$F:$F)</f>
        <v>0</v>
      </c>
      <c r="G681" s="50">
        <f>SUMIFS('Stock Adjustment'!$E:$E,'Stock Adjustment'!$B:$B,$A681,'Stock Adjustment'!$D:$D,"Customer Returned")</f>
        <v>0</v>
      </c>
      <c r="H681" s="50">
        <f>SUMIF('Daily Sales Entry'!$D:$D,B681,'Daily Sales Entry'!$G:$G)</f>
        <v>0</v>
      </c>
      <c r="I681" s="50">
        <f>SUMIFS('Stock Adjustment'!$E:$E,'Stock Adjustment'!$B:$B,$A681,'Stock Adjustment'!$D:$D,"Staff Consumption")</f>
        <v>0</v>
      </c>
      <c r="J681" s="50">
        <f>SUMIFS('Stock Adjustment'!$E:$E,'Stock Adjustment'!$B:$B,$A681,'Stock Adjustment'!$D:$D,"Damaged")</f>
        <v>0</v>
      </c>
      <c r="K681" s="50">
        <f>SUMIFS('Stock Adjustment'!$E:$E,'Stock Adjustment'!$B:$B,$A681,'Stock Adjustment'!$D:$D,"Expired")</f>
        <v>0</v>
      </c>
      <c r="L681" s="50">
        <f>SUMIFS('Stock Adjustment'!$E:$E,'Stock Adjustment'!$B:$B,$A681,'Stock Adjustment'!$D:$D,"Supplier Returned")</f>
        <v>0</v>
      </c>
      <c r="M6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1" s="53" t="str">
        <f>IF(B681="","",VLOOKUP(B681,'Product Master'!$B:$G,4,FALSE))</f>
        <v/>
      </c>
      <c r="O681" s="53" t="str">
        <f>IF(B681="","",VLOOKUP(B681,'Product Master'!$B:$G,5,FALSE))</f>
        <v/>
      </c>
      <c r="P681" s="50" t="str">
        <f>IF(B681="","",VLOOKUP(B681,'Product Master'!$B:$I,7,FALSE))</f>
        <v/>
      </c>
      <c r="Q681" s="158"/>
      <c r="R681" s="58" t="str">
        <f t="shared" si="10"/>
        <v/>
      </c>
      <c r="S681" s="25"/>
      <c r="T681" s="25"/>
      <c r="U681" s="25"/>
      <c r="V681" s="25"/>
      <c r="W681" s="25"/>
      <c r="X681" s="25"/>
    </row>
    <row r="682" spans="1:24" x14ac:dyDescent="0.25">
      <c r="A682" s="31" t="s">
        <v>1242</v>
      </c>
      <c r="B682" s="32"/>
      <c r="C682" s="50" t="str">
        <f>IF(B682="","",VLOOKUP(B682,'Product Master'!$B:$G,2,FALSE))</f>
        <v/>
      </c>
      <c r="D682" s="50" t="str">
        <f>IF(B682="","",VLOOKUP(B682,'Product Master'!$B:$G,3,FALSE))</f>
        <v/>
      </c>
      <c r="E682" s="50"/>
      <c r="F682" s="50">
        <f>SUMIF('Stock Purchase'!$D:$D,B682,'Stock Purchase'!$F:$F)</f>
        <v>0</v>
      </c>
      <c r="G682" s="50">
        <f>SUMIFS('Stock Adjustment'!$E:$E,'Stock Adjustment'!$B:$B,$A682,'Stock Adjustment'!$D:$D,"Customer Returned")</f>
        <v>0</v>
      </c>
      <c r="H682" s="50">
        <f>SUMIF('Daily Sales Entry'!$D:$D,B682,'Daily Sales Entry'!$G:$G)</f>
        <v>0</v>
      </c>
      <c r="I682" s="50">
        <f>SUMIFS('Stock Adjustment'!$E:$E,'Stock Adjustment'!$B:$B,$A682,'Stock Adjustment'!$D:$D,"Staff Consumption")</f>
        <v>0</v>
      </c>
      <c r="J682" s="50">
        <f>SUMIFS('Stock Adjustment'!$E:$E,'Stock Adjustment'!$B:$B,$A682,'Stock Adjustment'!$D:$D,"Damaged")</f>
        <v>0</v>
      </c>
      <c r="K682" s="50">
        <f>SUMIFS('Stock Adjustment'!$E:$E,'Stock Adjustment'!$B:$B,$A682,'Stock Adjustment'!$D:$D,"Expired")</f>
        <v>0</v>
      </c>
      <c r="L682" s="50">
        <f>SUMIFS('Stock Adjustment'!$E:$E,'Stock Adjustment'!$B:$B,$A682,'Stock Adjustment'!$D:$D,"Supplier Returned")</f>
        <v>0</v>
      </c>
      <c r="M6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2" s="53" t="str">
        <f>IF(B682="","",VLOOKUP(B682,'Product Master'!$B:$G,4,FALSE))</f>
        <v/>
      </c>
      <c r="O682" s="53" t="str">
        <f>IF(B682="","",VLOOKUP(B682,'Product Master'!$B:$G,5,FALSE))</f>
        <v/>
      </c>
      <c r="P682" s="50" t="str">
        <f>IF(B682="","",VLOOKUP(B682,'Product Master'!$B:$I,7,FALSE))</f>
        <v/>
      </c>
      <c r="Q682" s="158"/>
      <c r="R682" s="58" t="str">
        <f t="shared" si="10"/>
        <v/>
      </c>
      <c r="S682" s="25"/>
      <c r="T682" s="25"/>
      <c r="U682" s="25"/>
      <c r="V682" s="25"/>
      <c r="W682" s="25"/>
      <c r="X682" s="25"/>
    </row>
    <row r="683" spans="1:24" x14ac:dyDescent="0.25">
      <c r="A683" s="31" t="s">
        <v>1243</v>
      </c>
      <c r="B683" s="32"/>
      <c r="C683" s="50" t="str">
        <f>IF(B683="","",VLOOKUP(B683,'Product Master'!$B:$G,2,FALSE))</f>
        <v/>
      </c>
      <c r="D683" s="50" t="str">
        <f>IF(B683="","",VLOOKUP(B683,'Product Master'!$B:$G,3,FALSE))</f>
        <v/>
      </c>
      <c r="E683" s="50"/>
      <c r="F683" s="50">
        <f>SUMIF('Stock Purchase'!$D:$D,B683,'Stock Purchase'!$F:$F)</f>
        <v>0</v>
      </c>
      <c r="G683" s="50">
        <f>SUMIFS('Stock Adjustment'!$E:$E,'Stock Adjustment'!$B:$B,$A683,'Stock Adjustment'!$D:$D,"Customer Returned")</f>
        <v>0</v>
      </c>
      <c r="H683" s="50">
        <f>SUMIF('Daily Sales Entry'!$D:$D,B683,'Daily Sales Entry'!$G:$G)</f>
        <v>0</v>
      </c>
      <c r="I683" s="50">
        <f>SUMIFS('Stock Adjustment'!$E:$E,'Stock Adjustment'!$B:$B,$A683,'Stock Adjustment'!$D:$D,"Staff Consumption")</f>
        <v>0</v>
      </c>
      <c r="J683" s="50">
        <f>SUMIFS('Stock Adjustment'!$E:$E,'Stock Adjustment'!$B:$B,$A683,'Stock Adjustment'!$D:$D,"Damaged")</f>
        <v>0</v>
      </c>
      <c r="K683" s="50">
        <f>SUMIFS('Stock Adjustment'!$E:$E,'Stock Adjustment'!$B:$B,$A683,'Stock Adjustment'!$D:$D,"Expired")</f>
        <v>0</v>
      </c>
      <c r="L683" s="50">
        <f>SUMIFS('Stock Adjustment'!$E:$E,'Stock Adjustment'!$B:$B,$A683,'Stock Adjustment'!$D:$D,"Supplier Returned")</f>
        <v>0</v>
      </c>
      <c r="M6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3" s="53" t="str">
        <f>IF(B683="","",VLOOKUP(B683,'Product Master'!$B:$G,4,FALSE))</f>
        <v/>
      </c>
      <c r="O683" s="53" t="str">
        <f>IF(B683="","",VLOOKUP(B683,'Product Master'!$B:$G,5,FALSE))</f>
        <v/>
      </c>
      <c r="P683" s="50" t="str">
        <f>IF(B683="","",VLOOKUP(B683,'Product Master'!$B:$I,7,FALSE))</f>
        <v/>
      </c>
      <c r="Q683" s="158"/>
      <c r="R683" s="58" t="str">
        <f t="shared" si="10"/>
        <v/>
      </c>
      <c r="S683" s="25"/>
      <c r="T683" s="25"/>
      <c r="U683" s="25"/>
      <c r="V683" s="25"/>
      <c r="W683" s="25"/>
      <c r="X683" s="25"/>
    </row>
    <row r="684" spans="1:24" x14ac:dyDescent="0.25">
      <c r="A684" s="31" t="s">
        <v>1244</v>
      </c>
      <c r="B684" s="32"/>
      <c r="C684" s="50" t="str">
        <f>IF(B684="","",VLOOKUP(B684,'Product Master'!$B:$G,2,FALSE))</f>
        <v/>
      </c>
      <c r="D684" s="50" t="str">
        <f>IF(B684="","",VLOOKUP(B684,'Product Master'!$B:$G,3,FALSE))</f>
        <v/>
      </c>
      <c r="E684" s="50"/>
      <c r="F684" s="50">
        <f>SUMIF('Stock Purchase'!$D:$D,B684,'Stock Purchase'!$F:$F)</f>
        <v>0</v>
      </c>
      <c r="G684" s="50">
        <f>SUMIFS('Stock Adjustment'!$E:$E,'Stock Adjustment'!$B:$B,$A684,'Stock Adjustment'!$D:$D,"Customer Returned")</f>
        <v>0</v>
      </c>
      <c r="H684" s="50">
        <f>SUMIF('Daily Sales Entry'!$D:$D,B684,'Daily Sales Entry'!$G:$G)</f>
        <v>0</v>
      </c>
      <c r="I684" s="50">
        <f>SUMIFS('Stock Adjustment'!$E:$E,'Stock Adjustment'!$B:$B,$A684,'Stock Adjustment'!$D:$D,"Staff Consumption")</f>
        <v>0</v>
      </c>
      <c r="J684" s="50">
        <f>SUMIFS('Stock Adjustment'!$E:$E,'Stock Adjustment'!$B:$B,$A684,'Stock Adjustment'!$D:$D,"Damaged")</f>
        <v>0</v>
      </c>
      <c r="K684" s="50">
        <f>SUMIFS('Stock Adjustment'!$E:$E,'Stock Adjustment'!$B:$B,$A684,'Stock Adjustment'!$D:$D,"Expired")</f>
        <v>0</v>
      </c>
      <c r="L684" s="50">
        <f>SUMIFS('Stock Adjustment'!$E:$E,'Stock Adjustment'!$B:$B,$A684,'Stock Adjustment'!$D:$D,"Supplier Returned")</f>
        <v>0</v>
      </c>
      <c r="M6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4" s="53" t="str">
        <f>IF(B684="","",VLOOKUP(B684,'Product Master'!$B:$G,4,FALSE))</f>
        <v/>
      </c>
      <c r="O684" s="53" t="str">
        <f>IF(B684="","",VLOOKUP(B684,'Product Master'!$B:$G,5,FALSE))</f>
        <v/>
      </c>
      <c r="P684" s="50" t="str">
        <f>IF(B684="","",VLOOKUP(B684,'Product Master'!$B:$I,7,FALSE))</f>
        <v/>
      </c>
      <c r="Q684" s="158"/>
      <c r="R684" s="58" t="str">
        <f t="shared" si="10"/>
        <v/>
      </c>
      <c r="S684" s="25"/>
      <c r="T684" s="25"/>
      <c r="U684" s="25"/>
      <c r="V684" s="25"/>
      <c r="W684" s="25"/>
      <c r="X684" s="25"/>
    </row>
    <row r="685" spans="1:24" x14ac:dyDescent="0.25">
      <c r="A685" s="31" t="s">
        <v>1245</v>
      </c>
      <c r="B685" s="32"/>
      <c r="C685" s="50" t="str">
        <f>IF(B685="","",VLOOKUP(B685,'Product Master'!$B:$G,2,FALSE))</f>
        <v/>
      </c>
      <c r="D685" s="50" t="str">
        <f>IF(B685="","",VLOOKUP(B685,'Product Master'!$B:$G,3,FALSE))</f>
        <v/>
      </c>
      <c r="E685" s="50"/>
      <c r="F685" s="50">
        <f>SUMIF('Stock Purchase'!$D:$D,B685,'Stock Purchase'!$F:$F)</f>
        <v>0</v>
      </c>
      <c r="G685" s="50">
        <f>SUMIFS('Stock Adjustment'!$E:$E,'Stock Adjustment'!$B:$B,$A685,'Stock Adjustment'!$D:$D,"Customer Returned")</f>
        <v>0</v>
      </c>
      <c r="H685" s="50">
        <f>SUMIF('Daily Sales Entry'!$D:$D,B685,'Daily Sales Entry'!$G:$G)</f>
        <v>0</v>
      </c>
      <c r="I685" s="50">
        <f>SUMIFS('Stock Adjustment'!$E:$E,'Stock Adjustment'!$B:$B,$A685,'Stock Adjustment'!$D:$D,"Staff Consumption")</f>
        <v>0</v>
      </c>
      <c r="J685" s="50">
        <f>SUMIFS('Stock Adjustment'!$E:$E,'Stock Adjustment'!$B:$B,$A685,'Stock Adjustment'!$D:$D,"Damaged")</f>
        <v>0</v>
      </c>
      <c r="K685" s="50">
        <f>SUMIFS('Stock Adjustment'!$E:$E,'Stock Adjustment'!$B:$B,$A685,'Stock Adjustment'!$D:$D,"Expired")</f>
        <v>0</v>
      </c>
      <c r="L685" s="50">
        <f>SUMIFS('Stock Adjustment'!$E:$E,'Stock Adjustment'!$B:$B,$A685,'Stock Adjustment'!$D:$D,"Supplier Returned")</f>
        <v>0</v>
      </c>
      <c r="M6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5" s="53" t="str">
        <f>IF(B685="","",VLOOKUP(B685,'Product Master'!$B:$G,4,FALSE))</f>
        <v/>
      </c>
      <c r="O685" s="53" t="str">
        <f>IF(B685="","",VLOOKUP(B685,'Product Master'!$B:$G,5,FALSE))</f>
        <v/>
      </c>
      <c r="P685" s="50" t="str">
        <f>IF(B685="","",VLOOKUP(B685,'Product Master'!$B:$I,7,FALSE))</f>
        <v/>
      </c>
      <c r="Q685" s="158"/>
      <c r="R685" s="58" t="str">
        <f t="shared" si="10"/>
        <v/>
      </c>
      <c r="S685" s="25"/>
      <c r="T685" s="25"/>
      <c r="U685" s="25"/>
      <c r="V685" s="25"/>
      <c r="W685" s="25"/>
      <c r="X685" s="25"/>
    </row>
    <row r="686" spans="1:24" x14ac:dyDescent="0.25">
      <c r="A686" s="31" t="s">
        <v>1246</v>
      </c>
      <c r="B686" s="32"/>
      <c r="C686" s="50" t="str">
        <f>IF(B686="","",VLOOKUP(B686,'Product Master'!$B:$G,2,FALSE))</f>
        <v/>
      </c>
      <c r="D686" s="50" t="str">
        <f>IF(B686="","",VLOOKUP(B686,'Product Master'!$B:$G,3,FALSE))</f>
        <v/>
      </c>
      <c r="E686" s="50"/>
      <c r="F686" s="50">
        <f>SUMIF('Stock Purchase'!$D:$D,B686,'Stock Purchase'!$F:$F)</f>
        <v>0</v>
      </c>
      <c r="G686" s="50">
        <f>SUMIFS('Stock Adjustment'!$E:$E,'Stock Adjustment'!$B:$B,$A686,'Stock Adjustment'!$D:$D,"Customer Returned")</f>
        <v>0</v>
      </c>
      <c r="H686" s="50">
        <f>SUMIF('Daily Sales Entry'!$D:$D,B686,'Daily Sales Entry'!$G:$G)</f>
        <v>0</v>
      </c>
      <c r="I686" s="50">
        <f>SUMIFS('Stock Adjustment'!$E:$E,'Stock Adjustment'!$B:$B,$A686,'Stock Adjustment'!$D:$D,"Staff Consumption")</f>
        <v>0</v>
      </c>
      <c r="J686" s="50">
        <f>SUMIFS('Stock Adjustment'!$E:$E,'Stock Adjustment'!$B:$B,$A686,'Stock Adjustment'!$D:$D,"Damaged")</f>
        <v>0</v>
      </c>
      <c r="K686" s="50">
        <f>SUMIFS('Stock Adjustment'!$E:$E,'Stock Adjustment'!$B:$B,$A686,'Stock Adjustment'!$D:$D,"Expired")</f>
        <v>0</v>
      </c>
      <c r="L686" s="50">
        <f>SUMIFS('Stock Adjustment'!$E:$E,'Stock Adjustment'!$B:$B,$A686,'Stock Adjustment'!$D:$D,"Supplier Returned")</f>
        <v>0</v>
      </c>
      <c r="M6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6" s="53" t="str">
        <f>IF(B686="","",VLOOKUP(B686,'Product Master'!$B:$G,4,FALSE))</f>
        <v/>
      </c>
      <c r="O686" s="53" t="str">
        <f>IF(B686="","",VLOOKUP(B686,'Product Master'!$B:$G,5,FALSE))</f>
        <v/>
      </c>
      <c r="P686" s="50" t="str">
        <f>IF(B686="","",VLOOKUP(B686,'Product Master'!$B:$I,7,FALSE))</f>
        <v/>
      </c>
      <c r="Q686" s="158"/>
      <c r="R686" s="58" t="str">
        <f t="shared" si="10"/>
        <v/>
      </c>
      <c r="S686" s="25"/>
      <c r="T686" s="25"/>
      <c r="U686" s="25"/>
      <c r="V686" s="25"/>
      <c r="W686" s="25"/>
      <c r="X686" s="25"/>
    </row>
    <row r="687" spans="1:24" x14ac:dyDescent="0.25">
      <c r="A687" s="31" t="s">
        <v>1247</v>
      </c>
      <c r="B687" s="32"/>
      <c r="C687" s="50" t="str">
        <f>IF(B687="","",VLOOKUP(B687,'Product Master'!$B:$G,2,FALSE))</f>
        <v/>
      </c>
      <c r="D687" s="50" t="str">
        <f>IF(B687="","",VLOOKUP(B687,'Product Master'!$B:$G,3,FALSE))</f>
        <v/>
      </c>
      <c r="E687" s="50"/>
      <c r="F687" s="50">
        <f>SUMIF('Stock Purchase'!$D:$D,B687,'Stock Purchase'!$F:$F)</f>
        <v>0</v>
      </c>
      <c r="G687" s="50">
        <f>SUMIFS('Stock Adjustment'!$E:$E,'Stock Adjustment'!$B:$B,$A687,'Stock Adjustment'!$D:$D,"Customer Returned")</f>
        <v>0</v>
      </c>
      <c r="H687" s="50">
        <f>SUMIF('Daily Sales Entry'!$D:$D,B687,'Daily Sales Entry'!$G:$G)</f>
        <v>0</v>
      </c>
      <c r="I687" s="50">
        <f>SUMIFS('Stock Adjustment'!$E:$E,'Stock Adjustment'!$B:$B,$A687,'Stock Adjustment'!$D:$D,"Staff Consumption")</f>
        <v>0</v>
      </c>
      <c r="J687" s="50">
        <f>SUMIFS('Stock Adjustment'!$E:$E,'Stock Adjustment'!$B:$B,$A687,'Stock Adjustment'!$D:$D,"Damaged")</f>
        <v>0</v>
      </c>
      <c r="K687" s="50">
        <f>SUMIFS('Stock Adjustment'!$E:$E,'Stock Adjustment'!$B:$B,$A687,'Stock Adjustment'!$D:$D,"Expired")</f>
        <v>0</v>
      </c>
      <c r="L687" s="50">
        <f>SUMIFS('Stock Adjustment'!$E:$E,'Stock Adjustment'!$B:$B,$A687,'Stock Adjustment'!$D:$D,"Supplier Returned")</f>
        <v>0</v>
      </c>
      <c r="M6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7" s="53" t="str">
        <f>IF(B687="","",VLOOKUP(B687,'Product Master'!$B:$G,4,FALSE))</f>
        <v/>
      </c>
      <c r="O687" s="53" t="str">
        <f>IF(B687="","",VLOOKUP(B687,'Product Master'!$B:$G,5,FALSE))</f>
        <v/>
      </c>
      <c r="P687" s="50" t="str">
        <f>IF(B687="","",VLOOKUP(B687,'Product Master'!$B:$I,7,FALSE))</f>
        <v/>
      </c>
      <c r="Q687" s="158"/>
      <c r="R687" s="58" t="str">
        <f t="shared" si="10"/>
        <v/>
      </c>
      <c r="S687" s="25"/>
      <c r="T687" s="25"/>
      <c r="U687" s="25"/>
      <c r="V687" s="25"/>
      <c r="W687" s="25"/>
      <c r="X687" s="25"/>
    </row>
    <row r="688" spans="1:24" x14ac:dyDescent="0.25">
      <c r="A688" s="31" t="s">
        <v>1248</v>
      </c>
      <c r="B688" s="32"/>
      <c r="C688" s="50" t="str">
        <f>IF(B688="","",VLOOKUP(B688,'Product Master'!$B:$G,2,FALSE))</f>
        <v/>
      </c>
      <c r="D688" s="50" t="str">
        <f>IF(B688="","",VLOOKUP(B688,'Product Master'!$B:$G,3,FALSE))</f>
        <v/>
      </c>
      <c r="E688" s="50"/>
      <c r="F688" s="50">
        <f>SUMIF('Stock Purchase'!$D:$D,B688,'Stock Purchase'!$F:$F)</f>
        <v>0</v>
      </c>
      <c r="G688" s="50">
        <f>SUMIFS('Stock Adjustment'!$E:$E,'Stock Adjustment'!$B:$B,$A688,'Stock Adjustment'!$D:$D,"Customer Returned")</f>
        <v>0</v>
      </c>
      <c r="H688" s="50">
        <f>SUMIF('Daily Sales Entry'!$D:$D,B688,'Daily Sales Entry'!$G:$G)</f>
        <v>0</v>
      </c>
      <c r="I688" s="50">
        <f>SUMIFS('Stock Adjustment'!$E:$E,'Stock Adjustment'!$B:$B,$A688,'Stock Adjustment'!$D:$D,"Staff Consumption")</f>
        <v>0</v>
      </c>
      <c r="J688" s="50">
        <f>SUMIFS('Stock Adjustment'!$E:$E,'Stock Adjustment'!$B:$B,$A688,'Stock Adjustment'!$D:$D,"Damaged")</f>
        <v>0</v>
      </c>
      <c r="K688" s="50">
        <f>SUMIFS('Stock Adjustment'!$E:$E,'Stock Adjustment'!$B:$B,$A688,'Stock Adjustment'!$D:$D,"Expired")</f>
        <v>0</v>
      </c>
      <c r="L688" s="50">
        <f>SUMIFS('Stock Adjustment'!$E:$E,'Stock Adjustment'!$B:$B,$A688,'Stock Adjustment'!$D:$D,"Supplier Returned")</f>
        <v>0</v>
      </c>
      <c r="M6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8" s="53" t="str">
        <f>IF(B688="","",VLOOKUP(B688,'Product Master'!$B:$G,4,FALSE))</f>
        <v/>
      </c>
      <c r="O688" s="53" t="str">
        <f>IF(B688="","",VLOOKUP(B688,'Product Master'!$B:$G,5,FALSE))</f>
        <v/>
      </c>
      <c r="P688" s="50" t="str">
        <f>IF(B688="","",VLOOKUP(B688,'Product Master'!$B:$I,7,FALSE))</f>
        <v/>
      </c>
      <c r="Q688" s="158"/>
      <c r="R688" s="58" t="str">
        <f t="shared" si="10"/>
        <v/>
      </c>
      <c r="S688" s="25"/>
      <c r="T688" s="25"/>
      <c r="U688" s="25"/>
      <c r="V688" s="25"/>
      <c r="W688" s="25"/>
      <c r="X688" s="25"/>
    </row>
    <row r="689" spans="1:24" x14ac:dyDescent="0.25">
      <c r="A689" s="31" t="s">
        <v>1249</v>
      </c>
      <c r="B689" s="32"/>
      <c r="C689" s="50" t="str">
        <f>IF(B689="","",VLOOKUP(B689,'Product Master'!$B:$G,2,FALSE))</f>
        <v/>
      </c>
      <c r="D689" s="50" t="str">
        <f>IF(B689="","",VLOOKUP(B689,'Product Master'!$B:$G,3,FALSE))</f>
        <v/>
      </c>
      <c r="E689" s="50"/>
      <c r="F689" s="50">
        <f>SUMIF('Stock Purchase'!$D:$D,B689,'Stock Purchase'!$F:$F)</f>
        <v>0</v>
      </c>
      <c r="G689" s="50">
        <f>SUMIFS('Stock Adjustment'!$E:$E,'Stock Adjustment'!$B:$B,$A689,'Stock Adjustment'!$D:$D,"Customer Returned")</f>
        <v>0</v>
      </c>
      <c r="H689" s="50">
        <f>SUMIF('Daily Sales Entry'!$D:$D,B689,'Daily Sales Entry'!$G:$G)</f>
        <v>0</v>
      </c>
      <c r="I689" s="50">
        <f>SUMIFS('Stock Adjustment'!$E:$E,'Stock Adjustment'!$B:$B,$A689,'Stock Adjustment'!$D:$D,"Staff Consumption")</f>
        <v>0</v>
      </c>
      <c r="J689" s="50">
        <f>SUMIFS('Stock Adjustment'!$E:$E,'Stock Adjustment'!$B:$B,$A689,'Stock Adjustment'!$D:$D,"Damaged")</f>
        <v>0</v>
      </c>
      <c r="K689" s="50">
        <f>SUMIFS('Stock Adjustment'!$E:$E,'Stock Adjustment'!$B:$B,$A689,'Stock Adjustment'!$D:$D,"Expired")</f>
        <v>0</v>
      </c>
      <c r="L689" s="50">
        <f>SUMIFS('Stock Adjustment'!$E:$E,'Stock Adjustment'!$B:$B,$A689,'Stock Adjustment'!$D:$D,"Supplier Returned")</f>
        <v>0</v>
      </c>
      <c r="M6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89" s="53" t="str">
        <f>IF(B689="","",VLOOKUP(B689,'Product Master'!$B:$G,4,FALSE))</f>
        <v/>
      </c>
      <c r="O689" s="53" t="str">
        <f>IF(B689="","",VLOOKUP(B689,'Product Master'!$B:$G,5,FALSE))</f>
        <v/>
      </c>
      <c r="P689" s="50" t="str">
        <f>IF(B689="","",VLOOKUP(B689,'Product Master'!$B:$I,7,FALSE))</f>
        <v/>
      </c>
      <c r="Q689" s="158"/>
      <c r="R689" s="58" t="str">
        <f t="shared" si="10"/>
        <v/>
      </c>
      <c r="S689" s="25"/>
      <c r="T689" s="25"/>
      <c r="U689" s="25"/>
      <c r="V689" s="25"/>
      <c r="W689" s="25"/>
      <c r="X689" s="25"/>
    </row>
    <row r="690" spans="1:24" x14ac:dyDescent="0.25">
      <c r="A690" s="31" t="s">
        <v>1250</v>
      </c>
      <c r="B690" s="32"/>
      <c r="C690" s="50" t="str">
        <f>IF(B690="","",VLOOKUP(B690,'Product Master'!$B:$G,2,FALSE))</f>
        <v/>
      </c>
      <c r="D690" s="50" t="str">
        <f>IF(B690="","",VLOOKUP(B690,'Product Master'!$B:$G,3,FALSE))</f>
        <v/>
      </c>
      <c r="E690" s="50"/>
      <c r="F690" s="50">
        <f>SUMIF('Stock Purchase'!$D:$D,B690,'Stock Purchase'!$F:$F)</f>
        <v>0</v>
      </c>
      <c r="G690" s="50">
        <f>SUMIFS('Stock Adjustment'!$E:$E,'Stock Adjustment'!$B:$B,$A690,'Stock Adjustment'!$D:$D,"Customer Returned")</f>
        <v>0</v>
      </c>
      <c r="H690" s="50">
        <f>SUMIF('Daily Sales Entry'!$D:$D,B690,'Daily Sales Entry'!$G:$G)</f>
        <v>0</v>
      </c>
      <c r="I690" s="50">
        <f>SUMIFS('Stock Adjustment'!$E:$E,'Stock Adjustment'!$B:$B,$A690,'Stock Adjustment'!$D:$D,"Staff Consumption")</f>
        <v>0</v>
      </c>
      <c r="J690" s="50">
        <f>SUMIFS('Stock Adjustment'!$E:$E,'Stock Adjustment'!$B:$B,$A690,'Stock Adjustment'!$D:$D,"Damaged")</f>
        <v>0</v>
      </c>
      <c r="K690" s="50">
        <f>SUMIFS('Stock Adjustment'!$E:$E,'Stock Adjustment'!$B:$B,$A690,'Stock Adjustment'!$D:$D,"Expired")</f>
        <v>0</v>
      </c>
      <c r="L690" s="50">
        <f>SUMIFS('Stock Adjustment'!$E:$E,'Stock Adjustment'!$B:$B,$A690,'Stock Adjustment'!$D:$D,"Supplier Returned")</f>
        <v>0</v>
      </c>
      <c r="M6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0" s="53" t="str">
        <f>IF(B690="","",VLOOKUP(B690,'Product Master'!$B:$G,4,FALSE))</f>
        <v/>
      </c>
      <c r="O690" s="53" t="str">
        <f>IF(B690="","",VLOOKUP(B690,'Product Master'!$B:$G,5,FALSE))</f>
        <v/>
      </c>
      <c r="P690" s="50" t="str">
        <f>IF(B690="","",VLOOKUP(B690,'Product Master'!$B:$I,7,FALSE))</f>
        <v/>
      </c>
      <c r="Q690" s="158"/>
      <c r="R690" s="58" t="str">
        <f t="shared" si="10"/>
        <v/>
      </c>
      <c r="S690" s="25"/>
      <c r="T690" s="25"/>
      <c r="U690" s="25"/>
      <c r="V690" s="25"/>
      <c r="W690" s="25"/>
      <c r="X690" s="25"/>
    </row>
    <row r="691" spans="1:24" x14ac:dyDescent="0.25">
      <c r="A691" s="31" t="s">
        <v>1251</v>
      </c>
      <c r="B691" s="32"/>
      <c r="C691" s="50" t="str">
        <f>IF(B691="","",VLOOKUP(B691,'Product Master'!$B:$G,2,FALSE))</f>
        <v/>
      </c>
      <c r="D691" s="50" t="str">
        <f>IF(B691="","",VLOOKUP(B691,'Product Master'!$B:$G,3,FALSE))</f>
        <v/>
      </c>
      <c r="E691" s="50"/>
      <c r="F691" s="50">
        <f>SUMIF('Stock Purchase'!$D:$D,B691,'Stock Purchase'!$F:$F)</f>
        <v>0</v>
      </c>
      <c r="G691" s="50">
        <f>SUMIFS('Stock Adjustment'!$E:$E,'Stock Adjustment'!$B:$B,$A691,'Stock Adjustment'!$D:$D,"Customer Returned")</f>
        <v>0</v>
      </c>
      <c r="H691" s="50">
        <f>SUMIF('Daily Sales Entry'!$D:$D,B691,'Daily Sales Entry'!$G:$G)</f>
        <v>0</v>
      </c>
      <c r="I691" s="50">
        <f>SUMIFS('Stock Adjustment'!$E:$E,'Stock Adjustment'!$B:$B,$A691,'Stock Adjustment'!$D:$D,"Staff Consumption")</f>
        <v>0</v>
      </c>
      <c r="J691" s="50">
        <f>SUMIFS('Stock Adjustment'!$E:$E,'Stock Adjustment'!$B:$B,$A691,'Stock Adjustment'!$D:$D,"Damaged")</f>
        <v>0</v>
      </c>
      <c r="K691" s="50">
        <f>SUMIFS('Stock Adjustment'!$E:$E,'Stock Adjustment'!$B:$B,$A691,'Stock Adjustment'!$D:$D,"Expired")</f>
        <v>0</v>
      </c>
      <c r="L691" s="50">
        <f>SUMIFS('Stock Adjustment'!$E:$E,'Stock Adjustment'!$B:$B,$A691,'Stock Adjustment'!$D:$D,"Supplier Returned")</f>
        <v>0</v>
      </c>
      <c r="M6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1" s="53" t="str">
        <f>IF(B691="","",VLOOKUP(B691,'Product Master'!$B:$G,4,FALSE))</f>
        <v/>
      </c>
      <c r="O691" s="53" t="str">
        <f>IF(B691="","",VLOOKUP(B691,'Product Master'!$B:$G,5,FALSE))</f>
        <v/>
      </c>
      <c r="P691" s="50" t="str">
        <f>IF(B691="","",VLOOKUP(B691,'Product Master'!$B:$I,7,FALSE))</f>
        <v/>
      </c>
      <c r="Q691" s="158"/>
      <c r="R691" s="58" t="str">
        <f t="shared" si="10"/>
        <v/>
      </c>
      <c r="S691" s="25"/>
      <c r="T691" s="25"/>
      <c r="U691" s="25"/>
      <c r="V691" s="25"/>
      <c r="W691" s="25"/>
      <c r="X691" s="25"/>
    </row>
    <row r="692" spans="1:24" x14ac:dyDescent="0.25">
      <c r="A692" s="31" t="s">
        <v>1252</v>
      </c>
      <c r="B692" s="32"/>
      <c r="C692" s="50" t="str">
        <f>IF(B692="","",VLOOKUP(B692,'Product Master'!$B:$G,2,FALSE))</f>
        <v/>
      </c>
      <c r="D692" s="50" t="str">
        <f>IF(B692="","",VLOOKUP(B692,'Product Master'!$B:$G,3,FALSE))</f>
        <v/>
      </c>
      <c r="E692" s="50"/>
      <c r="F692" s="50">
        <f>SUMIF('Stock Purchase'!$D:$D,B692,'Stock Purchase'!$F:$F)</f>
        <v>0</v>
      </c>
      <c r="G692" s="50">
        <f>SUMIFS('Stock Adjustment'!$E:$E,'Stock Adjustment'!$B:$B,$A692,'Stock Adjustment'!$D:$D,"Customer Returned")</f>
        <v>0</v>
      </c>
      <c r="H692" s="50">
        <f>SUMIF('Daily Sales Entry'!$D:$D,B692,'Daily Sales Entry'!$G:$G)</f>
        <v>0</v>
      </c>
      <c r="I692" s="50">
        <f>SUMIFS('Stock Adjustment'!$E:$E,'Stock Adjustment'!$B:$B,$A692,'Stock Adjustment'!$D:$D,"Staff Consumption")</f>
        <v>0</v>
      </c>
      <c r="J692" s="50">
        <f>SUMIFS('Stock Adjustment'!$E:$E,'Stock Adjustment'!$B:$B,$A692,'Stock Adjustment'!$D:$D,"Damaged")</f>
        <v>0</v>
      </c>
      <c r="K692" s="50">
        <f>SUMIFS('Stock Adjustment'!$E:$E,'Stock Adjustment'!$B:$B,$A692,'Stock Adjustment'!$D:$D,"Expired")</f>
        <v>0</v>
      </c>
      <c r="L692" s="50">
        <f>SUMIFS('Stock Adjustment'!$E:$E,'Stock Adjustment'!$B:$B,$A692,'Stock Adjustment'!$D:$D,"Supplier Returned")</f>
        <v>0</v>
      </c>
      <c r="M6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2" s="53" t="str">
        <f>IF(B692="","",VLOOKUP(B692,'Product Master'!$B:$G,4,FALSE))</f>
        <v/>
      </c>
      <c r="O692" s="53" t="str">
        <f>IF(B692="","",VLOOKUP(B692,'Product Master'!$B:$G,5,FALSE))</f>
        <v/>
      </c>
      <c r="P692" s="50" t="str">
        <f>IF(B692="","",VLOOKUP(B692,'Product Master'!$B:$I,7,FALSE))</f>
        <v/>
      </c>
      <c r="Q692" s="158"/>
      <c r="R692" s="58" t="str">
        <f t="shared" si="10"/>
        <v/>
      </c>
      <c r="S692" s="25"/>
      <c r="T692" s="25"/>
      <c r="U692" s="25"/>
      <c r="V692" s="25"/>
      <c r="W692" s="25"/>
      <c r="X692" s="25"/>
    </row>
    <row r="693" spans="1:24" x14ac:dyDescent="0.25">
      <c r="A693" s="31" t="s">
        <v>1253</v>
      </c>
      <c r="B693" s="32"/>
      <c r="C693" s="50" t="str">
        <f>IF(B693="","",VLOOKUP(B693,'Product Master'!$B:$G,2,FALSE))</f>
        <v/>
      </c>
      <c r="D693" s="50" t="str">
        <f>IF(B693="","",VLOOKUP(B693,'Product Master'!$B:$G,3,FALSE))</f>
        <v/>
      </c>
      <c r="E693" s="50"/>
      <c r="F693" s="50">
        <f>SUMIF('Stock Purchase'!$D:$D,B693,'Stock Purchase'!$F:$F)</f>
        <v>0</v>
      </c>
      <c r="G693" s="50">
        <f>SUMIFS('Stock Adjustment'!$E:$E,'Stock Adjustment'!$B:$B,$A693,'Stock Adjustment'!$D:$D,"Customer Returned")</f>
        <v>0</v>
      </c>
      <c r="H693" s="50">
        <f>SUMIF('Daily Sales Entry'!$D:$D,B693,'Daily Sales Entry'!$G:$G)</f>
        <v>0</v>
      </c>
      <c r="I693" s="50">
        <f>SUMIFS('Stock Adjustment'!$E:$E,'Stock Adjustment'!$B:$B,$A693,'Stock Adjustment'!$D:$D,"Staff Consumption")</f>
        <v>0</v>
      </c>
      <c r="J693" s="50">
        <f>SUMIFS('Stock Adjustment'!$E:$E,'Stock Adjustment'!$B:$B,$A693,'Stock Adjustment'!$D:$D,"Damaged")</f>
        <v>0</v>
      </c>
      <c r="K693" s="50">
        <f>SUMIFS('Stock Adjustment'!$E:$E,'Stock Adjustment'!$B:$B,$A693,'Stock Adjustment'!$D:$D,"Expired")</f>
        <v>0</v>
      </c>
      <c r="L693" s="50">
        <f>SUMIFS('Stock Adjustment'!$E:$E,'Stock Adjustment'!$B:$B,$A693,'Stock Adjustment'!$D:$D,"Supplier Returned")</f>
        <v>0</v>
      </c>
      <c r="M6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3" s="53" t="str">
        <f>IF(B693="","",VLOOKUP(B693,'Product Master'!$B:$G,4,FALSE))</f>
        <v/>
      </c>
      <c r="O693" s="53" t="str">
        <f>IF(B693="","",VLOOKUP(B693,'Product Master'!$B:$G,5,FALSE))</f>
        <v/>
      </c>
      <c r="P693" s="50" t="str">
        <f>IF(B693="","",VLOOKUP(B693,'Product Master'!$B:$I,7,FALSE))</f>
        <v/>
      </c>
      <c r="Q693" s="158"/>
      <c r="R693" s="58" t="str">
        <f t="shared" si="10"/>
        <v/>
      </c>
      <c r="S693" s="25"/>
      <c r="T693" s="25"/>
      <c r="U693" s="25"/>
      <c r="V693" s="25"/>
      <c r="W693" s="25"/>
      <c r="X693" s="25"/>
    </row>
    <row r="694" spans="1:24" x14ac:dyDescent="0.25">
      <c r="A694" s="31" t="s">
        <v>1254</v>
      </c>
      <c r="B694" s="32"/>
      <c r="C694" s="50" t="str">
        <f>IF(B694="","",VLOOKUP(B694,'Product Master'!$B:$G,2,FALSE))</f>
        <v/>
      </c>
      <c r="D694" s="50" t="str">
        <f>IF(B694="","",VLOOKUP(B694,'Product Master'!$B:$G,3,FALSE))</f>
        <v/>
      </c>
      <c r="E694" s="50"/>
      <c r="F694" s="50">
        <f>SUMIF('Stock Purchase'!$D:$D,B694,'Stock Purchase'!$F:$F)</f>
        <v>0</v>
      </c>
      <c r="G694" s="50">
        <f>SUMIFS('Stock Adjustment'!$E:$E,'Stock Adjustment'!$B:$B,$A694,'Stock Adjustment'!$D:$D,"Customer Returned")</f>
        <v>0</v>
      </c>
      <c r="H694" s="50">
        <f>SUMIF('Daily Sales Entry'!$D:$D,B694,'Daily Sales Entry'!$G:$G)</f>
        <v>0</v>
      </c>
      <c r="I694" s="50">
        <f>SUMIFS('Stock Adjustment'!$E:$E,'Stock Adjustment'!$B:$B,$A694,'Stock Adjustment'!$D:$D,"Staff Consumption")</f>
        <v>0</v>
      </c>
      <c r="J694" s="50">
        <f>SUMIFS('Stock Adjustment'!$E:$E,'Stock Adjustment'!$B:$B,$A694,'Stock Adjustment'!$D:$D,"Damaged")</f>
        <v>0</v>
      </c>
      <c r="K694" s="50">
        <f>SUMIFS('Stock Adjustment'!$E:$E,'Stock Adjustment'!$B:$B,$A694,'Stock Adjustment'!$D:$D,"Expired")</f>
        <v>0</v>
      </c>
      <c r="L694" s="50">
        <f>SUMIFS('Stock Adjustment'!$E:$E,'Stock Adjustment'!$B:$B,$A694,'Stock Adjustment'!$D:$D,"Supplier Returned")</f>
        <v>0</v>
      </c>
      <c r="M6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4" s="53" t="str">
        <f>IF(B694="","",VLOOKUP(B694,'Product Master'!$B:$G,4,FALSE))</f>
        <v/>
      </c>
      <c r="O694" s="53" t="str">
        <f>IF(B694="","",VLOOKUP(B694,'Product Master'!$B:$G,5,FALSE))</f>
        <v/>
      </c>
      <c r="P694" s="50" t="str">
        <f>IF(B694="","",VLOOKUP(B694,'Product Master'!$B:$I,7,FALSE))</f>
        <v/>
      </c>
      <c r="Q694" s="158"/>
      <c r="R694" s="58" t="str">
        <f t="shared" si="10"/>
        <v/>
      </c>
      <c r="S694" s="25"/>
      <c r="T694" s="25"/>
      <c r="U694" s="25"/>
      <c r="V694" s="25"/>
      <c r="W694" s="25"/>
      <c r="X694" s="25"/>
    </row>
    <row r="695" spans="1:24" x14ac:dyDescent="0.25">
      <c r="A695" s="31" t="s">
        <v>1255</v>
      </c>
      <c r="B695" s="32"/>
      <c r="C695" s="50" t="str">
        <f>IF(B695="","",VLOOKUP(B695,'Product Master'!$B:$G,2,FALSE))</f>
        <v/>
      </c>
      <c r="D695" s="50" t="str">
        <f>IF(B695="","",VLOOKUP(B695,'Product Master'!$B:$G,3,FALSE))</f>
        <v/>
      </c>
      <c r="E695" s="50"/>
      <c r="F695" s="50">
        <f>SUMIF('Stock Purchase'!$D:$D,B695,'Stock Purchase'!$F:$F)</f>
        <v>0</v>
      </c>
      <c r="G695" s="50">
        <f>SUMIFS('Stock Adjustment'!$E:$E,'Stock Adjustment'!$B:$B,$A695,'Stock Adjustment'!$D:$D,"Customer Returned")</f>
        <v>0</v>
      </c>
      <c r="H695" s="50">
        <f>SUMIF('Daily Sales Entry'!$D:$D,B695,'Daily Sales Entry'!$G:$G)</f>
        <v>0</v>
      </c>
      <c r="I695" s="50">
        <f>SUMIFS('Stock Adjustment'!$E:$E,'Stock Adjustment'!$B:$B,$A695,'Stock Adjustment'!$D:$D,"Staff Consumption")</f>
        <v>0</v>
      </c>
      <c r="J695" s="50">
        <f>SUMIFS('Stock Adjustment'!$E:$E,'Stock Adjustment'!$B:$B,$A695,'Stock Adjustment'!$D:$D,"Damaged")</f>
        <v>0</v>
      </c>
      <c r="K695" s="50">
        <f>SUMIFS('Stock Adjustment'!$E:$E,'Stock Adjustment'!$B:$B,$A695,'Stock Adjustment'!$D:$D,"Expired")</f>
        <v>0</v>
      </c>
      <c r="L695" s="50">
        <f>SUMIFS('Stock Adjustment'!$E:$E,'Stock Adjustment'!$B:$B,$A695,'Stock Adjustment'!$D:$D,"Supplier Returned")</f>
        <v>0</v>
      </c>
      <c r="M6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5" s="53" t="str">
        <f>IF(B695="","",VLOOKUP(B695,'Product Master'!$B:$G,4,FALSE))</f>
        <v/>
      </c>
      <c r="O695" s="53" t="str">
        <f>IF(B695="","",VLOOKUP(B695,'Product Master'!$B:$G,5,FALSE))</f>
        <v/>
      </c>
      <c r="P695" s="50" t="str">
        <f>IF(B695="","",VLOOKUP(B695,'Product Master'!$B:$I,7,FALSE))</f>
        <v/>
      </c>
      <c r="Q695" s="158"/>
      <c r="R695" s="58" t="str">
        <f t="shared" si="10"/>
        <v/>
      </c>
      <c r="S695" s="25"/>
      <c r="T695" s="25"/>
      <c r="U695" s="25"/>
      <c r="V695" s="25"/>
      <c r="W695" s="25"/>
      <c r="X695" s="25"/>
    </row>
    <row r="696" spans="1:24" x14ac:dyDescent="0.25">
      <c r="A696" s="31" t="s">
        <v>1256</v>
      </c>
      <c r="B696" s="32"/>
      <c r="C696" s="50" t="str">
        <f>IF(B696="","",VLOOKUP(B696,'Product Master'!$B:$G,2,FALSE))</f>
        <v/>
      </c>
      <c r="D696" s="50" t="str">
        <f>IF(B696="","",VLOOKUP(B696,'Product Master'!$B:$G,3,FALSE))</f>
        <v/>
      </c>
      <c r="E696" s="50"/>
      <c r="F696" s="50">
        <f>SUMIF('Stock Purchase'!$D:$D,B696,'Stock Purchase'!$F:$F)</f>
        <v>0</v>
      </c>
      <c r="G696" s="50">
        <f>SUMIFS('Stock Adjustment'!$E:$E,'Stock Adjustment'!$B:$B,$A696,'Stock Adjustment'!$D:$D,"Customer Returned")</f>
        <v>0</v>
      </c>
      <c r="H696" s="50">
        <f>SUMIF('Daily Sales Entry'!$D:$D,B696,'Daily Sales Entry'!$G:$G)</f>
        <v>0</v>
      </c>
      <c r="I696" s="50">
        <f>SUMIFS('Stock Adjustment'!$E:$E,'Stock Adjustment'!$B:$B,$A696,'Stock Adjustment'!$D:$D,"Staff Consumption")</f>
        <v>0</v>
      </c>
      <c r="J696" s="50">
        <f>SUMIFS('Stock Adjustment'!$E:$E,'Stock Adjustment'!$B:$B,$A696,'Stock Adjustment'!$D:$D,"Damaged")</f>
        <v>0</v>
      </c>
      <c r="K696" s="50">
        <f>SUMIFS('Stock Adjustment'!$E:$E,'Stock Adjustment'!$B:$B,$A696,'Stock Adjustment'!$D:$D,"Expired")</f>
        <v>0</v>
      </c>
      <c r="L696" s="50">
        <f>SUMIFS('Stock Adjustment'!$E:$E,'Stock Adjustment'!$B:$B,$A696,'Stock Adjustment'!$D:$D,"Supplier Returned")</f>
        <v>0</v>
      </c>
      <c r="M6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6" s="53" t="str">
        <f>IF(B696="","",VLOOKUP(B696,'Product Master'!$B:$G,4,FALSE))</f>
        <v/>
      </c>
      <c r="O696" s="53" t="str">
        <f>IF(B696="","",VLOOKUP(B696,'Product Master'!$B:$G,5,FALSE))</f>
        <v/>
      </c>
      <c r="P696" s="50" t="str">
        <f>IF(B696="","",VLOOKUP(B696,'Product Master'!$B:$I,7,FALSE))</f>
        <v/>
      </c>
      <c r="Q696" s="158"/>
      <c r="R696" s="58" t="str">
        <f t="shared" si="10"/>
        <v/>
      </c>
      <c r="S696" s="25"/>
      <c r="T696" s="25"/>
      <c r="U696" s="25"/>
      <c r="V696" s="25"/>
      <c r="W696" s="25"/>
      <c r="X696" s="25"/>
    </row>
    <row r="697" spans="1:24" x14ac:dyDescent="0.25">
      <c r="A697" s="31" t="s">
        <v>1257</v>
      </c>
      <c r="B697" s="32"/>
      <c r="C697" s="50" t="str">
        <f>IF(B697="","",VLOOKUP(B697,'Product Master'!$B:$G,2,FALSE))</f>
        <v/>
      </c>
      <c r="D697" s="50" t="str">
        <f>IF(B697="","",VLOOKUP(B697,'Product Master'!$B:$G,3,FALSE))</f>
        <v/>
      </c>
      <c r="E697" s="50"/>
      <c r="F697" s="50">
        <f>SUMIF('Stock Purchase'!$D:$D,B697,'Stock Purchase'!$F:$F)</f>
        <v>0</v>
      </c>
      <c r="G697" s="50">
        <f>SUMIFS('Stock Adjustment'!$E:$E,'Stock Adjustment'!$B:$B,$A697,'Stock Adjustment'!$D:$D,"Customer Returned")</f>
        <v>0</v>
      </c>
      <c r="H697" s="50">
        <f>SUMIF('Daily Sales Entry'!$D:$D,B697,'Daily Sales Entry'!$G:$G)</f>
        <v>0</v>
      </c>
      <c r="I697" s="50">
        <f>SUMIFS('Stock Adjustment'!$E:$E,'Stock Adjustment'!$B:$B,$A697,'Stock Adjustment'!$D:$D,"Staff Consumption")</f>
        <v>0</v>
      </c>
      <c r="J697" s="50">
        <f>SUMIFS('Stock Adjustment'!$E:$E,'Stock Adjustment'!$B:$B,$A697,'Stock Adjustment'!$D:$D,"Damaged")</f>
        <v>0</v>
      </c>
      <c r="K697" s="50">
        <f>SUMIFS('Stock Adjustment'!$E:$E,'Stock Adjustment'!$B:$B,$A697,'Stock Adjustment'!$D:$D,"Expired")</f>
        <v>0</v>
      </c>
      <c r="L697" s="50">
        <f>SUMIFS('Stock Adjustment'!$E:$E,'Stock Adjustment'!$B:$B,$A697,'Stock Adjustment'!$D:$D,"Supplier Returned")</f>
        <v>0</v>
      </c>
      <c r="M6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7" s="53" t="str">
        <f>IF(B697="","",VLOOKUP(B697,'Product Master'!$B:$G,4,FALSE))</f>
        <v/>
      </c>
      <c r="O697" s="53" t="str">
        <f>IF(B697="","",VLOOKUP(B697,'Product Master'!$B:$G,5,FALSE))</f>
        <v/>
      </c>
      <c r="P697" s="50" t="str">
        <f>IF(B697="","",VLOOKUP(B697,'Product Master'!$B:$I,7,FALSE))</f>
        <v/>
      </c>
      <c r="Q697" s="158"/>
      <c r="R697" s="58" t="str">
        <f t="shared" si="10"/>
        <v/>
      </c>
      <c r="S697" s="25"/>
      <c r="T697" s="25"/>
      <c r="U697" s="25"/>
      <c r="V697" s="25"/>
      <c r="W697" s="25"/>
      <c r="X697" s="25"/>
    </row>
    <row r="698" spans="1:24" x14ac:dyDescent="0.25">
      <c r="A698" s="31" t="s">
        <v>1258</v>
      </c>
      <c r="B698" s="32"/>
      <c r="C698" s="50" t="str">
        <f>IF(B698="","",VLOOKUP(B698,'Product Master'!$B:$G,2,FALSE))</f>
        <v/>
      </c>
      <c r="D698" s="50" t="str">
        <f>IF(B698="","",VLOOKUP(B698,'Product Master'!$B:$G,3,FALSE))</f>
        <v/>
      </c>
      <c r="E698" s="50"/>
      <c r="F698" s="50">
        <f>SUMIF('Stock Purchase'!$D:$D,B698,'Stock Purchase'!$F:$F)</f>
        <v>0</v>
      </c>
      <c r="G698" s="50">
        <f>SUMIFS('Stock Adjustment'!$E:$E,'Stock Adjustment'!$B:$B,$A698,'Stock Adjustment'!$D:$D,"Customer Returned")</f>
        <v>0</v>
      </c>
      <c r="H698" s="50">
        <f>SUMIF('Daily Sales Entry'!$D:$D,B698,'Daily Sales Entry'!$G:$G)</f>
        <v>0</v>
      </c>
      <c r="I698" s="50">
        <f>SUMIFS('Stock Adjustment'!$E:$E,'Stock Adjustment'!$B:$B,$A698,'Stock Adjustment'!$D:$D,"Staff Consumption")</f>
        <v>0</v>
      </c>
      <c r="J698" s="50">
        <f>SUMIFS('Stock Adjustment'!$E:$E,'Stock Adjustment'!$B:$B,$A698,'Stock Adjustment'!$D:$D,"Damaged")</f>
        <v>0</v>
      </c>
      <c r="K698" s="50">
        <f>SUMIFS('Stock Adjustment'!$E:$E,'Stock Adjustment'!$B:$B,$A698,'Stock Adjustment'!$D:$D,"Expired")</f>
        <v>0</v>
      </c>
      <c r="L698" s="50">
        <f>SUMIFS('Stock Adjustment'!$E:$E,'Stock Adjustment'!$B:$B,$A698,'Stock Adjustment'!$D:$D,"Supplier Returned")</f>
        <v>0</v>
      </c>
      <c r="M6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8" s="53" t="str">
        <f>IF(B698="","",VLOOKUP(B698,'Product Master'!$B:$G,4,FALSE))</f>
        <v/>
      </c>
      <c r="O698" s="53" t="str">
        <f>IF(B698="","",VLOOKUP(B698,'Product Master'!$B:$G,5,FALSE))</f>
        <v/>
      </c>
      <c r="P698" s="50" t="str">
        <f>IF(B698="","",VLOOKUP(B698,'Product Master'!$B:$I,7,FALSE))</f>
        <v/>
      </c>
      <c r="Q698" s="158"/>
      <c r="R698" s="58" t="str">
        <f t="shared" si="10"/>
        <v/>
      </c>
      <c r="S698" s="25"/>
      <c r="T698" s="25"/>
      <c r="U698" s="25"/>
      <c r="V698" s="25"/>
      <c r="W698" s="25"/>
      <c r="X698" s="25"/>
    </row>
    <row r="699" spans="1:24" x14ac:dyDescent="0.25">
      <c r="A699" s="31" t="s">
        <v>1259</v>
      </c>
      <c r="B699" s="32"/>
      <c r="C699" s="50" t="str">
        <f>IF(B699="","",VLOOKUP(B699,'Product Master'!$B:$G,2,FALSE))</f>
        <v/>
      </c>
      <c r="D699" s="50" t="str">
        <f>IF(B699="","",VLOOKUP(B699,'Product Master'!$B:$G,3,FALSE))</f>
        <v/>
      </c>
      <c r="E699" s="50"/>
      <c r="F699" s="50">
        <f>SUMIF('Stock Purchase'!$D:$D,B699,'Stock Purchase'!$F:$F)</f>
        <v>0</v>
      </c>
      <c r="G699" s="50">
        <f>SUMIFS('Stock Adjustment'!$E:$E,'Stock Adjustment'!$B:$B,$A699,'Stock Adjustment'!$D:$D,"Customer Returned")</f>
        <v>0</v>
      </c>
      <c r="H699" s="50">
        <f>SUMIF('Daily Sales Entry'!$D:$D,B699,'Daily Sales Entry'!$G:$G)</f>
        <v>0</v>
      </c>
      <c r="I699" s="50">
        <f>SUMIFS('Stock Adjustment'!$E:$E,'Stock Adjustment'!$B:$B,$A699,'Stock Adjustment'!$D:$D,"Staff Consumption")</f>
        <v>0</v>
      </c>
      <c r="J699" s="50">
        <f>SUMIFS('Stock Adjustment'!$E:$E,'Stock Adjustment'!$B:$B,$A699,'Stock Adjustment'!$D:$D,"Damaged")</f>
        <v>0</v>
      </c>
      <c r="K699" s="50">
        <f>SUMIFS('Stock Adjustment'!$E:$E,'Stock Adjustment'!$B:$B,$A699,'Stock Adjustment'!$D:$D,"Expired")</f>
        <v>0</v>
      </c>
      <c r="L699" s="50">
        <f>SUMIFS('Stock Adjustment'!$E:$E,'Stock Adjustment'!$B:$B,$A699,'Stock Adjustment'!$D:$D,"Supplier Returned")</f>
        <v>0</v>
      </c>
      <c r="M6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699" s="53" t="str">
        <f>IF(B699="","",VLOOKUP(B699,'Product Master'!$B:$G,4,FALSE))</f>
        <v/>
      </c>
      <c r="O699" s="53" t="str">
        <f>IF(B699="","",VLOOKUP(B699,'Product Master'!$B:$G,5,FALSE))</f>
        <v/>
      </c>
      <c r="P699" s="50" t="str">
        <f>IF(B699="","",VLOOKUP(B699,'Product Master'!$B:$I,7,FALSE))</f>
        <v/>
      </c>
      <c r="Q699" s="158"/>
      <c r="R699" s="58" t="str">
        <f t="shared" si="10"/>
        <v/>
      </c>
      <c r="S699" s="25"/>
      <c r="T699" s="25"/>
      <c r="U699" s="25"/>
      <c r="V699" s="25"/>
      <c r="W699" s="25"/>
      <c r="X699" s="25"/>
    </row>
    <row r="700" spans="1:24" x14ac:dyDescent="0.25">
      <c r="A700" s="31" t="s">
        <v>1260</v>
      </c>
      <c r="B700" s="32"/>
      <c r="C700" s="50" t="str">
        <f>IF(B700="","",VLOOKUP(B700,'Product Master'!$B:$G,2,FALSE))</f>
        <v/>
      </c>
      <c r="D700" s="50" t="str">
        <f>IF(B700="","",VLOOKUP(B700,'Product Master'!$B:$G,3,FALSE))</f>
        <v/>
      </c>
      <c r="E700" s="50"/>
      <c r="F700" s="50">
        <f>SUMIF('Stock Purchase'!$D:$D,B700,'Stock Purchase'!$F:$F)</f>
        <v>0</v>
      </c>
      <c r="G700" s="50">
        <f>SUMIFS('Stock Adjustment'!$E:$E,'Stock Adjustment'!$B:$B,$A700,'Stock Adjustment'!$D:$D,"Customer Returned")</f>
        <v>0</v>
      </c>
      <c r="H700" s="50">
        <f>SUMIF('Daily Sales Entry'!$D:$D,B700,'Daily Sales Entry'!$G:$G)</f>
        <v>0</v>
      </c>
      <c r="I700" s="50">
        <f>SUMIFS('Stock Adjustment'!$E:$E,'Stock Adjustment'!$B:$B,$A700,'Stock Adjustment'!$D:$D,"Staff Consumption")</f>
        <v>0</v>
      </c>
      <c r="J700" s="50">
        <f>SUMIFS('Stock Adjustment'!$E:$E,'Stock Adjustment'!$B:$B,$A700,'Stock Adjustment'!$D:$D,"Damaged")</f>
        <v>0</v>
      </c>
      <c r="K700" s="50">
        <f>SUMIFS('Stock Adjustment'!$E:$E,'Stock Adjustment'!$B:$B,$A700,'Stock Adjustment'!$D:$D,"Expired")</f>
        <v>0</v>
      </c>
      <c r="L700" s="50">
        <f>SUMIFS('Stock Adjustment'!$E:$E,'Stock Adjustment'!$B:$B,$A700,'Stock Adjustment'!$D:$D,"Supplier Returned")</f>
        <v>0</v>
      </c>
      <c r="M7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0" s="53" t="str">
        <f>IF(B700="","",VLOOKUP(B700,'Product Master'!$B:$G,4,FALSE))</f>
        <v/>
      </c>
      <c r="O700" s="53" t="str">
        <f>IF(B700="","",VLOOKUP(B700,'Product Master'!$B:$G,5,FALSE))</f>
        <v/>
      </c>
      <c r="P700" s="50" t="str">
        <f>IF(B700="","",VLOOKUP(B700,'Product Master'!$B:$I,7,FALSE))</f>
        <v/>
      </c>
      <c r="Q700" s="158"/>
      <c r="R700" s="58" t="str">
        <f t="shared" si="10"/>
        <v/>
      </c>
      <c r="S700" s="25"/>
      <c r="T700" s="25"/>
      <c r="U700" s="25"/>
      <c r="V700" s="25"/>
      <c r="W700" s="25"/>
      <c r="X700" s="25"/>
    </row>
    <row r="701" spans="1:24" x14ac:dyDescent="0.25">
      <c r="A701" s="31" t="s">
        <v>1261</v>
      </c>
      <c r="B701" s="32"/>
      <c r="C701" s="50" t="str">
        <f>IF(B701="","",VLOOKUP(B701,'Product Master'!$B:$G,2,FALSE))</f>
        <v/>
      </c>
      <c r="D701" s="50" t="str">
        <f>IF(B701="","",VLOOKUP(B701,'Product Master'!$B:$G,3,FALSE))</f>
        <v/>
      </c>
      <c r="E701" s="50"/>
      <c r="F701" s="50">
        <f>SUMIF('Stock Purchase'!$D:$D,B701,'Stock Purchase'!$F:$F)</f>
        <v>0</v>
      </c>
      <c r="G701" s="50">
        <f>SUMIFS('Stock Adjustment'!$E:$E,'Stock Adjustment'!$B:$B,$A701,'Stock Adjustment'!$D:$D,"Customer Returned")</f>
        <v>0</v>
      </c>
      <c r="H701" s="50">
        <f>SUMIF('Daily Sales Entry'!$D:$D,B701,'Daily Sales Entry'!$G:$G)</f>
        <v>0</v>
      </c>
      <c r="I701" s="50">
        <f>SUMIFS('Stock Adjustment'!$E:$E,'Stock Adjustment'!$B:$B,$A701,'Stock Adjustment'!$D:$D,"Staff Consumption")</f>
        <v>0</v>
      </c>
      <c r="J701" s="50">
        <f>SUMIFS('Stock Adjustment'!$E:$E,'Stock Adjustment'!$B:$B,$A701,'Stock Adjustment'!$D:$D,"Damaged")</f>
        <v>0</v>
      </c>
      <c r="K701" s="50">
        <f>SUMIFS('Stock Adjustment'!$E:$E,'Stock Adjustment'!$B:$B,$A701,'Stock Adjustment'!$D:$D,"Expired")</f>
        <v>0</v>
      </c>
      <c r="L701" s="50">
        <f>SUMIFS('Stock Adjustment'!$E:$E,'Stock Adjustment'!$B:$B,$A701,'Stock Adjustment'!$D:$D,"Supplier Returned")</f>
        <v>0</v>
      </c>
      <c r="M7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1" s="53" t="str">
        <f>IF(B701="","",VLOOKUP(B701,'Product Master'!$B:$G,4,FALSE))</f>
        <v/>
      </c>
      <c r="O701" s="53" t="str">
        <f>IF(B701="","",VLOOKUP(B701,'Product Master'!$B:$G,5,FALSE))</f>
        <v/>
      </c>
      <c r="P701" s="50" t="str">
        <f>IF(B701="","",VLOOKUP(B701,'Product Master'!$B:$I,7,FALSE))</f>
        <v/>
      </c>
      <c r="Q701" s="158"/>
      <c r="R701" s="58" t="str">
        <f t="shared" si="10"/>
        <v/>
      </c>
      <c r="S701" s="25"/>
      <c r="T701" s="25"/>
      <c r="U701" s="25"/>
      <c r="V701" s="25"/>
      <c r="W701" s="25"/>
      <c r="X701" s="25"/>
    </row>
    <row r="702" spans="1:24" x14ac:dyDescent="0.25">
      <c r="A702" s="31" t="s">
        <v>1262</v>
      </c>
      <c r="B702" s="32"/>
      <c r="C702" s="50" t="str">
        <f>IF(B702="","",VLOOKUP(B702,'Product Master'!$B:$G,2,FALSE))</f>
        <v/>
      </c>
      <c r="D702" s="50" t="str">
        <f>IF(B702="","",VLOOKUP(B702,'Product Master'!$B:$G,3,FALSE))</f>
        <v/>
      </c>
      <c r="E702" s="50"/>
      <c r="F702" s="50">
        <f>SUMIF('Stock Purchase'!$D:$D,B702,'Stock Purchase'!$F:$F)</f>
        <v>0</v>
      </c>
      <c r="G702" s="50">
        <f>SUMIFS('Stock Adjustment'!$E:$E,'Stock Adjustment'!$B:$B,$A702,'Stock Adjustment'!$D:$D,"Customer Returned")</f>
        <v>0</v>
      </c>
      <c r="H702" s="50">
        <f>SUMIF('Daily Sales Entry'!$D:$D,B702,'Daily Sales Entry'!$G:$G)</f>
        <v>0</v>
      </c>
      <c r="I702" s="50">
        <f>SUMIFS('Stock Adjustment'!$E:$E,'Stock Adjustment'!$B:$B,$A702,'Stock Adjustment'!$D:$D,"Staff Consumption")</f>
        <v>0</v>
      </c>
      <c r="J702" s="50">
        <f>SUMIFS('Stock Adjustment'!$E:$E,'Stock Adjustment'!$B:$B,$A702,'Stock Adjustment'!$D:$D,"Damaged")</f>
        <v>0</v>
      </c>
      <c r="K702" s="50">
        <f>SUMIFS('Stock Adjustment'!$E:$E,'Stock Adjustment'!$B:$B,$A702,'Stock Adjustment'!$D:$D,"Expired")</f>
        <v>0</v>
      </c>
      <c r="L702" s="50">
        <f>SUMIFS('Stock Adjustment'!$E:$E,'Stock Adjustment'!$B:$B,$A702,'Stock Adjustment'!$D:$D,"Supplier Returned")</f>
        <v>0</v>
      </c>
      <c r="M7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2" s="53" t="str">
        <f>IF(B702="","",VLOOKUP(B702,'Product Master'!$B:$G,4,FALSE))</f>
        <v/>
      </c>
      <c r="O702" s="53" t="str">
        <f>IF(B702="","",VLOOKUP(B702,'Product Master'!$B:$G,5,FALSE))</f>
        <v/>
      </c>
      <c r="P702" s="50" t="str">
        <f>IF(B702="","",VLOOKUP(B702,'Product Master'!$B:$I,7,FALSE))</f>
        <v/>
      </c>
      <c r="Q702" s="158"/>
      <c r="R702" s="58" t="str">
        <f t="shared" si="10"/>
        <v/>
      </c>
      <c r="S702" s="25"/>
      <c r="T702" s="25"/>
      <c r="U702" s="25"/>
      <c r="V702" s="25"/>
      <c r="W702" s="25"/>
      <c r="X702" s="25"/>
    </row>
    <row r="703" spans="1:24" x14ac:dyDescent="0.25">
      <c r="A703" s="31" t="s">
        <v>1263</v>
      </c>
      <c r="B703" s="32"/>
      <c r="C703" s="50" t="str">
        <f>IF(B703="","",VLOOKUP(B703,'Product Master'!$B:$G,2,FALSE))</f>
        <v/>
      </c>
      <c r="D703" s="50" t="str">
        <f>IF(B703="","",VLOOKUP(B703,'Product Master'!$B:$G,3,FALSE))</f>
        <v/>
      </c>
      <c r="E703" s="50"/>
      <c r="F703" s="50">
        <f>SUMIF('Stock Purchase'!$D:$D,B703,'Stock Purchase'!$F:$F)</f>
        <v>0</v>
      </c>
      <c r="G703" s="50">
        <f>SUMIFS('Stock Adjustment'!$E:$E,'Stock Adjustment'!$B:$B,$A703,'Stock Adjustment'!$D:$D,"Customer Returned")</f>
        <v>0</v>
      </c>
      <c r="H703" s="50">
        <f>SUMIF('Daily Sales Entry'!$D:$D,B703,'Daily Sales Entry'!$G:$G)</f>
        <v>0</v>
      </c>
      <c r="I703" s="50">
        <f>SUMIFS('Stock Adjustment'!$E:$E,'Stock Adjustment'!$B:$B,$A703,'Stock Adjustment'!$D:$D,"Staff Consumption")</f>
        <v>0</v>
      </c>
      <c r="J703" s="50">
        <f>SUMIFS('Stock Adjustment'!$E:$E,'Stock Adjustment'!$B:$B,$A703,'Stock Adjustment'!$D:$D,"Damaged")</f>
        <v>0</v>
      </c>
      <c r="K703" s="50">
        <f>SUMIFS('Stock Adjustment'!$E:$E,'Stock Adjustment'!$B:$B,$A703,'Stock Adjustment'!$D:$D,"Expired")</f>
        <v>0</v>
      </c>
      <c r="L703" s="50">
        <f>SUMIFS('Stock Adjustment'!$E:$E,'Stock Adjustment'!$B:$B,$A703,'Stock Adjustment'!$D:$D,"Supplier Returned")</f>
        <v>0</v>
      </c>
      <c r="M7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3" s="53" t="str">
        <f>IF(B703="","",VLOOKUP(B703,'Product Master'!$B:$G,4,FALSE))</f>
        <v/>
      </c>
      <c r="O703" s="53" t="str">
        <f>IF(B703="","",VLOOKUP(B703,'Product Master'!$B:$G,5,FALSE))</f>
        <v/>
      </c>
      <c r="P703" s="50" t="str">
        <f>IF(B703="","",VLOOKUP(B703,'Product Master'!$B:$I,7,FALSE))</f>
        <v/>
      </c>
      <c r="Q703" s="158"/>
      <c r="R703" s="58" t="str">
        <f t="shared" si="10"/>
        <v/>
      </c>
      <c r="S703" s="25"/>
      <c r="T703" s="25"/>
      <c r="U703" s="25"/>
      <c r="V703" s="25"/>
      <c r="W703" s="25"/>
      <c r="X703" s="25"/>
    </row>
    <row r="704" spans="1:24" x14ac:dyDescent="0.25">
      <c r="A704" s="31" t="s">
        <v>1264</v>
      </c>
      <c r="B704" s="32"/>
      <c r="C704" s="50" t="str">
        <f>IF(B704="","",VLOOKUP(B704,'Product Master'!$B:$G,2,FALSE))</f>
        <v/>
      </c>
      <c r="D704" s="50" t="str">
        <f>IF(B704="","",VLOOKUP(B704,'Product Master'!$B:$G,3,FALSE))</f>
        <v/>
      </c>
      <c r="E704" s="50"/>
      <c r="F704" s="50">
        <f>SUMIF('Stock Purchase'!$D:$D,B704,'Stock Purchase'!$F:$F)</f>
        <v>0</v>
      </c>
      <c r="G704" s="50">
        <f>SUMIFS('Stock Adjustment'!$E:$E,'Stock Adjustment'!$B:$B,$A704,'Stock Adjustment'!$D:$D,"Customer Returned")</f>
        <v>0</v>
      </c>
      <c r="H704" s="50">
        <f>SUMIF('Daily Sales Entry'!$D:$D,B704,'Daily Sales Entry'!$G:$G)</f>
        <v>0</v>
      </c>
      <c r="I704" s="50">
        <f>SUMIFS('Stock Adjustment'!$E:$E,'Stock Adjustment'!$B:$B,$A704,'Stock Adjustment'!$D:$D,"Staff Consumption")</f>
        <v>0</v>
      </c>
      <c r="J704" s="50">
        <f>SUMIFS('Stock Adjustment'!$E:$E,'Stock Adjustment'!$B:$B,$A704,'Stock Adjustment'!$D:$D,"Damaged")</f>
        <v>0</v>
      </c>
      <c r="K704" s="50">
        <f>SUMIFS('Stock Adjustment'!$E:$E,'Stock Adjustment'!$B:$B,$A704,'Stock Adjustment'!$D:$D,"Expired")</f>
        <v>0</v>
      </c>
      <c r="L704" s="50">
        <f>SUMIFS('Stock Adjustment'!$E:$E,'Stock Adjustment'!$B:$B,$A704,'Stock Adjustment'!$D:$D,"Supplier Returned")</f>
        <v>0</v>
      </c>
      <c r="M7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4" s="53" t="str">
        <f>IF(B704="","",VLOOKUP(B704,'Product Master'!$B:$G,4,FALSE))</f>
        <v/>
      </c>
      <c r="O704" s="53" t="str">
        <f>IF(B704="","",VLOOKUP(B704,'Product Master'!$B:$G,5,FALSE))</f>
        <v/>
      </c>
      <c r="P704" s="50" t="str">
        <f>IF(B704="","",VLOOKUP(B704,'Product Master'!$B:$I,7,FALSE))</f>
        <v/>
      </c>
      <c r="Q704" s="158"/>
      <c r="R704" s="58" t="str">
        <f t="shared" si="10"/>
        <v/>
      </c>
      <c r="S704" s="25"/>
      <c r="T704" s="25"/>
      <c r="U704" s="25"/>
      <c r="V704" s="25"/>
      <c r="W704" s="25"/>
      <c r="X704" s="25"/>
    </row>
    <row r="705" spans="1:24" x14ac:dyDescent="0.25">
      <c r="A705" s="31" t="s">
        <v>1265</v>
      </c>
      <c r="B705" s="32"/>
      <c r="C705" s="50" t="str">
        <f>IF(B705="","",VLOOKUP(B705,'Product Master'!$B:$G,2,FALSE))</f>
        <v/>
      </c>
      <c r="D705" s="50" t="str">
        <f>IF(B705="","",VLOOKUP(B705,'Product Master'!$B:$G,3,FALSE))</f>
        <v/>
      </c>
      <c r="E705" s="50"/>
      <c r="F705" s="50">
        <f>SUMIF('Stock Purchase'!$D:$D,B705,'Stock Purchase'!$F:$F)</f>
        <v>0</v>
      </c>
      <c r="G705" s="50">
        <f>SUMIFS('Stock Adjustment'!$E:$E,'Stock Adjustment'!$B:$B,$A705,'Stock Adjustment'!$D:$D,"Customer Returned")</f>
        <v>0</v>
      </c>
      <c r="H705" s="50">
        <f>SUMIF('Daily Sales Entry'!$D:$D,B705,'Daily Sales Entry'!$G:$G)</f>
        <v>0</v>
      </c>
      <c r="I705" s="50">
        <f>SUMIFS('Stock Adjustment'!$E:$E,'Stock Adjustment'!$B:$B,$A705,'Stock Adjustment'!$D:$D,"Staff Consumption")</f>
        <v>0</v>
      </c>
      <c r="J705" s="50">
        <f>SUMIFS('Stock Adjustment'!$E:$E,'Stock Adjustment'!$B:$B,$A705,'Stock Adjustment'!$D:$D,"Damaged")</f>
        <v>0</v>
      </c>
      <c r="K705" s="50">
        <f>SUMIFS('Stock Adjustment'!$E:$E,'Stock Adjustment'!$B:$B,$A705,'Stock Adjustment'!$D:$D,"Expired")</f>
        <v>0</v>
      </c>
      <c r="L705" s="50">
        <f>SUMIFS('Stock Adjustment'!$E:$E,'Stock Adjustment'!$B:$B,$A705,'Stock Adjustment'!$D:$D,"Supplier Returned")</f>
        <v>0</v>
      </c>
      <c r="M7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5" s="53" t="str">
        <f>IF(B705="","",VLOOKUP(B705,'Product Master'!$B:$G,4,FALSE))</f>
        <v/>
      </c>
      <c r="O705" s="53" t="str">
        <f>IF(B705="","",VLOOKUP(B705,'Product Master'!$B:$G,5,FALSE))</f>
        <v/>
      </c>
      <c r="P705" s="50" t="str">
        <f>IF(B705="","",VLOOKUP(B705,'Product Master'!$B:$I,7,FALSE))</f>
        <v/>
      </c>
      <c r="Q705" s="158"/>
      <c r="R705" s="58" t="str">
        <f t="shared" si="10"/>
        <v/>
      </c>
      <c r="S705" s="25"/>
      <c r="T705" s="25"/>
      <c r="U705" s="25"/>
      <c r="V705" s="25"/>
      <c r="W705" s="25"/>
      <c r="X705" s="25"/>
    </row>
    <row r="706" spans="1:24" x14ac:dyDescent="0.25">
      <c r="A706" s="31" t="s">
        <v>1266</v>
      </c>
      <c r="B706" s="32"/>
      <c r="C706" s="50" t="str">
        <f>IF(B706="","",VLOOKUP(B706,'Product Master'!$B:$G,2,FALSE))</f>
        <v/>
      </c>
      <c r="D706" s="50" t="str">
        <f>IF(B706="","",VLOOKUP(B706,'Product Master'!$B:$G,3,FALSE))</f>
        <v/>
      </c>
      <c r="E706" s="50"/>
      <c r="F706" s="50">
        <f>SUMIF('Stock Purchase'!$D:$D,B706,'Stock Purchase'!$F:$F)</f>
        <v>0</v>
      </c>
      <c r="G706" s="50">
        <f>SUMIFS('Stock Adjustment'!$E:$E,'Stock Adjustment'!$B:$B,$A706,'Stock Adjustment'!$D:$D,"Customer Returned")</f>
        <v>0</v>
      </c>
      <c r="H706" s="50">
        <f>SUMIF('Daily Sales Entry'!$D:$D,B706,'Daily Sales Entry'!$G:$G)</f>
        <v>0</v>
      </c>
      <c r="I706" s="50">
        <f>SUMIFS('Stock Adjustment'!$E:$E,'Stock Adjustment'!$B:$B,$A706,'Stock Adjustment'!$D:$D,"Staff Consumption")</f>
        <v>0</v>
      </c>
      <c r="J706" s="50">
        <f>SUMIFS('Stock Adjustment'!$E:$E,'Stock Adjustment'!$B:$B,$A706,'Stock Adjustment'!$D:$D,"Damaged")</f>
        <v>0</v>
      </c>
      <c r="K706" s="50">
        <f>SUMIFS('Stock Adjustment'!$E:$E,'Stock Adjustment'!$B:$B,$A706,'Stock Adjustment'!$D:$D,"Expired")</f>
        <v>0</v>
      </c>
      <c r="L706" s="50">
        <f>SUMIFS('Stock Adjustment'!$E:$E,'Stock Adjustment'!$B:$B,$A706,'Stock Adjustment'!$D:$D,"Supplier Returned")</f>
        <v>0</v>
      </c>
      <c r="M7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6" s="53" t="str">
        <f>IF(B706="","",VLOOKUP(B706,'Product Master'!$B:$G,4,FALSE))</f>
        <v/>
      </c>
      <c r="O706" s="53" t="str">
        <f>IF(B706="","",VLOOKUP(B706,'Product Master'!$B:$G,5,FALSE))</f>
        <v/>
      </c>
      <c r="P706" s="50" t="str">
        <f>IF(B706="","",VLOOKUP(B706,'Product Master'!$B:$I,7,FALSE))</f>
        <v/>
      </c>
      <c r="Q706" s="158"/>
      <c r="R706" s="58" t="str">
        <f t="shared" ref="R706:R769" si="11">IF(B706="","",IF(M706=0,"Out of Stock",IF(M706&lt;=10,"Low Stock","In Stock")))</f>
        <v/>
      </c>
      <c r="S706" s="25"/>
      <c r="T706" s="25"/>
      <c r="U706" s="25"/>
      <c r="V706" s="25"/>
      <c r="W706" s="25"/>
      <c r="X706" s="25"/>
    </row>
    <row r="707" spans="1:24" x14ac:dyDescent="0.25">
      <c r="A707" s="31" t="s">
        <v>1267</v>
      </c>
      <c r="B707" s="32"/>
      <c r="C707" s="50" t="str">
        <f>IF(B707="","",VLOOKUP(B707,'Product Master'!$B:$G,2,FALSE))</f>
        <v/>
      </c>
      <c r="D707" s="50" t="str">
        <f>IF(B707="","",VLOOKUP(B707,'Product Master'!$B:$G,3,FALSE))</f>
        <v/>
      </c>
      <c r="E707" s="50"/>
      <c r="F707" s="50">
        <f>SUMIF('Stock Purchase'!$D:$D,B707,'Stock Purchase'!$F:$F)</f>
        <v>0</v>
      </c>
      <c r="G707" s="50">
        <f>SUMIFS('Stock Adjustment'!$E:$E,'Stock Adjustment'!$B:$B,$A707,'Stock Adjustment'!$D:$D,"Customer Returned")</f>
        <v>0</v>
      </c>
      <c r="H707" s="50">
        <f>SUMIF('Daily Sales Entry'!$D:$D,B707,'Daily Sales Entry'!$G:$G)</f>
        <v>0</v>
      </c>
      <c r="I707" s="50">
        <f>SUMIFS('Stock Adjustment'!$E:$E,'Stock Adjustment'!$B:$B,$A707,'Stock Adjustment'!$D:$D,"Staff Consumption")</f>
        <v>0</v>
      </c>
      <c r="J707" s="50">
        <f>SUMIFS('Stock Adjustment'!$E:$E,'Stock Adjustment'!$B:$B,$A707,'Stock Adjustment'!$D:$D,"Damaged")</f>
        <v>0</v>
      </c>
      <c r="K707" s="50">
        <f>SUMIFS('Stock Adjustment'!$E:$E,'Stock Adjustment'!$B:$B,$A707,'Stock Adjustment'!$D:$D,"Expired")</f>
        <v>0</v>
      </c>
      <c r="L707" s="50">
        <f>SUMIFS('Stock Adjustment'!$E:$E,'Stock Adjustment'!$B:$B,$A707,'Stock Adjustment'!$D:$D,"Supplier Returned")</f>
        <v>0</v>
      </c>
      <c r="M7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7" s="53" t="str">
        <f>IF(B707="","",VLOOKUP(B707,'Product Master'!$B:$G,4,FALSE))</f>
        <v/>
      </c>
      <c r="O707" s="53" t="str">
        <f>IF(B707="","",VLOOKUP(B707,'Product Master'!$B:$G,5,FALSE))</f>
        <v/>
      </c>
      <c r="P707" s="50" t="str">
        <f>IF(B707="","",VLOOKUP(B707,'Product Master'!$B:$I,7,FALSE))</f>
        <v/>
      </c>
      <c r="Q707" s="158"/>
      <c r="R707" s="58" t="str">
        <f t="shared" si="11"/>
        <v/>
      </c>
      <c r="S707" s="25"/>
      <c r="T707" s="25"/>
      <c r="U707" s="25"/>
      <c r="V707" s="25"/>
      <c r="W707" s="25"/>
      <c r="X707" s="25"/>
    </row>
    <row r="708" spans="1:24" x14ac:dyDescent="0.25">
      <c r="A708" s="31" t="s">
        <v>1268</v>
      </c>
      <c r="B708" s="32"/>
      <c r="C708" s="50" t="str">
        <f>IF(B708="","",VLOOKUP(B708,'Product Master'!$B:$G,2,FALSE))</f>
        <v/>
      </c>
      <c r="D708" s="50" t="str">
        <f>IF(B708="","",VLOOKUP(B708,'Product Master'!$B:$G,3,FALSE))</f>
        <v/>
      </c>
      <c r="E708" s="50"/>
      <c r="F708" s="50">
        <f>SUMIF('Stock Purchase'!$D:$D,B708,'Stock Purchase'!$F:$F)</f>
        <v>0</v>
      </c>
      <c r="G708" s="50">
        <f>SUMIFS('Stock Adjustment'!$E:$E,'Stock Adjustment'!$B:$B,$A708,'Stock Adjustment'!$D:$D,"Customer Returned")</f>
        <v>0</v>
      </c>
      <c r="H708" s="50">
        <f>SUMIF('Daily Sales Entry'!$D:$D,B708,'Daily Sales Entry'!$G:$G)</f>
        <v>0</v>
      </c>
      <c r="I708" s="50">
        <f>SUMIFS('Stock Adjustment'!$E:$E,'Stock Adjustment'!$B:$B,$A708,'Stock Adjustment'!$D:$D,"Staff Consumption")</f>
        <v>0</v>
      </c>
      <c r="J708" s="50">
        <f>SUMIFS('Stock Adjustment'!$E:$E,'Stock Adjustment'!$B:$B,$A708,'Stock Adjustment'!$D:$D,"Damaged")</f>
        <v>0</v>
      </c>
      <c r="K708" s="50">
        <f>SUMIFS('Stock Adjustment'!$E:$E,'Stock Adjustment'!$B:$B,$A708,'Stock Adjustment'!$D:$D,"Expired")</f>
        <v>0</v>
      </c>
      <c r="L708" s="50">
        <f>SUMIFS('Stock Adjustment'!$E:$E,'Stock Adjustment'!$B:$B,$A708,'Stock Adjustment'!$D:$D,"Supplier Returned")</f>
        <v>0</v>
      </c>
      <c r="M7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8" s="53" t="str">
        <f>IF(B708="","",VLOOKUP(B708,'Product Master'!$B:$G,4,FALSE))</f>
        <v/>
      </c>
      <c r="O708" s="53" t="str">
        <f>IF(B708="","",VLOOKUP(B708,'Product Master'!$B:$G,5,FALSE))</f>
        <v/>
      </c>
      <c r="P708" s="50" t="str">
        <f>IF(B708="","",VLOOKUP(B708,'Product Master'!$B:$I,7,FALSE))</f>
        <v/>
      </c>
      <c r="Q708" s="158"/>
      <c r="R708" s="58" t="str">
        <f t="shared" si="11"/>
        <v/>
      </c>
      <c r="S708" s="25"/>
      <c r="T708" s="25"/>
      <c r="U708" s="25"/>
      <c r="V708" s="25"/>
      <c r="W708" s="25"/>
      <c r="X708" s="25"/>
    </row>
    <row r="709" spans="1:24" x14ac:dyDescent="0.25">
      <c r="A709" s="31" t="s">
        <v>1269</v>
      </c>
      <c r="B709" s="32"/>
      <c r="C709" s="50" t="str">
        <f>IF(B709="","",VLOOKUP(B709,'Product Master'!$B:$G,2,FALSE))</f>
        <v/>
      </c>
      <c r="D709" s="50" t="str">
        <f>IF(B709="","",VLOOKUP(B709,'Product Master'!$B:$G,3,FALSE))</f>
        <v/>
      </c>
      <c r="E709" s="50"/>
      <c r="F709" s="50">
        <f>SUMIF('Stock Purchase'!$D:$D,B709,'Stock Purchase'!$F:$F)</f>
        <v>0</v>
      </c>
      <c r="G709" s="50">
        <f>SUMIFS('Stock Adjustment'!$E:$E,'Stock Adjustment'!$B:$B,$A709,'Stock Adjustment'!$D:$D,"Customer Returned")</f>
        <v>0</v>
      </c>
      <c r="H709" s="50">
        <f>SUMIF('Daily Sales Entry'!$D:$D,B709,'Daily Sales Entry'!$G:$G)</f>
        <v>0</v>
      </c>
      <c r="I709" s="50">
        <f>SUMIFS('Stock Adjustment'!$E:$E,'Stock Adjustment'!$B:$B,$A709,'Stock Adjustment'!$D:$D,"Staff Consumption")</f>
        <v>0</v>
      </c>
      <c r="J709" s="50">
        <f>SUMIFS('Stock Adjustment'!$E:$E,'Stock Adjustment'!$B:$B,$A709,'Stock Adjustment'!$D:$D,"Damaged")</f>
        <v>0</v>
      </c>
      <c r="K709" s="50">
        <f>SUMIFS('Stock Adjustment'!$E:$E,'Stock Adjustment'!$B:$B,$A709,'Stock Adjustment'!$D:$D,"Expired")</f>
        <v>0</v>
      </c>
      <c r="L709" s="50">
        <f>SUMIFS('Stock Adjustment'!$E:$E,'Stock Adjustment'!$B:$B,$A709,'Stock Adjustment'!$D:$D,"Supplier Returned")</f>
        <v>0</v>
      </c>
      <c r="M7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09" s="53" t="str">
        <f>IF(B709="","",VLOOKUP(B709,'Product Master'!$B:$G,4,FALSE))</f>
        <v/>
      </c>
      <c r="O709" s="53" t="str">
        <f>IF(B709="","",VLOOKUP(B709,'Product Master'!$B:$G,5,FALSE))</f>
        <v/>
      </c>
      <c r="P709" s="50" t="str">
        <f>IF(B709="","",VLOOKUP(B709,'Product Master'!$B:$I,7,FALSE))</f>
        <v/>
      </c>
      <c r="Q709" s="158"/>
      <c r="R709" s="58" t="str">
        <f t="shared" si="11"/>
        <v/>
      </c>
      <c r="S709" s="25"/>
      <c r="T709" s="25"/>
      <c r="U709" s="25"/>
      <c r="V709" s="25"/>
      <c r="W709" s="25"/>
      <c r="X709" s="25"/>
    </row>
    <row r="710" spans="1:24" x14ac:dyDescent="0.25">
      <c r="A710" s="31" t="s">
        <v>1270</v>
      </c>
      <c r="B710" s="32"/>
      <c r="C710" s="50" t="str">
        <f>IF(B710="","",VLOOKUP(B710,'Product Master'!$B:$G,2,FALSE))</f>
        <v/>
      </c>
      <c r="D710" s="50" t="str">
        <f>IF(B710="","",VLOOKUP(B710,'Product Master'!$B:$G,3,FALSE))</f>
        <v/>
      </c>
      <c r="E710" s="50"/>
      <c r="F710" s="50">
        <f>SUMIF('Stock Purchase'!$D:$D,B710,'Stock Purchase'!$F:$F)</f>
        <v>0</v>
      </c>
      <c r="G710" s="50">
        <f>SUMIFS('Stock Adjustment'!$E:$E,'Stock Adjustment'!$B:$B,$A710,'Stock Adjustment'!$D:$D,"Customer Returned")</f>
        <v>0</v>
      </c>
      <c r="H710" s="50">
        <f>SUMIF('Daily Sales Entry'!$D:$D,B710,'Daily Sales Entry'!$G:$G)</f>
        <v>0</v>
      </c>
      <c r="I710" s="50">
        <f>SUMIFS('Stock Adjustment'!$E:$E,'Stock Adjustment'!$B:$B,$A710,'Stock Adjustment'!$D:$D,"Staff Consumption")</f>
        <v>0</v>
      </c>
      <c r="J710" s="50">
        <f>SUMIFS('Stock Adjustment'!$E:$E,'Stock Adjustment'!$B:$B,$A710,'Stock Adjustment'!$D:$D,"Damaged")</f>
        <v>0</v>
      </c>
      <c r="K710" s="50">
        <f>SUMIFS('Stock Adjustment'!$E:$E,'Stock Adjustment'!$B:$B,$A710,'Stock Adjustment'!$D:$D,"Expired")</f>
        <v>0</v>
      </c>
      <c r="L710" s="50">
        <f>SUMIFS('Stock Adjustment'!$E:$E,'Stock Adjustment'!$B:$B,$A710,'Stock Adjustment'!$D:$D,"Supplier Returned")</f>
        <v>0</v>
      </c>
      <c r="M7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0" s="53" t="str">
        <f>IF(B710="","",VLOOKUP(B710,'Product Master'!$B:$G,4,FALSE))</f>
        <v/>
      </c>
      <c r="O710" s="53" t="str">
        <f>IF(B710="","",VLOOKUP(B710,'Product Master'!$B:$G,5,FALSE))</f>
        <v/>
      </c>
      <c r="P710" s="50" t="str">
        <f>IF(B710="","",VLOOKUP(B710,'Product Master'!$B:$I,7,FALSE))</f>
        <v/>
      </c>
      <c r="Q710" s="158"/>
      <c r="R710" s="58" t="str">
        <f t="shared" si="11"/>
        <v/>
      </c>
      <c r="S710" s="25"/>
      <c r="T710" s="25"/>
      <c r="U710" s="25"/>
      <c r="V710" s="25"/>
      <c r="W710" s="25"/>
      <c r="X710" s="25"/>
    </row>
    <row r="711" spans="1:24" x14ac:dyDescent="0.25">
      <c r="A711" s="31" t="s">
        <v>1271</v>
      </c>
      <c r="B711" s="32"/>
      <c r="C711" s="50" t="str">
        <f>IF(B711="","",VLOOKUP(B711,'Product Master'!$B:$G,2,FALSE))</f>
        <v/>
      </c>
      <c r="D711" s="50" t="str">
        <f>IF(B711="","",VLOOKUP(B711,'Product Master'!$B:$G,3,FALSE))</f>
        <v/>
      </c>
      <c r="E711" s="50"/>
      <c r="F711" s="50">
        <f>SUMIF('Stock Purchase'!$D:$D,B711,'Stock Purchase'!$F:$F)</f>
        <v>0</v>
      </c>
      <c r="G711" s="50">
        <f>SUMIFS('Stock Adjustment'!$E:$E,'Stock Adjustment'!$B:$B,$A711,'Stock Adjustment'!$D:$D,"Customer Returned")</f>
        <v>0</v>
      </c>
      <c r="H711" s="50">
        <f>SUMIF('Daily Sales Entry'!$D:$D,B711,'Daily Sales Entry'!$G:$G)</f>
        <v>0</v>
      </c>
      <c r="I711" s="50">
        <f>SUMIFS('Stock Adjustment'!$E:$E,'Stock Adjustment'!$B:$B,$A711,'Stock Adjustment'!$D:$D,"Staff Consumption")</f>
        <v>0</v>
      </c>
      <c r="J711" s="50">
        <f>SUMIFS('Stock Adjustment'!$E:$E,'Stock Adjustment'!$B:$B,$A711,'Stock Adjustment'!$D:$D,"Damaged")</f>
        <v>0</v>
      </c>
      <c r="K711" s="50">
        <f>SUMIFS('Stock Adjustment'!$E:$E,'Stock Adjustment'!$B:$B,$A711,'Stock Adjustment'!$D:$D,"Expired")</f>
        <v>0</v>
      </c>
      <c r="L711" s="50">
        <f>SUMIFS('Stock Adjustment'!$E:$E,'Stock Adjustment'!$B:$B,$A711,'Stock Adjustment'!$D:$D,"Supplier Returned")</f>
        <v>0</v>
      </c>
      <c r="M7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1" s="53" t="str">
        <f>IF(B711="","",VLOOKUP(B711,'Product Master'!$B:$G,4,FALSE))</f>
        <v/>
      </c>
      <c r="O711" s="53" t="str">
        <f>IF(B711="","",VLOOKUP(B711,'Product Master'!$B:$G,5,FALSE))</f>
        <v/>
      </c>
      <c r="P711" s="50" t="str">
        <f>IF(B711="","",VLOOKUP(B711,'Product Master'!$B:$I,7,FALSE))</f>
        <v/>
      </c>
      <c r="Q711" s="158"/>
      <c r="R711" s="58" t="str">
        <f t="shared" si="11"/>
        <v/>
      </c>
      <c r="S711" s="25"/>
      <c r="T711" s="25"/>
      <c r="U711" s="25"/>
      <c r="V711" s="25"/>
      <c r="W711" s="25"/>
      <c r="X711" s="25"/>
    </row>
    <row r="712" spans="1:24" x14ac:dyDescent="0.25">
      <c r="A712" s="31" t="s">
        <v>1272</v>
      </c>
      <c r="B712" s="32"/>
      <c r="C712" s="50" t="str">
        <f>IF(B712="","",VLOOKUP(B712,'Product Master'!$B:$G,2,FALSE))</f>
        <v/>
      </c>
      <c r="D712" s="50" t="str">
        <f>IF(B712="","",VLOOKUP(B712,'Product Master'!$B:$G,3,FALSE))</f>
        <v/>
      </c>
      <c r="E712" s="50"/>
      <c r="F712" s="50">
        <f>SUMIF('Stock Purchase'!$D:$D,B712,'Stock Purchase'!$F:$F)</f>
        <v>0</v>
      </c>
      <c r="G712" s="50">
        <f>SUMIFS('Stock Adjustment'!$E:$E,'Stock Adjustment'!$B:$B,$A712,'Stock Adjustment'!$D:$D,"Customer Returned")</f>
        <v>0</v>
      </c>
      <c r="H712" s="50">
        <f>SUMIF('Daily Sales Entry'!$D:$D,B712,'Daily Sales Entry'!$G:$G)</f>
        <v>0</v>
      </c>
      <c r="I712" s="50">
        <f>SUMIFS('Stock Adjustment'!$E:$E,'Stock Adjustment'!$B:$B,$A712,'Stock Adjustment'!$D:$D,"Staff Consumption")</f>
        <v>0</v>
      </c>
      <c r="J712" s="50">
        <f>SUMIFS('Stock Adjustment'!$E:$E,'Stock Adjustment'!$B:$B,$A712,'Stock Adjustment'!$D:$D,"Damaged")</f>
        <v>0</v>
      </c>
      <c r="K712" s="50">
        <f>SUMIFS('Stock Adjustment'!$E:$E,'Stock Adjustment'!$B:$B,$A712,'Stock Adjustment'!$D:$D,"Expired")</f>
        <v>0</v>
      </c>
      <c r="L712" s="50">
        <f>SUMIFS('Stock Adjustment'!$E:$E,'Stock Adjustment'!$B:$B,$A712,'Stock Adjustment'!$D:$D,"Supplier Returned")</f>
        <v>0</v>
      </c>
      <c r="M7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2" s="53" t="str">
        <f>IF(B712="","",VLOOKUP(B712,'Product Master'!$B:$G,4,FALSE))</f>
        <v/>
      </c>
      <c r="O712" s="53" t="str">
        <f>IF(B712="","",VLOOKUP(B712,'Product Master'!$B:$G,5,FALSE))</f>
        <v/>
      </c>
      <c r="P712" s="50" t="str">
        <f>IF(B712="","",VLOOKUP(B712,'Product Master'!$B:$I,7,FALSE))</f>
        <v/>
      </c>
      <c r="Q712" s="158"/>
      <c r="R712" s="58" t="str">
        <f t="shared" si="11"/>
        <v/>
      </c>
      <c r="S712" s="25"/>
      <c r="T712" s="25"/>
      <c r="U712" s="25"/>
      <c r="V712" s="25"/>
      <c r="W712" s="25"/>
      <c r="X712" s="25"/>
    </row>
    <row r="713" spans="1:24" x14ac:dyDescent="0.25">
      <c r="A713" s="31" t="s">
        <v>1273</v>
      </c>
      <c r="B713" s="32"/>
      <c r="C713" s="50" t="str">
        <f>IF(B713="","",VLOOKUP(B713,'Product Master'!$B:$G,2,FALSE))</f>
        <v/>
      </c>
      <c r="D713" s="50" t="str">
        <f>IF(B713="","",VLOOKUP(B713,'Product Master'!$B:$G,3,FALSE))</f>
        <v/>
      </c>
      <c r="E713" s="50"/>
      <c r="F713" s="50">
        <f>SUMIF('Stock Purchase'!$D:$D,B713,'Stock Purchase'!$F:$F)</f>
        <v>0</v>
      </c>
      <c r="G713" s="50">
        <f>SUMIFS('Stock Adjustment'!$E:$E,'Stock Adjustment'!$B:$B,$A713,'Stock Adjustment'!$D:$D,"Customer Returned")</f>
        <v>0</v>
      </c>
      <c r="H713" s="50">
        <f>SUMIF('Daily Sales Entry'!$D:$D,B713,'Daily Sales Entry'!$G:$G)</f>
        <v>0</v>
      </c>
      <c r="I713" s="50">
        <f>SUMIFS('Stock Adjustment'!$E:$E,'Stock Adjustment'!$B:$B,$A713,'Stock Adjustment'!$D:$D,"Staff Consumption")</f>
        <v>0</v>
      </c>
      <c r="J713" s="50">
        <f>SUMIFS('Stock Adjustment'!$E:$E,'Stock Adjustment'!$B:$B,$A713,'Stock Adjustment'!$D:$D,"Damaged")</f>
        <v>0</v>
      </c>
      <c r="K713" s="50">
        <f>SUMIFS('Stock Adjustment'!$E:$E,'Stock Adjustment'!$B:$B,$A713,'Stock Adjustment'!$D:$D,"Expired")</f>
        <v>0</v>
      </c>
      <c r="L713" s="50">
        <f>SUMIFS('Stock Adjustment'!$E:$E,'Stock Adjustment'!$B:$B,$A713,'Stock Adjustment'!$D:$D,"Supplier Returned")</f>
        <v>0</v>
      </c>
      <c r="M7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3" s="53" t="str">
        <f>IF(B713="","",VLOOKUP(B713,'Product Master'!$B:$G,4,FALSE))</f>
        <v/>
      </c>
      <c r="O713" s="53" t="str">
        <f>IF(B713="","",VLOOKUP(B713,'Product Master'!$B:$G,5,FALSE))</f>
        <v/>
      </c>
      <c r="P713" s="50" t="str">
        <f>IF(B713="","",VLOOKUP(B713,'Product Master'!$B:$I,7,FALSE))</f>
        <v/>
      </c>
      <c r="Q713" s="158"/>
      <c r="R713" s="58" t="str">
        <f t="shared" si="11"/>
        <v/>
      </c>
      <c r="S713" s="25"/>
      <c r="T713" s="25"/>
      <c r="U713" s="25"/>
      <c r="V713" s="25"/>
      <c r="W713" s="25"/>
      <c r="X713" s="25"/>
    </row>
    <row r="714" spans="1:24" x14ac:dyDescent="0.25">
      <c r="A714" s="31" t="s">
        <v>1274</v>
      </c>
      <c r="B714" s="32"/>
      <c r="C714" s="50" t="str">
        <f>IF(B714="","",VLOOKUP(B714,'Product Master'!$B:$G,2,FALSE))</f>
        <v/>
      </c>
      <c r="D714" s="50" t="str">
        <f>IF(B714="","",VLOOKUP(B714,'Product Master'!$B:$G,3,FALSE))</f>
        <v/>
      </c>
      <c r="E714" s="50"/>
      <c r="F714" s="50">
        <f>SUMIF('Stock Purchase'!$D:$D,B714,'Stock Purchase'!$F:$F)</f>
        <v>0</v>
      </c>
      <c r="G714" s="50">
        <f>SUMIFS('Stock Adjustment'!$E:$E,'Stock Adjustment'!$B:$B,$A714,'Stock Adjustment'!$D:$D,"Customer Returned")</f>
        <v>0</v>
      </c>
      <c r="H714" s="50">
        <f>SUMIF('Daily Sales Entry'!$D:$D,B714,'Daily Sales Entry'!$G:$G)</f>
        <v>0</v>
      </c>
      <c r="I714" s="50">
        <f>SUMIFS('Stock Adjustment'!$E:$E,'Stock Adjustment'!$B:$B,$A714,'Stock Adjustment'!$D:$D,"Staff Consumption")</f>
        <v>0</v>
      </c>
      <c r="J714" s="50">
        <f>SUMIFS('Stock Adjustment'!$E:$E,'Stock Adjustment'!$B:$B,$A714,'Stock Adjustment'!$D:$D,"Damaged")</f>
        <v>0</v>
      </c>
      <c r="K714" s="50">
        <f>SUMIFS('Stock Adjustment'!$E:$E,'Stock Adjustment'!$B:$B,$A714,'Stock Adjustment'!$D:$D,"Expired")</f>
        <v>0</v>
      </c>
      <c r="L714" s="50">
        <f>SUMIFS('Stock Adjustment'!$E:$E,'Stock Adjustment'!$B:$B,$A714,'Stock Adjustment'!$D:$D,"Supplier Returned")</f>
        <v>0</v>
      </c>
      <c r="M7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4" s="53" t="str">
        <f>IF(B714="","",VLOOKUP(B714,'Product Master'!$B:$G,4,FALSE))</f>
        <v/>
      </c>
      <c r="O714" s="53" t="str">
        <f>IF(B714="","",VLOOKUP(B714,'Product Master'!$B:$G,5,FALSE))</f>
        <v/>
      </c>
      <c r="P714" s="50" t="str">
        <f>IF(B714="","",VLOOKUP(B714,'Product Master'!$B:$I,7,FALSE))</f>
        <v/>
      </c>
      <c r="Q714" s="158"/>
      <c r="R714" s="58" t="str">
        <f t="shared" si="11"/>
        <v/>
      </c>
      <c r="S714" s="25"/>
      <c r="T714" s="25"/>
      <c r="U714" s="25"/>
      <c r="V714" s="25"/>
      <c r="W714" s="25"/>
      <c r="X714" s="25"/>
    </row>
    <row r="715" spans="1:24" x14ac:dyDescent="0.25">
      <c r="A715" s="31" t="s">
        <v>1275</v>
      </c>
      <c r="B715" s="32"/>
      <c r="C715" s="50" t="str">
        <f>IF(B715="","",VLOOKUP(B715,'Product Master'!$B:$G,2,FALSE))</f>
        <v/>
      </c>
      <c r="D715" s="50" t="str">
        <f>IF(B715="","",VLOOKUP(B715,'Product Master'!$B:$G,3,FALSE))</f>
        <v/>
      </c>
      <c r="E715" s="50"/>
      <c r="F715" s="50">
        <f>SUMIF('Stock Purchase'!$D:$D,B715,'Stock Purchase'!$F:$F)</f>
        <v>0</v>
      </c>
      <c r="G715" s="50">
        <f>SUMIFS('Stock Adjustment'!$E:$E,'Stock Adjustment'!$B:$B,$A715,'Stock Adjustment'!$D:$D,"Customer Returned")</f>
        <v>0</v>
      </c>
      <c r="H715" s="50">
        <f>SUMIF('Daily Sales Entry'!$D:$D,B715,'Daily Sales Entry'!$G:$G)</f>
        <v>0</v>
      </c>
      <c r="I715" s="50">
        <f>SUMIFS('Stock Adjustment'!$E:$E,'Stock Adjustment'!$B:$B,$A715,'Stock Adjustment'!$D:$D,"Staff Consumption")</f>
        <v>0</v>
      </c>
      <c r="J715" s="50">
        <f>SUMIFS('Stock Adjustment'!$E:$E,'Stock Adjustment'!$B:$B,$A715,'Stock Adjustment'!$D:$D,"Damaged")</f>
        <v>0</v>
      </c>
      <c r="K715" s="50">
        <f>SUMIFS('Stock Adjustment'!$E:$E,'Stock Adjustment'!$B:$B,$A715,'Stock Adjustment'!$D:$D,"Expired")</f>
        <v>0</v>
      </c>
      <c r="L715" s="50">
        <f>SUMIFS('Stock Adjustment'!$E:$E,'Stock Adjustment'!$B:$B,$A715,'Stock Adjustment'!$D:$D,"Supplier Returned")</f>
        <v>0</v>
      </c>
      <c r="M7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5" s="53" t="str">
        <f>IF(B715="","",VLOOKUP(B715,'Product Master'!$B:$G,4,FALSE))</f>
        <v/>
      </c>
      <c r="O715" s="53" t="str">
        <f>IF(B715="","",VLOOKUP(B715,'Product Master'!$B:$G,5,FALSE))</f>
        <v/>
      </c>
      <c r="P715" s="50" t="str">
        <f>IF(B715="","",VLOOKUP(B715,'Product Master'!$B:$I,7,FALSE))</f>
        <v/>
      </c>
      <c r="Q715" s="158"/>
      <c r="R715" s="58" t="str">
        <f t="shared" si="11"/>
        <v/>
      </c>
      <c r="S715" s="25"/>
      <c r="T715" s="25"/>
      <c r="U715" s="25"/>
      <c r="V715" s="25"/>
      <c r="W715" s="25"/>
      <c r="X715" s="25"/>
    </row>
    <row r="716" spans="1:24" x14ac:dyDescent="0.25">
      <c r="A716" s="31" t="s">
        <v>1276</v>
      </c>
      <c r="B716" s="32"/>
      <c r="C716" s="50" t="str">
        <f>IF(B716="","",VLOOKUP(B716,'Product Master'!$B:$G,2,FALSE))</f>
        <v/>
      </c>
      <c r="D716" s="50" t="str">
        <f>IF(B716="","",VLOOKUP(B716,'Product Master'!$B:$G,3,FALSE))</f>
        <v/>
      </c>
      <c r="E716" s="50"/>
      <c r="F716" s="50">
        <f>SUMIF('Stock Purchase'!$D:$D,B716,'Stock Purchase'!$F:$F)</f>
        <v>0</v>
      </c>
      <c r="G716" s="50">
        <f>SUMIFS('Stock Adjustment'!$E:$E,'Stock Adjustment'!$B:$B,$A716,'Stock Adjustment'!$D:$D,"Customer Returned")</f>
        <v>0</v>
      </c>
      <c r="H716" s="50">
        <f>SUMIF('Daily Sales Entry'!$D:$D,B716,'Daily Sales Entry'!$G:$G)</f>
        <v>0</v>
      </c>
      <c r="I716" s="50">
        <f>SUMIFS('Stock Adjustment'!$E:$E,'Stock Adjustment'!$B:$B,$A716,'Stock Adjustment'!$D:$D,"Staff Consumption")</f>
        <v>0</v>
      </c>
      <c r="J716" s="50">
        <f>SUMIFS('Stock Adjustment'!$E:$E,'Stock Adjustment'!$B:$B,$A716,'Stock Adjustment'!$D:$D,"Damaged")</f>
        <v>0</v>
      </c>
      <c r="K716" s="50">
        <f>SUMIFS('Stock Adjustment'!$E:$E,'Stock Adjustment'!$B:$B,$A716,'Stock Adjustment'!$D:$D,"Expired")</f>
        <v>0</v>
      </c>
      <c r="L716" s="50">
        <f>SUMIFS('Stock Adjustment'!$E:$E,'Stock Adjustment'!$B:$B,$A716,'Stock Adjustment'!$D:$D,"Supplier Returned")</f>
        <v>0</v>
      </c>
      <c r="M7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6" s="53" t="str">
        <f>IF(B716="","",VLOOKUP(B716,'Product Master'!$B:$G,4,FALSE))</f>
        <v/>
      </c>
      <c r="O716" s="53" t="str">
        <f>IF(B716="","",VLOOKUP(B716,'Product Master'!$B:$G,5,FALSE))</f>
        <v/>
      </c>
      <c r="P716" s="50" t="str">
        <f>IF(B716="","",VLOOKUP(B716,'Product Master'!$B:$I,7,FALSE))</f>
        <v/>
      </c>
      <c r="Q716" s="158"/>
      <c r="R716" s="58" t="str">
        <f t="shared" si="11"/>
        <v/>
      </c>
      <c r="S716" s="25"/>
      <c r="T716" s="25"/>
      <c r="U716" s="25"/>
      <c r="V716" s="25"/>
      <c r="W716" s="25"/>
      <c r="X716" s="25"/>
    </row>
    <row r="717" spans="1:24" x14ac:dyDescent="0.25">
      <c r="A717" s="31" t="s">
        <v>1277</v>
      </c>
      <c r="B717" s="32"/>
      <c r="C717" s="50" t="str">
        <f>IF(B717="","",VLOOKUP(B717,'Product Master'!$B:$G,2,FALSE))</f>
        <v/>
      </c>
      <c r="D717" s="50" t="str">
        <f>IF(B717="","",VLOOKUP(B717,'Product Master'!$B:$G,3,FALSE))</f>
        <v/>
      </c>
      <c r="E717" s="50"/>
      <c r="F717" s="50">
        <f>SUMIF('Stock Purchase'!$D:$D,B717,'Stock Purchase'!$F:$F)</f>
        <v>0</v>
      </c>
      <c r="G717" s="50">
        <f>SUMIFS('Stock Adjustment'!$E:$E,'Stock Adjustment'!$B:$B,$A717,'Stock Adjustment'!$D:$D,"Customer Returned")</f>
        <v>0</v>
      </c>
      <c r="H717" s="50">
        <f>SUMIF('Daily Sales Entry'!$D:$D,B717,'Daily Sales Entry'!$G:$G)</f>
        <v>0</v>
      </c>
      <c r="I717" s="50">
        <f>SUMIFS('Stock Adjustment'!$E:$E,'Stock Adjustment'!$B:$B,$A717,'Stock Adjustment'!$D:$D,"Staff Consumption")</f>
        <v>0</v>
      </c>
      <c r="J717" s="50">
        <f>SUMIFS('Stock Adjustment'!$E:$E,'Stock Adjustment'!$B:$B,$A717,'Stock Adjustment'!$D:$D,"Damaged")</f>
        <v>0</v>
      </c>
      <c r="K717" s="50">
        <f>SUMIFS('Stock Adjustment'!$E:$E,'Stock Adjustment'!$B:$B,$A717,'Stock Adjustment'!$D:$D,"Expired")</f>
        <v>0</v>
      </c>
      <c r="L717" s="50">
        <f>SUMIFS('Stock Adjustment'!$E:$E,'Stock Adjustment'!$B:$B,$A717,'Stock Adjustment'!$D:$D,"Supplier Returned")</f>
        <v>0</v>
      </c>
      <c r="M7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7" s="53" t="str">
        <f>IF(B717="","",VLOOKUP(B717,'Product Master'!$B:$G,4,FALSE))</f>
        <v/>
      </c>
      <c r="O717" s="53" t="str">
        <f>IF(B717="","",VLOOKUP(B717,'Product Master'!$B:$G,5,FALSE))</f>
        <v/>
      </c>
      <c r="P717" s="50" t="str">
        <f>IF(B717="","",VLOOKUP(B717,'Product Master'!$B:$I,7,FALSE))</f>
        <v/>
      </c>
      <c r="Q717" s="158"/>
      <c r="R717" s="58" t="str">
        <f t="shared" si="11"/>
        <v/>
      </c>
      <c r="S717" s="25"/>
      <c r="T717" s="25"/>
      <c r="U717" s="25"/>
      <c r="V717" s="25"/>
      <c r="W717" s="25"/>
      <c r="X717" s="25"/>
    </row>
    <row r="718" spans="1:24" x14ac:dyDescent="0.25">
      <c r="A718" s="31" t="s">
        <v>1278</v>
      </c>
      <c r="B718" s="32"/>
      <c r="C718" s="50" t="str">
        <f>IF(B718="","",VLOOKUP(B718,'Product Master'!$B:$G,2,FALSE))</f>
        <v/>
      </c>
      <c r="D718" s="50" t="str">
        <f>IF(B718="","",VLOOKUP(B718,'Product Master'!$B:$G,3,FALSE))</f>
        <v/>
      </c>
      <c r="E718" s="50"/>
      <c r="F718" s="50">
        <f>SUMIF('Stock Purchase'!$D:$D,B718,'Stock Purchase'!$F:$F)</f>
        <v>0</v>
      </c>
      <c r="G718" s="50">
        <f>SUMIFS('Stock Adjustment'!$E:$E,'Stock Adjustment'!$B:$B,$A718,'Stock Adjustment'!$D:$D,"Customer Returned")</f>
        <v>0</v>
      </c>
      <c r="H718" s="50">
        <f>SUMIF('Daily Sales Entry'!$D:$D,B718,'Daily Sales Entry'!$G:$G)</f>
        <v>0</v>
      </c>
      <c r="I718" s="50">
        <f>SUMIFS('Stock Adjustment'!$E:$E,'Stock Adjustment'!$B:$B,$A718,'Stock Adjustment'!$D:$D,"Staff Consumption")</f>
        <v>0</v>
      </c>
      <c r="J718" s="50">
        <f>SUMIFS('Stock Adjustment'!$E:$E,'Stock Adjustment'!$B:$B,$A718,'Stock Adjustment'!$D:$D,"Damaged")</f>
        <v>0</v>
      </c>
      <c r="K718" s="50">
        <f>SUMIFS('Stock Adjustment'!$E:$E,'Stock Adjustment'!$B:$B,$A718,'Stock Adjustment'!$D:$D,"Expired")</f>
        <v>0</v>
      </c>
      <c r="L718" s="50">
        <f>SUMIFS('Stock Adjustment'!$E:$E,'Stock Adjustment'!$B:$B,$A718,'Stock Adjustment'!$D:$D,"Supplier Returned")</f>
        <v>0</v>
      </c>
      <c r="M7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8" s="53" t="str">
        <f>IF(B718="","",VLOOKUP(B718,'Product Master'!$B:$G,4,FALSE))</f>
        <v/>
      </c>
      <c r="O718" s="53" t="str">
        <f>IF(B718="","",VLOOKUP(B718,'Product Master'!$B:$G,5,FALSE))</f>
        <v/>
      </c>
      <c r="P718" s="50" t="str">
        <f>IF(B718="","",VLOOKUP(B718,'Product Master'!$B:$I,7,FALSE))</f>
        <v/>
      </c>
      <c r="Q718" s="158"/>
      <c r="R718" s="58" t="str">
        <f t="shared" si="11"/>
        <v/>
      </c>
      <c r="S718" s="25"/>
      <c r="T718" s="25"/>
      <c r="U718" s="25"/>
      <c r="V718" s="25"/>
      <c r="W718" s="25"/>
      <c r="X718" s="25"/>
    </row>
    <row r="719" spans="1:24" x14ac:dyDescent="0.25">
      <c r="A719" s="31" t="s">
        <v>1279</v>
      </c>
      <c r="B719" s="32"/>
      <c r="C719" s="50" t="str">
        <f>IF(B719="","",VLOOKUP(B719,'Product Master'!$B:$G,2,FALSE))</f>
        <v/>
      </c>
      <c r="D719" s="50" t="str">
        <f>IF(B719="","",VLOOKUP(B719,'Product Master'!$B:$G,3,FALSE))</f>
        <v/>
      </c>
      <c r="E719" s="50"/>
      <c r="F719" s="50">
        <f>SUMIF('Stock Purchase'!$D:$D,B719,'Stock Purchase'!$F:$F)</f>
        <v>0</v>
      </c>
      <c r="G719" s="50">
        <f>SUMIFS('Stock Adjustment'!$E:$E,'Stock Adjustment'!$B:$B,$A719,'Stock Adjustment'!$D:$D,"Customer Returned")</f>
        <v>0</v>
      </c>
      <c r="H719" s="50">
        <f>SUMIF('Daily Sales Entry'!$D:$D,B719,'Daily Sales Entry'!$G:$G)</f>
        <v>0</v>
      </c>
      <c r="I719" s="50">
        <f>SUMIFS('Stock Adjustment'!$E:$E,'Stock Adjustment'!$B:$B,$A719,'Stock Adjustment'!$D:$D,"Staff Consumption")</f>
        <v>0</v>
      </c>
      <c r="J719" s="50">
        <f>SUMIFS('Stock Adjustment'!$E:$E,'Stock Adjustment'!$B:$B,$A719,'Stock Adjustment'!$D:$D,"Damaged")</f>
        <v>0</v>
      </c>
      <c r="K719" s="50">
        <f>SUMIFS('Stock Adjustment'!$E:$E,'Stock Adjustment'!$B:$B,$A719,'Stock Adjustment'!$D:$D,"Expired")</f>
        <v>0</v>
      </c>
      <c r="L719" s="50">
        <f>SUMIFS('Stock Adjustment'!$E:$E,'Stock Adjustment'!$B:$B,$A719,'Stock Adjustment'!$D:$D,"Supplier Returned")</f>
        <v>0</v>
      </c>
      <c r="M7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19" s="53" t="str">
        <f>IF(B719="","",VLOOKUP(B719,'Product Master'!$B:$G,4,FALSE))</f>
        <v/>
      </c>
      <c r="O719" s="53" t="str">
        <f>IF(B719="","",VLOOKUP(B719,'Product Master'!$B:$G,5,FALSE))</f>
        <v/>
      </c>
      <c r="P719" s="50" t="str">
        <f>IF(B719="","",VLOOKUP(B719,'Product Master'!$B:$I,7,FALSE))</f>
        <v/>
      </c>
      <c r="Q719" s="158"/>
      <c r="R719" s="58" t="str">
        <f t="shared" si="11"/>
        <v/>
      </c>
      <c r="S719" s="25"/>
      <c r="T719" s="25"/>
      <c r="U719" s="25"/>
      <c r="V719" s="25"/>
      <c r="W719" s="25"/>
      <c r="X719" s="25"/>
    </row>
    <row r="720" spans="1:24" x14ac:dyDescent="0.25">
      <c r="A720" s="31" t="s">
        <v>1280</v>
      </c>
      <c r="B720" s="32"/>
      <c r="C720" s="50" t="str">
        <f>IF(B720="","",VLOOKUP(B720,'Product Master'!$B:$G,2,FALSE))</f>
        <v/>
      </c>
      <c r="D720" s="50" t="str">
        <f>IF(B720="","",VLOOKUP(B720,'Product Master'!$B:$G,3,FALSE))</f>
        <v/>
      </c>
      <c r="E720" s="50"/>
      <c r="F720" s="50">
        <f>SUMIF('Stock Purchase'!$D:$D,B720,'Stock Purchase'!$F:$F)</f>
        <v>0</v>
      </c>
      <c r="G720" s="50">
        <f>SUMIFS('Stock Adjustment'!$E:$E,'Stock Adjustment'!$B:$B,$A720,'Stock Adjustment'!$D:$D,"Customer Returned")</f>
        <v>0</v>
      </c>
      <c r="H720" s="50">
        <f>SUMIF('Daily Sales Entry'!$D:$D,B720,'Daily Sales Entry'!$G:$G)</f>
        <v>0</v>
      </c>
      <c r="I720" s="50">
        <f>SUMIFS('Stock Adjustment'!$E:$E,'Stock Adjustment'!$B:$B,$A720,'Stock Adjustment'!$D:$D,"Staff Consumption")</f>
        <v>0</v>
      </c>
      <c r="J720" s="50">
        <f>SUMIFS('Stock Adjustment'!$E:$E,'Stock Adjustment'!$B:$B,$A720,'Stock Adjustment'!$D:$D,"Damaged")</f>
        <v>0</v>
      </c>
      <c r="K720" s="50">
        <f>SUMIFS('Stock Adjustment'!$E:$E,'Stock Adjustment'!$B:$B,$A720,'Stock Adjustment'!$D:$D,"Expired")</f>
        <v>0</v>
      </c>
      <c r="L720" s="50">
        <f>SUMIFS('Stock Adjustment'!$E:$E,'Stock Adjustment'!$B:$B,$A720,'Stock Adjustment'!$D:$D,"Supplier Returned")</f>
        <v>0</v>
      </c>
      <c r="M7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0" s="53" t="str">
        <f>IF(B720="","",VLOOKUP(B720,'Product Master'!$B:$G,4,FALSE))</f>
        <v/>
      </c>
      <c r="O720" s="53" t="str">
        <f>IF(B720="","",VLOOKUP(B720,'Product Master'!$B:$G,5,FALSE))</f>
        <v/>
      </c>
      <c r="P720" s="50" t="str">
        <f>IF(B720="","",VLOOKUP(B720,'Product Master'!$B:$I,7,FALSE))</f>
        <v/>
      </c>
      <c r="Q720" s="158"/>
      <c r="R720" s="58" t="str">
        <f t="shared" si="11"/>
        <v/>
      </c>
      <c r="S720" s="25"/>
      <c r="T720" s="25"/>
      <c r="U720" s="25"/>
      <c r="V720" s="25"/>
      <c r="W720" s="25"/>
      <c r="X720" s="25"/>
    </row>
    <row r="721" spans="1:24" x14ac:dyDescent="0.25">
      <c r="A721" s="31" t="s">
        <v>1281</v>
      </c>
      <c r="B721" s="32"/>
      <c r="C721" s="50" t="str">
        <f>IF(B721="","",VLOOKUP(B721,'Product Master'!$B:$G,2,FALSE))</f>
        <v/>
      </c>
      <c r="D721" s="50" t="str">
        <f>IF(B721="","",VLOOKUP(B721,'Product Master'!$B:$G,3,FALSE))</f>
        <v/>
      </c>
      <c r="E721" s="50"/>
      <c r="F721" s="50">
        <f>SUMIF('Stock Purchase'!$D:$D,B721,'Stock Purchase'!$F:$F)</f>
        <v>0</v>
      </c>
      <c r="G721" s="50">
        <f>SUMIFS('Stock Adjustment'!$E:$E,'Stock Adjustment'!$B:$B,$A721,'Stock Adjustment'!$D:$D,"Customer Returned")</f>
        <v>0</v>
      </c>
      <c r="H721" s="50">
        <f>SUMIF('Daily Sales Entry'!$D:$D,B721,'Daily Sales Entry'!$G:$G)</f>
        <v>0</v>
      </c>
      <c r="I721" s="50">
        <f>SUMIFS('Stock Adjustment'!$E:$E,'Stock Adjustment'!$B:$B,$A721,'Stock Adjustment'!$D:$D,"Staff Consumption")</f>
        <v>0</v>
      </c>
      <c r="J721" s="50">
        <f>SUMIFS('Stock Adjustment'!$E:$E,'Stock Adjustment'!$B:$B,$A721,'Stock Adjustment'!$D:$D,"Damaged")</f>
        <v>0</v>
      </c>
      <c r="K721" s="50">
        <f>SUMIFS('Stock Adjustment'!$E:$E,'Stock Adjustment'!$B:$B,$A721,'Stock Adjustment'!$D:$D,"Expired")</f>
        <v>0</v>
      </c>
      <c r="L721" s="50">
        <f>SUMIFS('Stock Adjustment'!$E:$E,'Stock Adjustment'!$B:$B,$A721,'Stock Adjustment'!$D:$D,"Supplier Returned")</f>
        <v>0</v>
      </c>
      <c r="M7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1" s="53" t="str">
        <f>IF(B721="","",VLOOKUP(B721,'Product Master'!$B:$G,4,FALSE))</f>
        <v/>
      </c>
      <c r="O721" s="53" t="str">
        <f>IF(B721="","",VLOOKUP(B721,'Product Master'!$B:$G,5,FALSE))</f>
        <v/>
      </c>
      <c r="P721" s="50" t="str">
        <f>IF(B721="","",VLOOKUP(B721,'Product Master'!$B:$I,7,FALSE))</f>
        <v/>
      </c>
      <c r="Q721" s="158"/>
      <c r="R721" s="58" t="str">
        <f t="shared" si="11"/>
        <v/>
      </c>
      <c r="S721" s="25"/>
      <c r="T721" s="25"/>
      <c r="U721" s="25"/>
      <c r="V721" s="25"/>
      <c r="W721" s="25"/>
      <c r="X721" s="25"/>
    </row>
    <row r="722" spans="1:24" x14ac:dyDescent="0.25">
      <c r="A722" s="31" t="s">
        <v>1282</v>
      </c>
      <c r="B722" s="32"/>
      <c r="C722" s="50" t="str">
        <f>IF(B722="","",VLOOKUP(B722,'Product Master'!$B:$G,2,FALSE))</f>
        <v/>
      </c>
      <c r="D722" s="50" t="str">
        <f>IF(B722="","",VLOOKUP(B722,'Product Master'!$B:$G,3,FALSE))</f>
        <v/>
      </c>
      <c r="E722" s="50"/>
      <c r="F722" s="50">
        <f>SUMIF('Stock Purchase'!$D:$D,B722,'Stock Purchase'!$F:$F)</f>
        <v>0</v>
      </c>
      <c r="G722" s="50">
        <f>SUMIFS('Stock Adjustment'!$E:$E,'Stock Adjustment'!$B:$B,$A722,'Stock Adjustment'!$D:$D,"Customer Returned")</f>
        <v>0</v>
      </c>
      <c r="H722" s="50">
        <f>SUMIF('Daily Sales Entry'!$D:$D,B722,'Daily Sales Entry'!$G:$G)</f>
        <v>0</v>
      </c>
      <c r="I722" s="50">
        <f>SUMIFS('Stock Adjustment'!$E:$E,'Stock Adjustment'!$B:$B,$A722,'Stock Adjustment'!$D:$D,"Staff Consumption")</f>
        <v>0</v>
      </c>
      <c r="J722" s="50">
        <f>SUMIFS('Stock Adjustment'!$E:$E,'Stock Adjustment'!$B:$B,$A722,'Stock Adjustment'!$D:$D,"Damaged")</f>
        <v>0</v>
      </c>
      <c r="K722" s="50">
        <f>SUMIFS('Stock Adjustment'!$E:$E,'Stock Adjustment'!$B:$B,$A722,'Stock Adjustment'!$D:$D,"Expired")</f>
        <v>0</v>
      </c>
      <c r="L722" s="50">
        <f>SUMIFS('Stock Adjustment'!$E:$E,'Stock Adjustment'!$B:$B,$A722,'Stock Adjustment'!$D:$D,"Supplier Returned")</f>
        <v>0</v>
      </c>
      <c r="M7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2" s="53" t="str">
        <f>IF(B722="","",VLOOKUP(B722,'Product Master'!$B:$G,4,FALSE))</f>
        <v/>
      </c>
      <c r="O722" s="53" t="str">
        <f>IF(B722="","",VLOOKUP(B722,'Product Master'!$B:$G,5,FALSE))</f>
        <v/>
      </c>
      <c r="P722" s="50" t="str">
        <f>IF(B722="","",VLOOKUP(B722,'Product Master'!$B:$I,7,FALSE))</f>
        <v/>
      </c>
      <c r="Q722" s="158"/>
      <c r="R722" s="58" t="str">
        <f t="shared" si="11"/>
        <v/>
      </c>
      <c r="S722" s="25"/>
      <c r="T722" s="25"/>
      <c r="U722" s="25"/>
      <c r="V722" s="25"/>
      <c r="W722" s="25"/>
      <c r="X722" s="25"/>
    </row>
    <row r="723" spans="1:24" x14ac:dyDescent="0.25">
      <c r="A723" s="31" t="s">
        <v>1283</v>
      </c>
      <c r="B723" s="32"/>
      <c r="C723" s="50" t="str">
        <f>IF(B723="","",VLOOKUP(B723,'Product Master'!$B:$G,2,FALSE))</f>
        <v/>
      </c>
      <c r="D723" s="50" t="str">
        <f>IF(B723="","",VLOOKUP(B723,'Product Master'!$B:$G,3,FALSE))</f>
        <v/>
      </c>
      <c r="E723" s="50"/>
      <c r="F723" s="50">
        <f>SUMIF('Stock Purchase'!$D:$D,B723,'Stock Purchase'!$F:$F)</f>
        <v>0</v>
      </c>
      <c r="G723" s="50">
        <f>SUMIFS('Stock Adjustment'!$E:$E,'Stock Adjustment'!$B:$B,$A723,'Stock Adjustment'!$D:$D,"Customer Returned")</f>
        <v>0</v>
      </c>
      <c r="H723" s="50">
        <f>SUMIF('Daily Sales Entry'!$D:$D,B723,'Daily Sales Entry'!$G:$G)</f>
        <v>0</v>
      </c>
      <c r="I723" s="50">
        <f>SUMIFS('Stock Adjustment'!$E:$E,'Stock Adjustment'!$B:$B,$A723,'Stock Adjustment'!$D:$D,"Staff Consumption")</f>
        <v>0</v>
      </c>
      <c r="J723" s="50">
        <f>SUMIFS('Stock Adjustment'!$E:$E,'Stock Adjustment'!$B:$B,$A723,'Stock Adjustment'!$D:$D,"Damaged")</f>
        <v>0</v>
      </c>
      <c r="K723" s="50">
        <f>SUMIFS('Stock Adjustment'!$E:$E,'Stock Adjustment'!$B:$B,$A723,'Stock Adjustment'!$D:$D,"Expired")</f>
        <v>0</v>
      </c>
      <c r="L723" s="50">
        <f>SUMIFS('Stock Adjustment'!$E:$E,'Stock Adjustment'!$B:$B,$A723,'Stock Adjustment'!$D:$D,"Supplier Returned")</f>
        <v>0</v>
      </c>
      <c r="M7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3" s="53" t="str">
        <f>IF(B723="","",VLOOKUP(B723,'Product Master'!$B:$G,4,FALSE))</f>
        <v/>
      </c>
      <c r="O723" s="53" t="str">
        <f>IF(B723="","",VLOOKUP(B723,'Product Master'!$B:$G,5,FALSE))</f>
        <v/>
      </c>
      <c r="P723" s="50" t="str">
        <f>IF(B723="","",VLOOKUP(B723,'Product Master'!$B:$I,7,FALSE))</f>
        <v/>
      </c>
      <c r="Q723" s="158"/>
      <c r="R723" s="58" t="str">
        <f t="shared" si="11"/>
        <v/>
      </c>
      <c r="S723" s="25"/>
      <c r="T723" s="25"/>
      <c r="U723" s="25"/>
      <c r="V723" s="25"/>
      <c r="W723" s="25"/>
      <c r="X723" s="25"/>
    </row>
    <row r="724" spans="1:24" x14ac:dyDescent="0.25">
      <c r="A724" s="31" t="s">
        <v>1284</v>
      </c>
      <c r="B724" s="32"/>
      <c r="C724" s="50" t="str">
        <f>IF(B724="","",VLOOKUP(B724,'Product Master'!$B:$G,2,FALSE))</f>
        <v/>
      </c>
      <c r="D724" s="50" t="str">
        <f>IF(B724="","",VLOOKUP(B724,'Product Master'!$B:$G,3,FALSE))</f>
        <v/>
      </c>
      <c r="E724" s="50"/>
      <c r="F724" s="50">
        <f>SUMIF('Stock Purchase'!$D:$D,B724,'Stock Purchase'!$F:$F)</f>
        <v>0</v>
      </c>
      <c r="G724" s="50">
        <f>SUMIFS('Stock Adjustment'!$E:$E,'Stock Adjustment'!$B:$B,$A724,'Stock Adjustment'!$D:$D,"Customer Returned")</f>
        <v>0</v>
      </c>
      <c r="H724" s="50">
        <f>SUMIF('Daily Sales Entry'!$D:$D,B724,'Daily Sales Entry'!$G:$G)</f>
        <v>0</v>
      </c>
      <c r="I724" s="50">
        <f>SUMIFS('Stock Adjustment'!$E:$E,'Stock Adjustment'!$B:$B,$A724,'Stock Adjustment'!$D:$D,"Staff Consumption")</f>
        <v>0</v>
      </c>
      <c r="J724" s="50">
        <f>SUMIFS('Stock Adjustment'!$E:$E,'Stock Adjustment'!$B:$B,$A724,'Stock Adjustment'!$D:$D,"Damaged")</f>
        <v>0</v>
      </c>
      <c r="K724" s="50">
        <f>SUMIFS('Stock Adjustment'!$E:$E,'Stock Adjustment'!$B:$B,$A724,'Stock Adjustment'!$D:$D,"Expired")</f>
        <v>0</v>
      </c>
      <c r="L724" s="50">
        <f>SUMIFS('Stock Adjustment'!$E:$E,'Stock Adjustment'!$B:$B,$A724,'Stock Adjustment'!$D:$D,"Supplier Returned")</f>
        <v>0</v>
      </c>
      <c r="M7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4" s="53" t="str">
        <f>IF(B724="","",VLOOKUP(B724,'Product Master'!$B:$G,4,FALSE))</f>
        <v/>
      </c>
      <c r="O724" s="53" t="str">
        <f>IF(B724="","",VLOOKUP(B724,'Product Master'!$B:$G,5,FALSE))</f>
        <v/>
      </c>
      <c r="P724" s="50" t="str">
        <f>IF(B724="","",VLOOKUP(B724,'Product Master'!$B:$I,7,FALSE))</f>
        <v/>
      </c>
      <c r="Q724" s="158"/>
      <c r="R724" s="58" t="str">
        <f t="shared" si="11"/>
        <v/>
      </c>
      <c r="S724" s="25"/>
      <c r="T724" s="25"/>
      <c r="U724" s="25"/>
      <c r="V724" s="25"/>
      <c r="W724" s="25"/>
      <c r="X724" s="25"/>
    </row>
    <row r="725" spans="1:24" x14ac:dyDescent="0.25">
      <c r="A725" s="31" t="s">
        <v>1285</v>
      </c>
      <c r="B725" s="32"/>
      <c r="C725" s="50" t="str">
        <f>IF(B725="","",VLOOKUP(B725,'Product Master'!$B:$G,2,FALSE))</f>
        <v/>
      </c>
      <c r="D725" s="50" t="str">
        <f>IF(B725="","",VLOOKUP(B725,'Product Master'!$B:$G,3,FALSE))</f>
        <v/>
      </c>
      <c r="E725" s="50"/>
      <c r="F725" s="50">
        <f>SUMIF('Stock Purchase'!$D:$D,B725,'Stock Purchase'!$F:$F)</f>
        <v>0</v>
      </c>
      <c r="G725" s="50">
        <f>SUMIFS('Stock Adjustment'!$E:$E,'Stock Adjustment'!$B:$B,$A725,'Stock Adjustment'!$D:$D,"Customer Returned")</f>
        <v>0</v>
      </c>
      <c r="H725" s="50">
        <f>SUMIF('Daily Sales Entry'!$D:$D,B725,'Daily Sales Entry'!$G:$G)</f>
        <v>0</v>
      </c>
      <c r="I725" s="50">
        <f>SUMIFS('Stock Adjustment'!$E:$E,'Stock Adjustment'!$B:$B,$A725,'Stock Adjustment'!$D:$D,"Staff Consumption")</f>
        <v>0</v>
      </c>
      <c r="J725" s="50">
        <f>SUMIFS('Stock Adjustment'!$E:$E,'Stock Adjustment'!$B:$B,$A725,'Stock Adjustment'!$D:$D,"Damaged")</f>
        <v>0</v>
      </c>
      <c r="K725" s="50">
        <f>SUMIFS('Stock Adjustment'!$E:$E,'Stock Adjustment'!$B:$B,$A725,'Stock Adjustment'!$D:$D,"Expired")</f>
        <v>0</v>
      </c>
      <c r="L725" s="50">
        <f>SUMIFS('Stock Adjustment'!$E:$E,'Stock Adjustment'!$B:$B,$A725,'Stock Adjustment'!$D:$D,"Supplier Returned")</f>
        <v>0</v>
      </c>
      <c r="M7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5" s="53" t="str">
        <f>IF(B725="","",VLOOKUP(B725,'Product Master'!$B:$G,4,FALSE))</f>
        <v/>
      </c>
      <c r="O725" s="53" t="str">
        <f>IF(B725="","",VLOOKUP(B725,'Product Master'!$B:$G,5,FALSE))</f>
        <v/>
      </c>
      <c r="P725" s="50" t="str">
        <f>IF(B725="","",VLOOKUP(B725,'Product Master'!$B:$I,7,FALSE))</f>
        <v/>
      </c>
      <c r="Q725" s="158"/>
      <c r="R725" s="58" t="str">
        <f t="shared" si="11"/>
        <v/>
      </c>
      <c r="S725" s="25"/>
      <c r="T725" s="25"/>
      <c r="U725" s="25"/>
      <c r="V725" s="25"/>
      <c r="W725" s="25"/>
      <c r="X725" s="25"/>
    </row>
    <row r="726" spans="1:24" x14ac:dyDescent="0.25">
      <c r="A726" s="31" t="s">
        <v>1286</v>
      </c>
      <c r="B726" s="32"/>
      <c r="C726" s="50" t="str">
        <f>IF(B726="","",VLOOKUP(B726,'Product Master'!$B:$G,2,FALSE))</f>
        <v/>
      </c>
      <c r="D726" s="50" t="str">
        <f>IF(B726="","",VLOOKUP(B726,'Product Master'!$B:$G,3,FALSE))</f>
        <v/>
      </c>
      <c r="E726" s="50"/>
      <c r="F726" s="50">
        <f>SUMIF('Stock Purchase'!$D:$D,B726,'Stock Purchase'!$F:$F)</f>
        <v>0</v>
      </c>
      <c r="G726" s="50">
        <f>SUMIFS('Stock Adjustment'!$E:$E,'Stock Adjustment'!$B:$B,$A726,'Stock Adjustment'!$D:$D,"Customer Returned")</f>
        <v>0</v>
      </c>
      <c r="H726" s="50">
        <f>SUMIF('Daily Sales Entry'!$D:$D,B726,'Daily Sales Entry'!$G:$G)</f>
        <v>0</v>
      </c>
      <c r="I726" s="50">
        <f>SUMIFS('Stock Adjustment'!$E:$E,'Stock Adjustment'!$B:$B,$A726,'Stock Adjustment'!$D:$D,"Staff Consumption")</f>
        <v>0</v>
      </c>
      <c r="J726" s="50">
        <f>SUMIFS('Stock Adjustment'!$E:$E,'Stock Adjustment'!$B:$B,$A726,'Stock Adjustment'!$D:$D,"Damaged")</f>
        <v>0</v>
      </c>
      <c r="K726" s="50">
        <f>SUMIFS('Stock Adjustment'!$E:$E,'Stock Adjustment'!$B:$B,$A726,'Stock Adjustment'!$D:$D,"Expired")</f>
        <v>0</v>
      </c>
      <c r="L726" s="50">
        <f>SUMIFS('Stock Adjustment'!$E:$E,'Stock Adjustment'!$B:$B,$A726,'Stock Adjustment'!$D:$D,"Supplier Returned")</f>
        <v>0</v>
      </c>
      <c r="M7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6" s="53" t="str">
        <f>IF(B726="","",VLOOKUP(B726,'Product Master'!$B:$G,4,FALSE))</f>
        <v/>
      </c>
      <c r="O726" s="53" t="str">
        <f>IF(B726="","",VLOOKUP(B726,'Product Master'!$B:$G,5,FALSE))</f>
        <v/>
      </c>
      <c r="P726" s="50" t="str">
        <f>IF(B726="","",VLOOKUP(B726,'Product Master'!$B:$I,7,FALSE))</f>
        <v/>
      </c>
      <c r="Q726" s="158"/>
      <c r="R726" s="58" t="str">
        <f t="shared" si="11"/>
        <v/>
      </c>
      <c r="S726" s="25"/>
      <c r="T726" s="25"/>
      <c r="U726" s="25"/>
      <c r="V726" s="25"/>
      <c r="W726" s="25"/>
      <c r="X726" s="25"/>
    </row>
    <row r="727" spans="1:24" x14ac:dyDescent="0.25">
      <c r="A727" s="31" t="s">
        <v>1287</v>
      </c>
      <c r="B727" s="32"/>
      <c r="C727" s="50" t="str">
        <f>IF(B727="","",VLOOKUP(B727,'Product Master'!$B:$G,2,FALSE))</f>
        <v/>
      </c>
      <c r="D727" s="50" t="str">
        <f>IF(B727="","",VLOOKUP(B727,'Product Master'!$B:$G,3,FALSE))</f>
        <v/>
      </c>
      <c r="E727" s="50"/>
      <c r="F727" s="50">
        <f>SUMIF('Stock Purchase'!$D:$D,B727,'Stock Purchase'!$F:$F)</f>
        <v>0</v>
      </c>
      <c r="G727" s="50">
        <f>SUMIFS('Stock Adjustment'!$E:$E,'Stock Adjustment'!$B:$B,$A727,'Stock Adjustment'!$D:$D,"Customer Returned")</f>
        <v>0</v>
      </c>
      <c r="H727" s="50">
        <f>SUMIF('Daily Sales Entry'!$D:$D,B727,'Daily Sales Entry'!$G:$G)</f>
        <v>0</v>
      </c>
      <c r="I727" s="50">
        <f>SUMIFS('Stock Adjustment'!$E:$E,'Stock Adjustment'!$B:$B,$A727,'Stock Adjustment'!$D:$D,"Staff Consumption")</f>
        <v>0</v>
      </c>
      <c r="J727" s="50">
        <f>SUMIFS('Stock Adjustment'!$E:$E,'Stock Adjustment'!$B:$B,$A727,'Stock Adjustment'!$D:$D,"Damaged")</f>
        <v>0</v>
      </c>
      <c r="K727" s="50">
        <f>SUMIFS('Stock Adjustment'!$E:$E,'Stock Adjustment'!$B:$B,$A727,'Stock Adjustment'!$D:$D,"Expired")</f>
        <v>0</v>
      </c>
      <c r="L727" s="50">
        <f>SUMIFS('Stock Adjustment'!$E:$E,'Stock Adjustment'!$B:$B,$A727,'Stock Adjustment'!$D:$D,"Supplier Returned")</f>
        <v>0</v>
      </c>
      <c r="M7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7" s="53" t="str">
        <f>IF(B727="","",VLOOKUP(B727,'Product Master'!$B:$G,4,FALSE))</f>
        <v/>
      </c>
      <c r="O727" s="53" t="str">
        <f>IF(B727="","",VLOOKUP(B727,'Product Master'!$B:$G,5,FALSE))</f>
        <v/>
      </c>
      <c r="P727" s="50" t="str">
        <f>IF(B727="","",VLOOKUP(B727,'Product Master'!$B:$I,7,FALSE))</f>
        <v/>
      </c>
      <c r="Q727" s="158"/>
      <c r="R727" s="58" t="str">
        <f t="shared" si="11"/>
        <v/>
      </c>
      <c r="S727" s="25"/>
      <c r="T727" s="25"/>
      <c r="U727" s="25"/>
      <c r="V727" s="25"/>
      <c r="W727" s="25"/>
      <c r="X727" s="25"/>
    </row>
    <row r="728" spans="1:24" x14ac:dyDescent="0.25">
      <c r="A728" s="31" t="s">
        <v>1288</v>
      </c>
      <c r="B728" s="32"/>
      <c r="C728" s="50" t="str">
        <f>IF(B728="","",VLOOKUP(B728,'Product Master'!$B:$G,2,FALSE))</f>
        <v/>
      </c>
      <c r="D728" s="50" t="str">
        <f>IF(B728="","",VLOOKUP(B728,'Product Master'!$B:$G,3,FALSE))</f>
        <v/>
      </c>
      <c r="E728" s="50"/>
      <c r="F728" s="50">
        <f>SUMIF('Stock Purchase'!$D:$D,B728,'Stock Purchase'!$F:$F)</f>
        <v>0</v>
      </c>
      <c r="G728" s="50">
        <f>SUMIFS('Stock Adjustment'!$E:$E,'Stock Adjustment'!$B:$B,$A728,'Stock Adjustment'!$D:$D,"Customer Returned")</f>
        <v>0</v>
      </c>
      <c r="H728" s="50">
        <f>SUMIF('Daily Sales Entry'!$D:$D,B728,'Daily Sales Entry'!$G:$G)</f>
        <v>0</v>
      </c>
      <c r="I728" s="50">
        <f>SUMIFS('Stock Adjustment'!$E:$E,'Stock Adjustment'!$B:$B,$A728,'Stock Adjustment'!$D:$D,"Staff Consumption")</f>
        <v>0</v>
      </c>
      <c r="J728" s="50">
        <f>SUMIFS('Stock Adjustment'!$E:$E,'Stock Adjustment'!$B:$B,$A728,'Stock Adjustment'!$D:$D,"Damaged")</f>
        <v>0</v>
      </c>
      <c r="K728" s="50">
        <f>SUMIFS('Stock Adjustment'!$E:$E,'Stock Adjustment'!$B:$B,$A728,'Stock Adjustment'!$D:$D,"Expired")</f>
        <v>0</v>
      </c>
      <c r="L728" s="50">
        <f>SUMIFS('Stock Adjustment'!$E:$E,'Stock Adjustment'!$B:$B,$A728,'Stock Adjustment'!$D:$D,"Supplier Returned")</f>
        <v>0</v>
      </c>
      <c r="M7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8" s="53" t="str">
        <f>IF(B728="","",VLOOKUP(B728,'Product Master'!$B:$G,4,FALSE))</f>
        <v/>
      </c>
      <c r="O728" s="53" t="str">
        <f>IF(B728="","",VLOOKUP(B728,'Product Master'!$B:$G,5,FALSE))</f>
        <v/>
      </c>
      <c r="P728" s="50" t="str">
        <f>IF(B728="","",VLOOKUP(B728,'Product Master'!$B:$I,7,FALSE))</f>
        <v/>
      </c>
      <c r="Q728" s="158"/>
      <c r="R728" s="58" t="str">
        <f t="shared" si="11"/>
        <v/>
      </c>
      <c r="S728" s="25"/>
      <c r="T728" s="25"/>
      <c r="U728" s="25"/>
      <c r="V728" s="25"/>
      <c r="W728" s="25"/>
      <c r="X728" s="25"/>
    </row>
    <row r="729" spans="1:24" x14ac:dyDescent="0.25">
      <c r="A729" s="31" t="s">
        <v>1289</v>
      </c>
      <c r="B729" s="32"/>
      <c r="C729" s="50" t="str">
        <f>IF(B729="","",VLOOKUP(B729,'Product Master'!$B:$G,2,FALSE))</f>
        <v/>
      </c>
      <c r="D729" s="50" t="str">
        <f>IF(B729="","",VLOOKUP(B729,'Product Master'!$B:$G,3,FALSE))</f>
        <v/>
      </c>
      <c r="E729" s="50"/>
      <c r="F729" s="50">
        <f>SUMIF('Stock Purchase'!$D:$D,B729,'Stock Purchase'!$F:$F)</f>
        <v>0</v>
      </c>
      <c r="G729" s="50">
        <f>SUMIFS('Stock Adjustment'!$E:$E,'Stock Adjustment'!$B:$B,$A729,'Stock Adjustment'!$D:$D,"Customer Returned")</f>
        <v>0</v>
      </c>
      <c r="H729" s="50">
        <f>SUMIF('Daily Sales Entry'!$D:$D,B729,'Daily Sales Entry'!$G:$G)</f>
        <v>0</v>
      </c>
      <c r="I729" s="50">
        <f>SUMIFS('Stock Adjustment'!$E:$E,'Stock Adjustment'!$B:$B,$A729,'Stock Adjustment'!$D:$D,"Staff Consumption")</f>
        <v>0</v>
      </c>
      <c r="J729" s="50">
        <f>SUMIFS('Stock Adjustment'!$E:$E,'Stock Adjustment'!$B:$B,$A729,'Stock Adjustment'!$D:$D,"Damaged")</f>
        <v>0</v>
      </c>
      <c r="K729" s="50">
        <f>SUMIFS('Stock Adjustment'!$E:$E,'Stock Adjustment'!$B:$B,$A729,'Stock Adjustment'!$D:$D,"Expired")</f>
        <v>0</v>
      </c>
      <c r="L729" s="50">
        <f>SUMIFS('Stock Adjustment'!$E:$E,'Stock Adjustment'!$B:$B,$A729,'Stock Adjustment'!$D:$D,"Supplier Returned")</f>
        <v>0</v>
      </c>
      <c r="M7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29" s="53" t="str">
        <f>IF(B729="","",VLOOKUP(B729,'Product Master'!$B:$G,4,FALSE))</f>
        <v/>
      </c>
      <c r="O729" s="53" t="str">
        <f>IF(B729="","",VLOOKUP(B729,'Product Master'!$B:$G,5,FALSE))</f>
        <v/>
      </c>
      <c r="P729" s="50" t="str">
        <f>IF(B729="","",VLOOKUP(B729,'Product Master'!$B:$I,7,FALSE))</f>
        <v/>
      </c>
      <c r="Q729" s="158"/>
      <c r="R729" s="58" t="str">
        <f t="shared" si="11"/>
        <v/>
      </c>
      <c r="S729" s="25"/>
      <c r="T729" s="25"/>
      <c r="U729" s="25"/>
      <c r="V729" s="25"/>
      <c r="W729" s="25"/>
      <c r="X729" s="25"/>
    </row>
    <row r="730" spans="1:24" x14ac:dyDescent="0.25">
      <c r="A730" s="31" t="s">
        <v>1290</v>
      </c>
      <c r="B730" s="32"/>
      <c r="C730" s="50" t="str">
        <f>IF(B730="","",VLOOKUP(B730,'Product Master'!$B:$G,2,FALSE))</f>
        <v/>
      </c>
      <c r="D730" s="50" t="str">
        <f>IF(B730="","",VLOOKUP(B730,'Product Master'!$B:$G,3,FALSE))</f>
        <v/>
      </c>
      <c r="E730" s="50"/>
      <c r="F730" s="50">
        <f>SUMIF('Stock Purchase'!$D:$D,B730,'Stock Purchase'!$F:$F)</f>
        <v>0</v>
      </c>
      <c r="G730" s="50">
        <f>SUMIFS('Stock Adjustment'!$E:$E,'Stock Adjustment'!$B:$B,$A730,'Stock Adjustment'!$D:$D,"Customer Returned")</f>
        <v>0</v>
      </c>
      <c r="H730" s="50">
        <f>SUMIF('Daily Sales Entry'!$D:$D,B730,'Daily Sales Entry'!$G:$G)</f>
        <v>0</v>
      </c>
      <c r="I730" s="50">
        <f>SUMIFS('Stock Adjustment'!$E:$E,'Stock Adjustment'!$B:$B,$A730,'Stock Adjustment'!$D:$D,"Staff Consumption")</f>
        <v>0</v>
      </c>
      <c r="J730" s="50">
        <f>SUMIFS('Stock Adjustment'!$E:$E,'Stock Adjustment'!$B:$B,$A730,'Stock Adjustment'!$D:$D,"Damaged")</f>
        <v>0</v>
      </c>
      <c r="K730" s="50">
        <f>SUMIFS('Stock Adjustment'!$E:$E,'Stock Adjustment'!$B:$B,$A730,'Stock Adjustment'!$D:$D,"Expired")</f>
        <v>0</v>
      </c>
      <c r="L730" s="50">
        <f>SUMIFS('Stock Adjustment'!$E:$E,'Stock Adjustment'!$B:$B,$A730,'Stock Adjustment'!$D:$D,"Supplier Returned")</f>
        <v>0</v>
      </c>
      <c r="M7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0" s="53" t="str">
        <f>IF(B730="","",VLOOKUP(B730,'Product Master'!$B:$G,4,FALSE))</f>
        <v/>
      </c>
      <c r="O730" s="53" t="str">
        <f>IF(B730="","",VLOOKUP(B730,'Product Master'!$B:$G,5,FALSE))</f>
        <v/>
      </c>
      <c r="P730" s="50" t="str">
        <f>IF(B730="","",VLOOKUP(B730,'Product Master'!$B:$I,7,FALSE))</f>
        <v/>
      </c>
      <c r="Q730" s="158"/>
      <c r="R730" s="58" t="str">
        <f t="shared" si="11"/>
        <v/>
      </c>
      <c r="S730" s="25"/>
      <c r="T730" s="25"/>
      <c r="U730" s="25"/>
      <c r="V730" s="25"/>
      <c r="W730" s="25"/>
      <c r="X730" s="25"/>
    </row>
    <row r="731" spans="1:24" x14ac:dyDescent="0.25">
      <c r="A731" s="31" t="s">
        <v>1291</v>
      </c>
      <c r="B731" s="32"/>
      <c r="C731" s="50" t="str">
        <f>IF(B731="","",VLOOKUP(B731,'Product Master'!$B:$G,2,FALSE))</f>
        <v/>
      </c>
      <c r="D731" s="50" t="str">
        <f>IF(B731="","",VLOOKUP(B731,'Product Master'!$B:$G,3,FALSE))</f>
        <v/>
      </c>
      <c r="E731" s="50"/>
      <c r="F731" s="50">
        <f>SUMIF('Stock Purchase'!$D:$D,B731,'Stock Purchase'!$F:$F)</f>
        <v>0</v>
      </c>
      <c r="G731" s="50">
        <f>SUMIFS('Stock Adjustment'!$E:$E,'Stock Adjustment'!$B:$B,$A731,'Stock Adjustment'!$D:$D,"Customer Returned")</f>
        <v>0</v>
      </c>
      <c r="H731" s="50">
        <f>SUMIF('Daily Sales Entry'!$D:$D,B731,'Daily Sales Entry'!$G:$G)</f>
        <v>0</v>
      </c>
      <c r="I731" s="50">
        <f>SUMIFS('Stock Adjustment'!$E:$E,'Stock Adjustment'!$B:$B,$A731,'Stock Adjustment'!$D:$D,"Staff Consumption")</f>
        <v>0</v>
      </c>
      <c r="J731" s="50">
        <f>SUMIFS('Stock Adjustment'!$E:$E,'Stock Adjustment'!$B:$B,$A731,'Stock Adjustment'!$D:$D,"Damaged")</f>
        <v>0</v>
      </c>
      <c r="K731" s="50">
        <f>SUMIFS('Stock Adjustment'!$E:$E,'Stock Adjustment'!$B:$B,$A731,'Stock Adjustment'!$D:$D,"Expired")</f>
        <v>0</v>
      </c>
      <c r="L731" s="50">
        <f>SUMIFS('Stock Adjustment'!$E:$E,'Stock Adjustment'!$B:$B,$A731,'Stock Adjustment'!$D:$D,"Supplier Returned")</f>
        <v>0</v>
      </c>
      <c r="M7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1" s="53" t="str">
        <f>IF(B731="","",VLOOKUP(B731,'Product Master'!$B:$G,4,FALSE))</f>
        <v/>
      </c>
      <c r="O731" s="53" t="str">
        <f>IF(B731="","",VLOOKUP(B731,'Product Master'!$B:$G,5,FALSE))</f>
        <v/>
      </c>
      <c r="P731" s="50" t="str">
        <f>IF(B731="","",VLOOKUP(B731,'Product Master'!$B:$I,7,FALSE))</f>
        <v/>
      </c>
      <c r="Q731" s="158"/>
      <c r="R731" s="58" t="str">
        <f t="shared" si="11"/>
        <v/>
      </c>
      <c r="S731" s="25"/>
      <c r="T731" s="25"/>
      <c r="U731" s="25"/>
      <c r="V731" s="25"/>
      <c r="W731" s="25"/>
      <c r="X731" s="25"/>
    </row>
    <row r="732" spans="1:24" x14ac:dyDescent="0.25">
      <c r="A732" s="31" t="s">
        <v>1292</v>
      </c>
      <c r="B732" s="32"/>
      <c r="C732" s="50" t="str">
        <f>IF(B732="","",VLOOKUP(B732,'Product Master'!$B:$G,2,FALSE))</f>
        <v/>
      </c>
      <c r="D732" s="50" t="str">
        <f>IF(B732="","",VLOOKUP(B732,'Product Master'!$B:$G,3,FALSE))</f>
        <v/>
      </c>
      <c r="E732" s="50"/>
      <c r="F732" s="50">
        <f>SUMIF('Stock Purchase'!$D:$D,B732,'Stock Purchase'!$F:$F)</f>
        <v>0</v>
      </c>
      <c r="G732" s="50">
        <f>SUMIFS('Stock Adjustment'!$E:$E,'Stock Adjustment'!$B:$B,$A732,'Stock Adjustment'!$D:$D,"Customer Returned")</f>
        <v>0</v>
      </c>
      <c r="H732" s="50">
        <f>SUMIF('Daily Sales Entry'!$D:$D,B732,'Daily Sales Entry'!$G:$G)</f>
        <v>0</v>
      </c>
      <c r="I732" s="50">
        <f>SUMIFS('Stock Adjustment'!$E:$E,'Stock Adjustment'!$B:$B,$A732,'Stock Adjustment'!$D:$D,"Staff Consumption")</f>
        <v>0</v>
      </c>
      <c r="J732" s="50">
        <f>SUMIFS('Stock Adjustment'!$E:$E,'Stock Adjustment'!$B:$B,$A732,'Stock Adjustment'!$D:$D,"Damaged")</f>
        <v>0</v>
      </c>
      <c r="K732" s="50">
        <f>SUMIFS('Stock Adjustment'!$E:$E,'Stock Adjustment'!$B:$B,$A732,'Stock Adjustment'!$D:$D,"Expired")</f>
        <v>0</v>
      </c>
      <c r="L732" s="50">
        <f>SUMIFS('Stock Adjustment'!$E:$E,'Stock Adjustment'!$B:$B,$A732,'Stock Adjustment'!$D:$D,"Supplier Returned")</f>
        <v>0</v>
      </c>
      <c r="M7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2" s="53" t="str">
        <f>IF(B732="","",VLOOKUP(B732,'Product Master'!$B:$G,4,FALSE))</f>
        <v/>
      </c>
      <c r="O732" s="53" t="str">
        <f>IF(B732="","",VLOOKUP(B732,'Product Master'!$B:$G,5,FALSE))</f>
        <v/>
      </c>
      <c r="P732" s="50" t="str">
        <f>IF(B732="","",VLOOKUP(B732,'Product Master'!$B:$I,7,FALSE))</f>
        <v/>
      </c>
      <c r="Q732" s="158"/>
      <c r="R732" s="58" t="str">
        <f t="shared" si="11"/>
        <v/>
      </c>
      <c r="S732" s="25"/>
      <c r="T732" s="25"/>
      <c r="U732" s="25"/>
      <c r="V732" s="25"/>
      <c r="W732" s="25"/>
      <c r="X732" s="25"/>
    </row>
    <row r="733" spans="1:24" x14ac:dyDescent="0.25">
      <c r="A733" s="31" t="s">
        <v>1293</v>
      </c>
      <c r="B733" s="32"/>
      <c r="C733" s="50" t="str">
        <f>IF(B733="","",VLOOKUP(B733,'Product Master'!$B:$G,2,FALSE))</f>
        <v/>
      </c>
      <c r="D733" s="50" t="str">
        <f>IF(B733="","",VLOOKUP(B733,'Product Master'!$B:$G,3,FALSE))</f>
        <v/>
      </c>
      <c r="E733" s="50"/>
      <c r="F733" s="50">
        <f>SUMIF('Stock Purchase'!$D:$D,B733,'Stock Purchase'!$F:$F)</f>
        <v>0</v>
      </c>
      <c r="G733" s="50">
        <f>SUMIFS('Stock Adjustment'!$E:$E,'Stock Adjustment'!$B:$B,$A733,'Stock Adjustment'!$D:$D,"Customer Returned")</f>
        <v>0</v>
      </c>
      <c r="H733" s="50">
        <f>SUMIF('Daily Sales Entry'!$D:$D,B733,'Daily Sales Entry'!$G:$G)</f>
        <v>0</v>
      </c>
      <c r="I733" s="50">
        <f>SUMIFS('Stock Adjustment'!$E:$E,'Stock Adjustment'!$B:$B,$A733,'Stock Adjustment'!$D:$D,"Staff Consumption")</f>
        <v>0</v>
      </c>
      <c r="J733" s="50">
        <f>SUMIFS('Stock Adjustment'!$E:$E,'Stock Adjustment'!$B:$B,$A733,'Stock Adjustment'!$D:$D,"Damaged")</f>
        <v>0</v>
      </c>
      <c r="K733" s="50">
        <f>SUMIFS('Stock Adjustment'!$E:$E,'Stock Adjustment'!$B:$B,$A733,'Stock Adjustment'!$D:$D,"Expired")</f>
        <v>0</v>
      </c>
      <c r="L733" s="50">
        <f>SUMIFS('Stock Adjustment'!$E:$E,'Stock Adjustment'!$B:$B,$A733,'Stock Adjustment'!$D:$D,"Supplier Returned")</f>
        <v>0</v>
      </c>
      <c r="M7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3" s="53" t="str">
        <f>IF(B733="","",VLOOKUP(B733,'Product Master'!$B:$G,4,FALSE))</f>
        <v/>
      </c>
      <c r="O733" s="53" t="str">
        <f>IF(B733="","",VLOOKUP(B733,'Product Master'!$B:$G,5,FALSE))</f>
        <v/>
      </c>
      <c r="P733" s="50" t="str">
        <f>IF(B733="","",VLOOKUP(B733,'Product Master'!$B:$I,7,FALSE))</f>
        <v/>
      </c>
      <c r="Q733" s="158"/>
      <c r="R733" s="58" t="str">
        <f t="shared" si="11"/>
        <v/>
      </c>
      <c r="S733" s="25"/>
      <c r="T733" s="25"/>
      <c r="U733" s="25"/>
      <c r="V733" s="25"/>
      <c r="W733" s="25"/>
      <c r="X733" s="25"/>
    </row>
    <row r="734" spans="1:24" x14ac:dyDescent="0.25">
      <c r="A734" s="31" t="s">
        <v>1294</v>
      </c>
      <c r="B734" s="32"/>
      <c r="C734" s="50" t="str">
        <f>IF(B734="","",VLOOKUP(B734,'Product Master'!$B:$G,2,FALSE))</f>
        <v/>
      </c>
      <c r="D734" s="50" t="str">
        <f>IF(B734="","",VLOOKUP(B734,'Product Master'!$B:$G,3,FALSE))</f>
        <v/>
      </c>
      <c r="E734" s="50"/>
      <c r="F734" s="50">
        <f>SUMIF('Stock Purchase'!$D:$D,B734,'Stock Purchase'!$F:$F)</f>
        <v>0</v>
      </c>
      <c r="G734" s="50">
        <f>SUMIFS('Stock Adjustment'!$E:$E,'Stock Adjustment'!$B:$B,$A734,'Stock Adjustment'!$D:$D,"Customer Returned")</f>
        <v>0</v>
      </c>
      <c r="H734" s="50">
        <f>SUMIF('Daily Sales Entry'!$D:$D,B734,'Daily Sales Entry'!$G:$G)</f>
        <v>0</v>
      </c>
      <c r="I734" s="50">
        <f>SUMIFS('Stock Adjustment'!$E:$E,'Stock Adjustment'!$B:$B,$A734,'Stock Adjustment'!$D:$D,"Staff Consumption")</f>
        <v>0</v>
      </c>
      <c r="J734" s="50">
        <f>SUMIFS('Stock Adjustment'!$E:$E,'Stock Adjustment'!$B:$B,$A734,'Stock Adjustment'!$D:$D,"Damaged")</f>
        <v>0</v>
      </c>
      <c r="K734" s="50">
        <f>SUMIFS('Stock Adjustment'!$E:$E,'Stock Adjustment'!$B:$B,$A734,'Stock Adjustment'!$D:$D,"Expired")</f>
        <v>0</v>
      </c>
      <c r="L734" s="50">
        <f>SUMIFS('Stock Adjustment'!$E:$E,'Stock Adjustment'!$B:$B,$A734,'Stock Adjustment'!$D:$D,"Supplier Returned")</f>
        <v>0</v>
      </c>
      <c r="M7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4" s="53" t="str">
        <f>IF(B734="","",VLOOKUP(B734,'Product Master'!$B:$G,4,FALSE))</f>
        <v/>
      </c>
      <c r="O734" s="53" t="str">
        <f>IF(B734="","",VLOOKUP(B734,'Product Master'!$B:$G,5,FALSE))</f>
        <v/>
      </c>
      <c r="P734" s="50" t="str">
        <f>IF(B734="","",VLOOKUP(B734,'Product Master'!$B:$I,7,FALSE))</f>
        <v/>
      </c>
      <c r="Q734" s="158"/>
      <c r="R734" s="58" t="str">
        <f t="shared" si="11"/>
        <v/>
      </c>
      <c r="S734" s="25"/>
      <c r="T734" s="25"/>
      <c r="U734" s="25"/>
      <c r="V734" s="25"/>
      <c r="W734" s="25"/>
      <c r="X734" s="25"/>
    </row>
    <row r="735" spans="1:24" x14ac:dyDescent="0.25">
      <c r="A735" s="31" t="s">
        <v>1295</v>
      </c>
      <c r="B735" s="32"/>
      <c r="C735" s="50" t="str">
        <f>IF(B735="","",VLOOKUP(B735,'Product Master'!$B:$G,2,FALSE))</f>
        <v/>
      </c>
      <c r="D735" s="50" t="str">
        <f>IF(B735="","",VLOOKUP(B735,'Product Master'!$B:$G,3,FALSE))</f>
        <v/>
      </c>
      <c r="E735" s="50"/>
      <c r="F735" s="50">
        <f>SUMIF('Stock Purchase'!$D:$D,B735,'Stock Purchase'!$F:$F)</f>
        <v>0</v>
      </c>
      <c r="G735" s="50">
        <f>SUMIFS('Stock Adjustment'!$E:$E,'Stock Adjustment'!$B:$B,$A735,'Stock Adjustment'!$D:$D,"Customer Returned")</f>
        <v>0</v>
      </c>
      <c r="H735" s="50">
        <f>SUMIF('Daily Sales Entry'!$D:$D,B735,'Daily Sales Entry'!$G:$G)</f>
        <v>0</v>
      </c>
      <c r="I735" s="50">
        <f>SUMIFS('Stock Adjustment'!$E:$E,'Stock Adjustment'!$B:$B,$A735,'Stock Adjustment'!$D:$D,"Staff Consumption")</f>
        <v>0</v>
      </c>
      <c r="J735" s="50">
        <f>SUMIFS('Stock Adjustment'!$E:$E,'Stock Adjustment'!$B:$B,$A735,'Stock Adjustment'!$D:$D,"Damaged")</f>
        <v>0</v>
      </c>
      <c r="K735" s="50">
        <f>SUMIFS('Stock Adjustment'!$E:$E,'Stock Adjustment'!$B:$B,$A735,'Stock Adjustment'!$D:$D,"Expired")</f>
        <v>0</v>
      </c>
      <c r="L735" s="50">
        <f>SUMIFS('Stock Adjustment'!$E:$E,'Stock Adjustment'!$B:$B,$A735,'Stock Adjustment'!$D:$D,"Supplier Returned")</f>
        <v>0</v>
      </c>
      <c r="M7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5" s="53" t="str">
        <f>IF(B735="","",VLOOKUP(B735,'Product Master'!$B:$G,4,FALSE))</f>
        <v/>
      </c>
      <c r="O735" s="53" t="str">
        <f>IF(B735="","",VLOOKUP(B735,'Product Master'!$B:$G,5,FALSE))</f>
        <v/>
      </c>
      <c r="P735" s="50" t="str">
        <f>IF(B735="","",VLOOKUP(B735,'Product Master'!$B:$I,7,FALSE))</f>
        <v/>
      </c>
      <c r="Q735" s="158"/>
      <c r="R735" s="58" t="str">
        <f t="shared" si="11"/>
        <v/>
      </c>
      <c r="S735" s="25"/>
      <c r="T735" s="25"/>
      <c r="U735" s="25"/>
      <c r="V735" s="25"/>
      <c r="W735" s="25"/>
      <c r="X735" s="25"/>
    </row>
    <row r="736" spans="1:24" x14ac:dyDescent="0.25">
      <c r="A736" s="31" t="s">
        <v>1296</v>
      </c>
      <c r="B736" s="32"/>
      <c r="C736" s="50" t="str">
        <f>IF(B736="","",VLOOKUP(B736,'Product Master'!$B:$G,2,FALSE))</f>
        <v/>
      </c>
      <c r="D736" s="50" t="str">
        <f>IF(B736="","",VLOOKUP(B736,'Product Master'!$B:$G,3,FALSE))</f>
        <v/>
      </c>
      <c r="E736" s="50"/>
      <c r="F736" s="50">
        <f>SUMIF('Stock Purchase'!$D:$D,B736,'Stock Purchase'!$F:$F)</f>
        <v>0</v>
      </c>
      <c r="G736" s="50">
        <f>SUMIFS('Stock Adjustment'!$E:$E,'Stock Adjustment'!$B:$B,$A736,'Stock Adjustment'!$D:$D,"Customer Returned")</f>
        <v>0</v>
      </c>
      <c r="H736" s="50">
        <f>SUMIF('Daily Sales Entry'!$D:$D,B736,'Daily Sales Entry'!$G:$G)</f>
        <v>0</v>
      </c>
      <c r="I736" s="50">
        <f>SUMIFS('Stock Adjustment'!$E:$E,'Stock Adjustment'!$B:$B,$A736,'Stock Adjustment'!$D:$D,"Staff Consumption")</f>
        <v>0</v>
      </c>
      <c r="J736" s="50">
        <f>SUMIFS('Stock Adjustment'!$E:$E,'Stock Adjustment'!$B:$B,$A736,'Stock Adjustment'!$D:$D,"Damaged")</f>
        <v>0</v>
      </c>
      <c r="K736" s="50">
        <f>SUMIFS('Stock Adjustment'!$E:$E,'Stock Adjustment'!$B:$B,$A736,'Stock Adjustment'!$D:$D,"Expired")</f>
        <v>0</v>
      </c>
      <c r="L736" s="50">
        <f>SUMIFS('Stock Adjustment'!$E:$E,'Stock Adjustment'!$B:$B,$A736,'Stock Adjustment'!$D:$D,"Supplier Returned")</f>
        <v>0</v>
      </c>
      <c r="M7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6" s="53" t="str">
        <f>IF(B736="","",VLOOKUP(B736,'Product Master'!$B:$G,4,FALSE))</f>
        <v/>
      </c>
      <c r="O736" s="53" t="str">
        <f>IF(B736="","",VLOOKUP(B736,'Product Master'!$B:$G,5,FALSE))</f>
        <v/>
      </c>
      <c r="P736" s="50" t="str">
        <f>IF(B736="","",VLOOKUP(B736,'Product Master'!$B:$I,7,FALSE))</f>
        <v/>
      </c>
      <c r="Q736" s="158"/>
      <c r="R736" s="58" t="str">
        <f t="shared" si="11"/>
        <v/>
      </c>
      <c r="S736" s="25"/>
      <c r="T736" s="25"/>
      <c r="U736" s="25"/>
      <c r="V736" s="25"/>
      <c r="W736" s="25"/>
      <c r="X736" s="25"/>
    </row>
    <row r="737" spans="1:24" x14ac:dyDescent="0.25">
      <c r="A737" s="31" t="s">
        <v>1297</v>
      </c>
      <c r="B737" s="32"/>
      <c r="C737" s="50" t="str">
        <f>IF(B737="","",VLOOKUP(B737,'Product Master'!$B:$G,2,FALSE))</f>
        <v/>
      </c>
      <c r="D737" s="50" t="str">
        <f>IF(B737="","",VLOOKUP(B737,'Product Master'!$B:$G,3,FALSE))</f>
        <v/>
      </c>
      <c r="E737" s="50"/>
      <c r="F737" s="50">
        <f>SUMIF('Stock Purchase'!$D:$D,B737,'Stock Purchase'!$F:$F)</f>
        <v>0</v>
      </c>
      <c r="G737" s="50">
        <f>SUMIFS('Stock Adjustment'!$E:$E,'Stock Adjustment'!$B:$B,$A737,'Stock Adjustment'!$D:$D,"Customer Returned")</f>
        <v>0</v>
      </c>
      <c r="H737" s="50">
        <f>SUMIF('Daily Sales Entry'!$D:$D,B737,'Daily Sales Entry'!$G:$G)</f>
        <v>0</v>
      </c>
      <c r="I737" s="50">
        <f>SUMIFS('Stock Adjustment'!$E:$E,'Stock Adjustment'!$B:$B,$A737,'Stock Adjustment'!$D:$D,"Staff Consumption")</f>
        <v>0</v>
      </c>
      <c r="J737" s="50">
        <f>SUMIFS('Stock Adjustment'!$E:$E,'Stock Adjustment'!$B:$B,$A737,'Stock Adjustment'!$D:$D,"Damaged")</f>
        <v>0</v>
      </c>
      <c r="K737" s="50">
        <f>SUMIFS('Stock Adjustment'!$E:$E,'Stock Adjustment'!$B:$B,$A737,'Stock Adjustment'!$D:$D,"Expired")</f>
        <v>0</v>
      </c>
      <c r="L737" s="50">
        <f>SUMIFS('Stock Adjustment'!$E:$E,'Stock Adjustment'!$B:$B,$A737,'Stock Adjustment'!$D:$D,"Supplier Returned")</f>
        <v>0</v>
      </c>
      <c r="M7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7" s="53" t="str">
        <f>IF(B737="","",VLOOKUP(B737,'Product Master'!$B:$G,4,FALSE))</f>
        <v/>
      </c>
      <c r="O737" s="53" t="str">
        <f>IF(B737="","",VLOOKUP(B737,'Product Master'!$B:$G,5,FALSE))</f>
        <v/>
      </c>
      <c r="P737" s="50" t="str">
        <f>IF(B737="","",VLOOKUP(B737,'Product Master'!$B:$I,7,FALSE))</f>
        <v/>
      </c>
      <c r="Q737" s="158"/>
      <c r="R737" s="58" t="str">
        <f t="shared" si="11"/>
        <v/>
      </c>
      <c r="S737" s="25"/>
      <c r="T737" s="25"/>
      <c r="U737" s="25"/>
      <c r="V737" s="25"/>
      <c r="W737" s="25"/>
      <c r="X737" s="25"/>
    </row>
    <row r="738" spans="1:24" x14ac:dyDescent="0.25">
      <c r="A738" s="31" t="s">
        <v>1298</v>
      </c>
      <c r="B738" s="32"/>
      <c r="C738" s="50" t="str">
        <f>IF(B738="","",VLOOKUP(B738,'Product Master'!$B:$G,2,FALSE))</f>
        <v/>
      </c>
      <c r="D738" s="50" t="str">
        <f>IF(B738="","",VLOOKUP(B738,'Product Master'!$B:$G,3,FALSE))</f>
        <v/>
      </c>
      <c r="E738" s="50"/>
      <c r="F738" s="50">
        <f>SUMIF('Stock Purchase'!$D:$D,B738,'Stock Purchase'!$F:$F)</f>
        <v>0</v>
      </c>
      <c r="G738" s="50">
        <f>SUMIFS('Stock Adjustment'!$E:$E,'Stock Adjustment'!$B:$B,$A738,'Stock Adjustment'!$D:$D,"Customer Returned")</f>
        <v>0</v>
      </c>
      <c r="H738" s="50">
        <f>SUMIF('Daily Sales Entry'!$D:$D,B738,'Daily Sales Entry'!$G:$G)</f>
        <v>0</v>
      </c>
      <c r="I738" s="50">
        <f>SUMIFS('Stock Adjustment'!$E:$E,'Stock Adjustment'!$B:$B,$A738,'Stock Adjustment'!$D:$D,"Staff Consumption")</f>
        <v>0</v>
      </c>
      <c r="J738" s="50">
        <f>SUMIFS('Stock Adjustment'!$E:$E,'Stock Adjustment'!$B:$B,$A738,'Stock Adjustment'!$D:$D,"Damaged")</f>
        <v>0</v>
      </c>
      <c r="K738" s="50">
        <f>SUMIFS('Stock Adjustment'!$E:$E,'Stock Adjustment'!$B:$B,$A738,'Stock Adjustment'!$D:$D,"Expired")</f>
        <v>0</v>
      </c>
      <c r="L738" s="50">
        <f>SUMIFS('Stock Adjustment'!$E:$E,'Stock Adjustment'!$B:$B,$A738,'Stock Adjustment'!$D:$D,"Supplier Returned")</f>
        <v>0</v>
      </c>
      <c r="M7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8" s="53" t="str">
        <f>IF(B738="","",VLOOKUP(B738,'Product Master'!$B:$G,4,FALSE))</f>
        <v/>
      </c>
      <c r="O738" s="53" t="str">
        <f>IF(B738="","",VLOOKUP(B738,'Product Master'!$B:$G,5,FALSE))</f>
        <v/>
      </c>
      <c r="P738" s="50" t="str">
        <f>IF(B738="","",VLOOKUP(B738,'Product Master'!$B:$I,7,FALSE))</f>
        <v/>
      </c>
      <c r="Q738" s="158"/>
      <c r="R738" s="58" t="str">
        <f t="shared" si="11"/>
        <v/>
      </c>
      <c r="S738" s="25"/>
      <c r="T738" s="25"/>
      <c r="U738" s="25"/>
      <c r="V738" s="25"/>
      <c r="W738" s="25"/>
      <c r="X738" s="25"/>
    </row>
    <row r="739" spans="1:24" x14ac:dyDescent="0.25">
      <c r="A739" s="31" t="s">
        <v>1299</v>
      </c>
      <c r="B739" s="32"/>
      <c r="C739" s="50" t="str">
        <f>IF(B739="","",VLOOKUP(B739,'Product Master'!$B:$G,2,FALSE))</f>
        <v/>
      </c>
      <c r="D739" s="50" t="str">
        <f>IF(B739="","",VLOOKUP(B739,'Product Master'!$B:$G,3,FALSE))</f>
        <v/>
      </c>
      <c r="E739" s="50"/>
      <c r="F739" s="50">
        <f>SUMIF('Stock Purchase'!$D:$D,B739,'Stock Purchase'!$F:$F)</f>
        <v>0</v>
      </c>
      <c r="G739" s="50">
        <f>SUMIFS('Stock Adjustment'!$E:$E,'Stock Adjustment'!$B:$B,$A739,'Stock Adjustment'!$D:$D,"Customer Returned")</f>
        <v>0</v>
      </c>
      <c r="H739" s="50">
        <f>SUMIF('Daily Sales Entry'!$D:$D,B739,'Daily Sales Entry'!$G:$G)</f>
        <v>0</v>
      </c>
      <c r="I739" s="50">
        <f>SUMIFS('Stock Adjustment'!$E:$E,'Stock Adjustment'!$B:$B,$A739,'Stock Adjustment'!$D:$D,"Staff Consumption")</f>
        <v>0</v>
      </c>
      <c r="J739" s="50">
        <f>SUMIFS('Stock Adjustment'!$E:$E,'Stock Adjustment'!$B:$B,$A739,'Stock Adjustment'!$D:$D,"Damaged")</f>
        <v>0</v>
      </c>
      <c r="K739" s="50">
        <f>SUMIFS('Stock Adjustment'!$E:$E,'Stock Adjustment'!$B:$B,$A739,'Stock Adjustment'!$D:$D,"Expired")</f>
        <v>0</v>
      </c>
      <c r="L739" s="50">
        <f>SUMIFS('Stock Adjustment'!$E:$E,'Stock Adjustment'!$B:$B,$A739,'Stock Adjustment'!$D:$D,"Supplier Returned")</f>
        <v>0</v>
      </c>
      <c r="M7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39" s="53" t="str">
        <f>IF(B739="","",VLOOKUP(B739,'Product Master'!$B:$G,4,FALSE))</f>
        <v/>
      </c>
      <c r="O739" s="53" t="str">
        <f>IF(B739="","",VLOOKUP(B739,'Product Master'!$B:$G,5,FALSE))</f>
        <v/>
      </c>
      <c r="P739" s="50" t="str">
        <f>IF(B739="","",VLOOKUP(B739,'Product Master'!$B:$I,7,FALSE))</f>
        <v/>
      </c>
      <c r="Q739" s="158"/>
      <c r="R739" s="58" t="str">
        <f t="shared" si="11"/>
        <v/>
      </c>
      <c r="S739" s="25"/>
      <c r="T739" s="25"/>
      <c r="U739" s="25"/>
      <c r="V739" s="25"/>
      <c r="W739" s="25"/>
      <c r="X739" s="25"/>
    </row>
    <row r="740" spans="1:24" x14ac:dyDescent="0.25">
      <c r="A740" s="31" t="s">
        <v>1300</v>
      </c>
      <c r="B740" s="32"/>
      <c r="C740" s="50" t="str">
        <f>IF(B740="","",VLOOKUP(B740,'Product Master'!$B:$G,2,FALSE))</f>
        <v/>
      </c>
      <c r="D740" s="50" t="str">
        <f>IF(B740="","",VLOOKUP(B740,'Product Master'!$B:$G,3,FALSE))</f>
        <v/>
      </c>
      <c r="E740" s="50"/>
      <c r="F740" s="50">
        <f>SUMIF('Stock Purchase'!$D:$D,B740,'Stock Purchase'!$F:$F)</f>
        <v>0</v>
      </c>
      <c r="G740" s="50">
        <f>SUMIFS('Stock Adjustment'!$E:$E,'Stock Adjustment'!$B:$B,$A740,'Stock Adjustment'!$D:$D,"Customer Returned")</f>
        <v>0</v>
      </c>
      <c r="H740" s="50">
        <f>SUMIF('Daily Sales Entry'!$D:$D,B740,'Daily Sales Entry'!$G:$G)</f>
        <v>0</v>
      </c>
      <c r="I740" s="50">
        <f>SUMIFS('Stock Adjustment'!$E:$E,'Stock Adjustment'!$B:$B,$A740,'Stock Adjustment'!$D:$D,"Staff Consumption")</f>
        <v>0</v>
      </c>
      <c r="J740" s="50">
        <f>SUMIFS('Stock Adjustment'!$E:$E,'Stock Adjustment'!$B:$B,$A740,'Stock Adjustment'!$D:$D,"Damaged")</f>
        <v>0</v>
      </c>
      <c r="K740" s="50">
        <f>SUMIFS('Stock Adjustment'!$E:$E,'Stock Adjustment'!$B:$B,$A740,'Stock Adjustment'!$D:$D,"Expired")</f>
        <v>0</v>
      </c>
      <c r="L740" s="50">
        <f>SUMIFS('Stock Adjustment'!$E:$E,'Stock Adjustment'!$B:$B,$A740,'Stock Adjustment'!$D:$D,"Supplier Returned")</f>
        <v>0</v>
      </c>
      <c r="M7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0" s="53" t="str">
        <f>IF(B740="","",VLOOKUP(B740,'Product Master'!$B:$G,4,FALSE))</f>
        <v/>
      </c>
      <c r="O740" s="53" t="str">
        <f>IF(B740="","",VLOOKUP(B740,'Product Master'!$B:$G,5,FALSE))</f>
        <v/>
      </c>
      <c r="P740" s="50" t="str">
        <f>IF(B740="","",VLOOKUP(B740,'Product Master'!$B:$I,7,FALSE))</f>
        <v/>
      </c>
      <c r="Q740" s="158"/>
      <c r="R740" s="58" t="str">
        <f t="shared" si="11"/>
        <v/>
      </c>
      <c r="S740" s="25"/>
      <c r="T740" s="25"/>
      <c r="U740" s="25"/>
      <c r="V740" s="25"/>
      <c r="W740" s="25"/>
      <c r="X740" s="25"/>
    </row>
    <row r="741" spans="1:24" x14ac:dyDescent="0.25">
      <c r="A741" s="31" t="s">
        <v>1301</v>
      </c>
      <c r="B741" s="32"/>
      <c r="C741" s="50" t="str">
        <f>IF(B741="","",VLOOKUP(B741,'Product Master'!$B:$G,2,FALSE))</f>
        <v/>
      </c>
      <c r="D741" s="50" t="str">
        <f>IF(B741="","",VLOOKUP(B741,'Product Master'!$B:$G,3,FALSE))</f>
        <v/>
      </c>
      <c r="E741" s="50"/>
      <c r="F741" s="50">
        <f>SUMIF('Stock Purchase'!$D:$D,B741,'Stock Purchase'!$F:$F)</f>
        <v>0</v>
      </c>
      <c r="G741" s="50">
        <f>SUMIFS('Stock Adjustment'!$E:$E,'Stock Adjustment'!$B:$B,$A741,'Stock Adjustment'!$D:$D,"Customer Returned")</f>
        <v>0</v>
      </c>
      <c r="H741" s="50">
        <f>SUMIF('Daily Sales Entry'!$D:$D,B741,'Daily Sales Entry'!$G:$G)</f>
        <v>0</v>
      </c>
      <c r="I741" s="50">
        <f>SUMIFS('Stock Adjustment'!$E:$E,'Stock Adjustment'!$B:$B,$A741,'Stock Adjustment'!$D:$D,"Staff Consumption")</f>
        <v>0</v>
      </c>
      <c r="J741" s="50">
        <f>SUMIFS('Stock Adjustment'!$E:$E,'Stock Adjustment'!$B:$B,$A741,'Stock Adjustment'!$D:$D,"Damaged")</f>
        <v>0</v>
      </c>
      <c r="K741" s="50">
        <f>SUMIFS('Stock Adjustment'!$E:$E,'Stock Adjustment'!$B:$B,$A741,'Stock Adjustment'!$D:$D,"Expired")</f>
        <v>0</v>
      </c>
      <c r="L741" s="50">
        <f>SUMIFS('Stock Adjustment'!$E:$E,'Stock Adjustment'!$B:$B,$A741,'Stock Adjustment'!$D:$D,"Supplier Returned")</f>
        <v>0</v>
      </c>
      <c r="M7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1" s="53" t="str">
        <f>IF(B741="","",VLOOKUP(B741,'Product Master'!$B:$G,4,FALSE))</f>
        <v/>
      </c>
      <c r="O741" s="53" t="str">
        <f>IF(B741="","",VLOOKUP(B741,'Product Master'!$B:$G,5,FALSE))</f>
        <v/>
      </c>
      <c r="P741" s="50" t="str">
        <f>IF(B741="","",VLOOKUP(B741,'Product Master'!$B:$I,7,FALSE))</f>
        <v/>
      </c>
      <c r="Q741" s="158"/>
      <c r="R741" s="58" t="str">
        <f t="shared" si="11"/>
        <v/>
      </c>
      <c r="S741" s="25"/>
      <c r="T741" s="25"/>
      <c r="U741" s="25"/>
      <c r="V741" s="25"/>
      <c r="W741" s="25"/>
      <c r="X741" s="25"/>
    </row>
    <row r="742" spans="1:24" x14ac:dyDescent="0.25">
      <c r="A742" s="31" t="s">
        <v>1302</v>
      </c>
      <c r="B742" s="32"/>
      <c r="C742" s="50" t="str">
        <f>IF(B742="","",VLOOKUP(B742,'Product Master'!$B:$G,2,FALSE))</f>
        <v/>
      </c>
      <c r="D742" s="50" t="str">
        <f>IF(B742="","",VLOOKUP(B742,'Product Master'!$B:$G,3,FALSE))</f>
        <v/>
      </c>
      <c r="E742" s="50"/>
      <c r="F742" s="50">
        <f>SUMIF('Stock Purchase'!$D:$D,B742,'Stock Purchase'!$F:$F)</f>
        <v>0</v>
      </c>
      <c r="G742" s="50">
        <f>SUMIFS('Stock Adjustment'!$E:$E,'Stock Adjustment'!$B:$B,$A742,'Stock Adjustment'!$D:$D,"Customer Returned")</f>
        <v>0</v>
      </c>
      <c r="H742" s="50">
        <f>SUMIF('Daily Sales Entry'!$D:$D,B742,'Daily Sales Entry'!$G:$G)</f>
        <v>0</v>
      </c>
      <c r="I742" s="50">
        <f>SUMIFS('Stock Adjustment'!$E:$E,'Stock Adjustment'!$B:$B,$A742,'Stock Adjustment'!$D:$D,"Staff Consumption")</f>
        <v>0</v>
      </c>
      <c r="J742" s="50">
        <f>SUMIFS('Stock Adjustment'!$E:$E,'Stock Adjustment'!$B:$B,$A742,'Stock Adjustment'!$D:$D,"Damaged")</f>
        <v>0</v>
      </c>
      <c r="K742" s="50">
        <f>SUMIFS('Stock Adjustment'!$E:$E,'Stock Adjustment'!$B:$B,$A742,'Stock Adjustment'!$D:$D,"Expired")</f>
        <v>0</v>
      </c>
      <c r="L742" s="50">
        <f>SUMIFS('Stock Adjustment'!$E:$E,'Stock Adjustment'!$B:$B,$A742,'Stock Adjustment'!$D:$D,"Supplier Returned")</f>
        <v>0</v>
      </c>
      <c r="M7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2" s="53" t="str">
        <f>IF(B742="","",VLOOKUP(B742,'Product Master'!$B:$G,4,FALSE))</f>
        <v/>
      </c>
      <c r="O742" s="53" t="str">
        <f>IF(B742="","",VLOOKUP(B742,'Product Master'!$B:$G,5,FALSE))</f>
        <v/>
      </c>
      <c r="P742" s="50" t="str">
        <f>IF(B742="","",VLOOKUP(B742,'Product Master'!$B:$I,7,FALSE))</f>
        <v/>
      </c>
      <c r="Q742" s="158"/>
      <c r="R742" s="58" t="str">
        <f t="shared" si="11"/>
        <v/>
      </c>
      <c r="S742" s="25"/>
      <c r="T742" s="25"/>
      <c r="U742" s="25"/>
      <c r="V742" s="25"/>
      <c r="W742" s="25"/>
      <c r="X742" s="25"/>
    </row>
    <row r="743" spans="1:24" x14ac:dyDescent="0.25">
      <c r="A743" s="31" t="s">
        <v>1303</v>
      </c>
      <c r="B743" s="32"/>
      <c r="C743" s="50" t="str">
        <f>IF(B743="","",VLOOKUP(B743,'Product Master'!$B:$G,2,FALSE))</f>
        <v/>
      </c>
      <c r="D743" s="50" t="str">
        <f>IF(B743="","",VLOOKUP(B743,'Product Master'!$B:$G,3,FALSE))</f>
        <v/>
      </c>
      <c r="E743" s="50"/>
      <c r="F743" s="50">
        <f>SUMIF('Stock Purchase'!$D:$D,B743,'Stock Purchase'!$F:$F)</f>
        <v>0</v>
      </c>
      <c r="G743" s="50">
        <f>SUMIFS('Stock Adjustment'!$E:$E,'Stock Adjustment'!$B:$B,$A743,'Stock Adjustment'!$D:$D,"Customer Returned")</f>
        <v>0</v>
      </c>
      <c r="H743" s="50">
        <f>SUMIF('Daily Sales Entry'!$D:$D,B743,'Daily Sales Entry'!$G:$G)</f>
        <v>0</v>
      </c>
      <c r="I743" s="50">
        <f>SUMIFS('Stock Adjustment'!$E:$E,'Stock Adjustment'!$B:$B,$A743,'Stock Adjustment'!$D:$D,"Staff Consumption")</f>
        <v>0</v>
      </c>
      <c r="J743" s="50">
        <f>SUMIFS('Stock Adjustment'!$E:$E,'Stock Adjustment'!$B:$B,$A743,'Stock Adjustment'!$D:$D,"Damaged")</f>
        <v>0</v>
      </c>
      <c r="K743" s="50">
        <f>SUMIFS('Stock Adjustment'!$E:$E,'Stock Adjustment'!$B:$B,$A743,'Stock Adjustment'!$D:$D,"Expired")</f>
        <v>0</v>
      </c>
      <c r="L743" s="50">
        <f>SUMIFS('Stock Adjustment'!$E:$E,'Stock Adjustment'!$B:$B,$A743,'Stock Adjustment'!$D:$D,"Supplier Returned")</f>
        <v>0</v>
      </c>
      <c r="M7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3" s="53" t="str">
        <f>IF(B743="","",VLOOKUP(B743,'Product Master'!$B:$G,4,FALSE))</f>
        <v/>
      </c>
      <c r="O743" s="53" t="str">
        <f>IF(B743="","",VLOOKUP(B743,'Product Master'!$B:$G,5,FALSE))</f>
        <v/>
      </c>
      <c r="P743" s="50" t="str">
        <f>IF(B743="","",VLOOKUP(B743,'Product Master'!$B:$I,7,FALSE))</f>
        <v/>
      </c>
      <c r="Q743" s="158"/>
      <c r="R743" s="58" t="str">
        <f t="shared" si="11"/>
        <v/>
      </c>
      <c r="S743" s="25"/>
      <c r="T743" s="25"/>
      <c r="U743" s="25"/>
      <c r="V743" s="25"/>
      <c r="W743" s="25"/>
      <c r="X743" s="25"/>
    </row>
    <row r="744" spans="1:24" x14ac:dyDescent="0.25">
      <c r="A744" s="31" t="s">
        <v>1304</v>
      </c>
      <c r="B744" s="32"/>
      <c r="C744" s="50" t="str">
        <f>IF(B744="","",VLOOKUP(B744,'Product Master'!$B:$G,2,FALSE))</f>
        <v/>
      </c>
      <c r="D744" s="50" t="str">
        <f>IF(B744="","",VLOOKUP(B744,'Product Master'!$B:$G,3,FALSE))</f>
        <v/>
      </c>
      <c r="E744" s="50"/>
      <c r="F744" s="50">
        <f>SUMIF('Stock Purchase'!$D:$D,B744,'Stock Purchase'!$F:$F)</f>
        <v>0</v>
      </c>
      <c r="G744" s="50">
        <f>SUMIFS('Stock Adjustment'!$E:$E,'Stock Adjustment'!$B:$B,$A744,'Stock Adjustment'!$D:$D,"Customer Returned")</f>
        <v>0</v>
      </c>
      <c r="H744" s="50">
        <f>SUMIF('Daily Sales Entry'!$D:$D,B744,'Daily Sales Entry'!$G:$G)</f>
        <v>0</v>
      </c>
      <c r="I744" s="50">
        <f>SUMIFS('Stock Adjustment'!$E:$E,'Stock Adjustment'!$B:$B,$A744,'Stock Adjustment'!$D:$D,"Staff Consumption")</f>
        <v>0</v>
      </c>
      <c r="J744" s="50">
        <f>SUMIFS('Stock Adjustment'!$E:$E,'Stock Adjustment'!$B:$B,$A744,'Stock Adjustment'!$D:$D,"Damaged")</f>
        <v>0</v>
      </c>
      <c r="K744" s="50">
        <f>SUMIFS('Stock Adjustment'!$E:$E,'Stock Adjustment'!$B:$B,$A744,'Stock Adjustment'!$D:$D,"Expired")</f>
        <v>0</v>
      </c>
      <c r="L744" s="50">
        <f>SUMIFS('Stock Adjustment'!$E:$E,'Stock Adjustment'!$B:$B,$A744,'Stock Adjustment'!$D:$D,"Supplier Returned")</f>
        <v>0</v>
      </c>
      <c r="M7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4" s="53" t="str">
        <f>IF(B744="","",VLOOKUP(B744,'Product Master'!$B:$G,4,FALSE))</f>
        <v/>
      </c>
      <c r="O744" s="53" t="str">
        <f>IF(B744="","",VLOOKUP(B744,'Product Master'!$B:$G,5,FALSE))</f>
        <v/>
      </c>
      <c r="P744" s="50" t="str">
        <f>IF(B744="","",VLOOKUP(B744,'Product Master'!$B:$I,7,FALSE))</f>
        <v/>
      </c>
      <c r="Q744" s="158"/>
      <c r="R744" s="58" t="str">
        <f t="shared" si="11"/>
        <v/>
      </c>
      <c r="S744" s="25"/>
      <c r="T744" s="25"/>
      <c r="U744" s="25"/>
      <c r="V744" s="25"/>
      <c r="W744" s="25"/>
      <c r="X744" s="25"/>
    </row>
    <row r="745" spans="1:24" x14ac:dyDescent="0.25">
      <c r="A745" s="31" t="s">
        <v>1305</v>
      </c>
      <c r="B745" s="32"/>
      <c r="C745" s="50" t="str">
        <f>IF(B745="","",VLOOKUP(B745,'Product Master'!$B:$G,2,FALSE))</f>
        <v/>
      </c>
      <c r="D745" s="50" t="str">
        <f>IF(B745="","",VLOOKUP(B745,'Product Master'!$B:$G,3,FALSE))</f>
        <v/>
      </c>
      <c r="E745" s="50"/>
      <c r="F745" s="50">
        <f>SUMIF('Stock Purchase'!$D:$D,B745,'Stock Purchase'!$F:$F)</f>
        <v>0</v>
      </c>
      <c r="G745" s="50">
        <f>SUMIFS('Stock Adjustment'!$E:$E,'Stock Adjustment'!$B:$B,$A745,'Stock Adjustment'!$D:$D,"Customer Returned")</f>
        <v>0</v>
      </c>
      <c r="H745" s="50">
        <f>SUMIF('Daily Sales Entry'!$D:$D,B745,'Daily Sales Entry'!$G:$G)</f>
        <v>0</v>
      </c>
      <c r="I745" s="50">
        <f>SUMIFS('Stock Adjustment'!$E:$E,'Stock Adjustment'!$B:$B,$A745,'Stock Adjustment'!$D:$D,"Staff Consumption")</f>
        <v>0</v>
      </c>
      <c r="J745" s="50">
        <f>SUMIFS('Stock Adjustment'!$E:$E,'Stock Adjustment'!$B:$B,$A745,'Stock Adjustment'!$D:$D,"Damaged")</f>
        <v>0</v>
      </c>
      <c r="K745" s="50">
        <f>SUMIFS('Stock Adjustment'!$E:$E,'Stock Adjustment'!$B:$B,$A745,'Stock Adjustment'!$D:$D,"Expired")</f>
        <v>0</v>
      </c>
      <c r="L745" s="50">
        <f>SUMIFS('Stock Adjustment'!$E:$E,'Stock Adjustment'!$B:$B,$A745,'Stock Adjustment'!$D:$D,"Supplier Returned")</f>
        <v>0</v>
      </c>
      <c r="M7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5" s="53" t="str">
        <f>IF(B745="","",VLOOKUP(B745,'Product Master'!$B:$G,4,FALSE))</f>
        <v/>
      </c>
      <c r="O745" s="53" t="str">
        <f>IF(B745="","",VLOOKUP(B745,'Product Master'!$B:$G,5,FALSE))</f>
        <v/>
      </c>
      <c r="P745" s="50" t="str">
        <f>IF(B745="","",VLOOKUP(B745,'Product Master'!$B:$I,7,FALSE))</f>
        <v/>
      </c>
      <c r="Q745" s="158"/>
      <c r="R745" s="58" t="str">
        <f t="shared" si="11"/>
        <v/>
      </c>
      <c r="S745" s="25"/>
      <c r="T745" s="25"/>
      <c r="U745" s="25"/>
      <c r="V745" s="25"/>
      <c r="W745" s="25"/>
      <c r="X745" s="25"/>
    </row>
    <row r="746" spans="1:24" x14ac:dyDescent="0.25">
      <c r="A746" s="31" t="s">
        <v>1306</v>
      </c>
      <c r="B746" s="32"/>
      <c r="C746" s="50" t="str">
        <f>IF(B746="","",VLOOKUP(B746,'Product Master'!$B:$G,2,FALSE))</f>
        <v/>
      </c>
      <c r="D746" s="50" t="str">
        <f>IF(B746="","",VLOOKUP(B746,'Product Master'!$B:$G,3,FALSE))</f>
        <v/>
      </c>
      <c r="E746" s="50"/>
      <c r="F746" s="50">
        <f>SUMIF('Stock Purchase'!$D:$D,B746,'Stock Purchase'!$F:$F)</f>
        <v>0</v>
      </c>
      <c r="G746" s="50">
        <f>SUMIFS('Stock Adjustment'!$E:$E,'Stock Adjustment'!$B:$B,$A746,'Stock Adjustment'!$D:$D,"Customer Returned")</f>
        <v>0</v>
      </c>
      <c r="H746" s="50">
        <f>SUMIF('Daily Sales Entry'!$D:$D,B746,'Daily Sales Entry'!$G:$G)</f>
        <v>0</v>
      </c>
      <c r="I746" s="50">
        <f>SUMIFS('Stock Adjustment'!$E:$E,'Stock Adjustment'!$B:$B,$A746,'Stock Adjustment'!$D:$D,"Staff Consumption")</f>
        <v>0</v>
      </c>
      <c r="J746" s="50">
        <f>SUMIFS('Stock Adjustment'!$E:$E,'Stock Adjustment'!$B:$B,$A746,'Stock Adjustment'!$D:$D,"Damaged")</f>
        <v>0</v>
      </c>
      <c r="K746" s="50">
        <f>SUMIFS('Stock Adjustment'!$E:$E,'Stock Adjustment'!$B:$B,$A746,'Stock Adjustment'!$D:$D,"Expired")</f>
        <v>0</v>
      </c>
      <c r="L746" s="50">
        <f>SUMIFS('Stock Adjustment'!$E:$E,'Stock Adjustment'!$B:$B,$A746,'Stock Adjustment'!$D:$D,"Supplier Returned")</f>
        <v>0</v>
      </c>
      <c r="M7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6" s="53" t="str">
        <f>IF(B746="","",VLOOKUP(B746,'Product Master'!$B:$G,4,FALSE))</f>
        <v/>
      </c>
      <c r="O746" s="53" t="str">
        <f>IF(B746="","",VLOOKUP(B746,'Product Master'!$B:$G,5,FALSE))</f>
        <v/>
      </c>
      <c r="P746" s="50" t="str">
        <f>IF(B746="","",VLOOKUP(B746,'Product Master'!$B:$I,7,FALSE))</f>
        <v/>
      </c>
      <c r="Q746" s="158"/>
      <c r="R746" s="58" t="str">
        <f t="shared" si="11"/>
        <v/>
      </c>
      <c r="S746" s="25"/>
      <c r="T746" s="25"/>
      <c r="U746" s="25"/>
      <c r="V746" s="25"/>
      <c r="W746" s="25"/>
      <c r="X746" s="25"/>
    </row>
    <row r="747" spans="1:24" x14ac:dyDescent="0.25">
      <c r="A747" s="31" t="s">
        <v>1307</v>
      </c>
      <c r="B747" s="32"/>
      <c r="C747" s="50" t="str">
        <f>IF(B747="","",VLOOKUP(B747,'Product Master'!$B:$G,2,FALSE))</f>
        <v/>
      </c>
      <c r="D747" s="50" t="str">
        <f>IF(B747="","",VLOOKUP(B747,'Product Master'!$B:$G,3,FALSE))</f>
        <v/>
      </c>
      <c r="E747" s="50"/>
      <c r="F747" s="50">
        <f>SUMIF('Stock Purchase'!$D:$D,B747,'Stock Purchase'!$F:$F)</f>
        <v>0</v>
      </c>
      <c r="G747" s="50">
        <f>SUMIFS('Stock Adjustment'!$E:$E,'Stock Adjustment'!$B:$B,$A747,'Stock Adjustment'!$D:$D,"Customer Returned")</f>
        <v>0</v>
      </c>
      <c r="H747" s="50">
        <f>SUMIF('Daily Sales Entry'!$D:$D,B747,'Daily Sales Entry'!$G:$G)</f>
        <v>0</v>
      </c>
      <c r="I747" s="50">
        <f>SUMIFS('Stock Adjustment'!$E:$E,'Stock Adjustment'!$B:$B,$A747,'Stock Adjustment'!$D:$D,"Staff Consumption")</f>
        <v>0</v>
      </c>
      <c r="J747" s="50">
        <f>SUMIFS('Stock Adjustment'!$E:$E,'Stock Adjustment'!$B:$B,$A747,'Stock Adjustment'!$D:$D,"Damaged")</f>
        <v>0</v>
      </c>
      <c r="K747" s="50">
        <f>SUMIFS('Stock Adjustment'!$E:$E,'Stock Adjustment'!$B:$B,$A747,'Stock Adjustment'!$D:$D,"Expired")</f>
        <v>0</v>
      </c>
      <c r="L747" s="50">
        <f>SUMIFS('Stock Adjustment'!$E:$E,'Stock Adjustment'!$B:$B,$A747,'Stock Adjustment'!$D:$D,"Supplier Returned")</f>
        <v>0</v>
      </c>
      <c r="M7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7" s="53" t="str">
        <f>IF(B747="","",VLOOKUP(B747,'Product Master'!$B:$G,4,FALSE))</f>
        <v/>
      </c>
      <c r="O747" s="53" t="str">
        <f>IF(B747="","",VLOOKUP(B747,'Product Master'!$B:$G,5,FALSE))</f>
        <v/>
      </c>
      <c r="P747" s="50" t="str">
        <f>IF(B747="","",VLOOKUP(B747,'Product Master'!$B:$I,7,FALSE))</f>
        <v/>
      </c>
      <c r="Q747" s="158"/>
      <c r="R747" s="58" t="str">
        <f t="shared" si="11"/>
        <v/>
      </c>
      <c r="S747" s="25"/>
      <c r="T747" s="25"/>
      <c r="U747" s="25"/>
      <c r="V747" s="25"/>
      <c r="W747" s="25"/>
      <c r="X747" s="25"/>
    </row>
    <row r="748" spans="1:24" x14ac:dyDescent="0.25">
      <c r="A748" s="31" t="s">
        <v>1308</v>
      </c>
      <c r="B748" s="32"/>
      <c r="C748" s="50" t="str">
        <f>IF(B748="","",VLOOKUP(B748,'Product Master'!$B:$G,2,FALSE))</f>
        <v/>
      </c>
      <c r="D748" s="50" t="str">
        <f>IF(B748="","",VLOOKUP(B748,'Product Master'!$B:$G,3,FALSE))</f>
        <v/>
      </c>
      <c r="E748" s="50"/>
      <c r="F748" s="50">
        <f>SUMIF('Stock Purchase'!$D:$D,B748,'Stock Purchase'!$F:$F)</f>
        <v>0</v>
      </c>
      <c r="G748" s="50">
        <f>SUMIFS('Stock Adjustment'!$E:$E,'Stock Adjustment'!$B:$B,$A748,'Stock Adjustment'!$D:$D,"Customer Returned")</f>
        <v>0</v>
      </c>
      <c r="H748" s="50">
        <f>SUMIF('Daily Sales Entry'!$D:$D,B748,'Daily Sales Entry'!$G:$G)</f>
        <v>0</v>
      </c>
      <c r="I748" s="50">
        <f>SUMIFS('Stock Adjustment'!$E:$E,'Stock Adjustment'!$B:$B,$A748,'Stock Adjustment'!$D:$D,"Staff Consumption")</f>
        <v>0</v>
      </c>
      <c r="J748" s="50">
        <f>SUMIFS('Stock Adjustment'!$E:$E,'Stock Adjustment'!$B:$B,$A748,'Stock Adjustment'!$D:$D,"Damaged")</f>
        <v>0</v>
      </c>
      <c r="K748" s="50">
        <f>SUMIFS('Stock Adjustment'!$E:$E,'Stock Adjustment'!$B:$B,$A748,'Stock Adjustment'!$D:$D,"Expired")</f>
        <v>0</v>
      </c>
      <c r="L748" s="50">
        <f>SUMIFS('Stock Adjustment'!$E:$E,'Stock Adjustment'!$B:$B,$A748,'Stock Adjustment'!$D:$D,"Supplier Returned")</f>
        <v>0</v>
      </c>
      <c r="M7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8" s="53" t="str">
        <f>IF(B748="","",VLOOKUP(B748,'Product Master'!$B:$G,4,FALSE))</f>
        <v/>
      </c>
      <c r="O748" s="53" t="str">
        <f>IF(B748="","",VLOOKUP(B748,'Product Master'!$B:$G,5,FALSE))</f>
        <v/>
      </c>
      <c r="P748" s="50" t="str">
        <f>IF(B748="","",VLOOKUP(B748,'Product Master'!$B:$I,7,FALSE))</f>
        <v/>
      </c>
      <c r="Q748" s="158"/>
      <c r="R748" s="58" t="str">
        <f t="shared" si="11"/>
        <v/>
      </c>
      <c r="S748" s="25"/>
      <c r="T748" s="25"/>
      <c r="U748" s="25"/>
      <c r="V748" s="25"/>
      <c r="W748" s="25"/>
      <c r="X748" s="25"/>
    </row>
    <row r="749" spans="1:24" x14ac:dyDescent="0.25">
      <c r="A749" s="31" t="s">
        <v>1309</v>
      </c>
      <c r="B749" s="32"/>
      <c r="C749" s="50" t="str">
        <f>IF(B749="","",VLOOKUP(B749,'Product Master'!$B:$G,2,FALSE))</f>
        <v/>
      </c>
      <c r="D749" s="50" t="str">
        <f>IF(B749="","",VLOOKUP(B749,'Product Master'!$B:$G,3,FALSE))</f>
        <v/>
      </c>
      <c r="E749" s="50"/>
      <c r="F749" s="50">
        <f>SUMIF('Stock Purchase'!$D:$D,B749,'Stock Purchase'!$F:$F)</f>
        <v>0</v>
      </c>
      <c r="G749" s="50">
        <f>SUMIFS('Stock Adjustment'!$E:$E,'Stock Adjustment'!$B:$B,$A749,'Stock Adjustment'!$D:$D,"Customer Returned")</f>
        <v>0</v>
      </c>
      <c r="H749" s="50">
        <f>SUMIF('Daily Sales Entry'!$D:$D,B749,'Daily Sales Entry'!$G:$G)</f>
        <v>0</v>
      </c>
      <c r="I749" s="50">
        <f>SUMIFS('Stock Adjustment'!$E:$E,'Stock Adjustment'!$B:$B,$A749,'Stock Adjustment'!$D:$D,"Staff Consumption")</f>
        <v>0</v>
      </c>
      <c r="J749" s="50">
        <f>SUMIFS('Stock Adjustment'!$E:$E,'Stock Adjustment'!$B:$B,$A749,'Stock Adjustment'!$D:$D,"Damaged")</f>
        <v>0</v>
      </c>
      <c r="K749" s="50">
        <f>SUMIFS('Stock Adjustment'!$E:$E,'Stock Adjustment'!$B:$B,$A749,'Stock Adjustment'!$D:$D,"Expired")</f>
        <v>0</v>
      </c>
      <c r="L749" s="50">
        <f>SUMIFS('Stock Adjustment'!$E:$E,'Stock Adjustment'!$B:$B,$A749,'Stock Adjustment'!$D:$D,"Supplier Returned")</f>
        <v>0</v>
      </c>
      <c r="M7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49" s="53" t="str">
        <f>IF(B749="","",VLOOKUP(B749,'Product Master'!$B:$G,4,FALSE))</f>
        <v/>
      </c>
      <c r="O749" s="53" t="str">
        <f>IF(B749="","",VLOOKUP(B749,'Product Master'!$B:$G,5,FALSE))</f>
        <v/>
      </c>
      <c r="P749" s="50" t="str">
        <f>IF(B749="","",VLOOKUP(B749,'Product Master'!$B:$I,7,FALSE))</f>
        <v/>
      </c>
      <c r="Q749" s="158"/>
      <c r="R749" s="58" t="str">
        <f t="shared" si="11"/>
        <v/>
      </c>
      <c r="S749" s="25"/>
      <c r="T749" s="25"/>
      <c r="U749" s="25"/>
      <c r="V749" s="25"/>
      <c r="W749" s="25"/>
      <c r="X749" s="25"/>
    </row>
    <row r="750" spans="1:24" x14ac:dyDescent="0.25">
      <c r="A750" s="31" t="s">
        <v>1310</v>
      </c>
      <c r="B750" s="32"/>
      <c r="C750" s="50" t="str">
        <f>IF(B750="","",VLOOKUP(B750,'Product Master'!$B:$G,2,FALSE))</f>
        <v/>
      </c>
      <c r="D750" s="50" t="str">
        <f>IF(B750="","",VLOOKUP(B750,'Product Master'!$B:$G,3,FALSE))</f>
        <v/>
      </c>
      <c r="E750" s="50"/>
      <c r="F750" s="50">
        <f>SUMIF('Stock Purchase'!$D:$D,B750,'Stock Purchase'!$F:$F)</f>
        <v>0</v>
      </c>
      <c r="G750" s="50">
        <f>SUMIFS('Stock Adjustment'!$E:$E,'Stock Adjustment'!$B:$B,$A750,'Stock Adjustment'!$D:$D,"Customer Returned")</f>
        <v>0</v>
      </c>
      <c r="H750" s="50">
        <f>SUMIF('Daily Sales Entry'!$D:$D,B750,'Daily Sales Entry'!$G:$G)</f>
        <v>0</v>
      </c>
      <c r="I750" s="50">
        <f>SUMIFS('Stock Adjustment'!$E:$E,'Stock Adjustment'!$B:$B,$A750,'Stock Adjustment'!$D:$D,"Staff Consumption")</f>
        <v>0</v>
      </c>
      <c r="J750" s="50">
        <f>SUMIFS('Stock Adjustment'!$E:$E,'Stock Adjustment'!$B:$B,$A750,'Stock Adjustment'!$D:$D,"Damaged")</f>
        <v>0</v>
      </c>
      <c r="K750" s="50">
        <f>SUMIFS('Stock Adjustment'!$E:$E,'Stock Adjustment'!$B:$B,$A750,'Stock Adjustment'!$D:$D,"Expired")</f>
        <v>0</v>
      </c>
      <c r="L750" s="50">
        <f>SUMIFS('Stock Adjustment'!$E:$E,'Stock Adjustment'!$B:$B,$A750,'Stock Adjustment'!$D:$D,"Supplier Returned")</f>
        <v>0</v>
      </c>
      <c r="M7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0" s="53" t="str">
        <f>IF(B750="","",VLOOKUP(B750,'Product Master'!$B:$G,4,FALSE))</f>
        <v/>
      </c>
      <c r="O750" s="53" t="str">
        <f>IF(B750="","",VLOOKUP(B750,'Product Master'!$B:$G,5,FALSE))</f>
        <v/>
      </c>
      <c r="P750" s="50" t="str">
        <f>IF(B750="","",VLOOKUP(B750,'Product Master'!$B:$I,7,FALSE))</f>
        <v/>
      </c>
      <c r="Q750" s="158"/>
      <c r="R750" s="58" t="str">
        <f t="shared" si="11"/>
        <v/>
      </c>
      <c r="S750" s="25"/>
      <c r="T750" s="25"/>
      <c r="U750" s="25"/>
      <c r="V750" s="25"/>
      <c r="W750" s="25"/>
      <c r="X750" s="25"/>
    </row>
    <row r="751" spans="1:24" x14ac:dyDescent="0.25">
      <c r="A751" s="31" t="s">
        <v>1311</v>
      </c>
      <c r="B751" s="32"/>
      <c r="C751" s="50" t="str">
        <f>IF(B751="","",VLOOKUP(B751,'Product Master'!$B:$G,2,FALSE))</f>
        <v/>
      </c>
      <c r="D751" s="50" t="str">
        <f>IF(B751="","",VLOOKUP(B751,'Product Master'!$B:$G,3,FALSE))</f>
        <v/>
      </c>
      <c r="E751" s="50"/>
      <c r="F751" s="50">
        <f>SUMIF('Stock Purchase'!$D:$D,B751,'Stock Purchase'!$F:$F)</f>
        <v>0</v>
      </c>
      <c r="G751" s="50">
        <f>SUMIFS('Stock Adjustment'!$E:$E,'Stock Adjustment'!$B:$B,$A751,'Stock Adjustment'!$D:$D,"Customer Returned")</f>
        <v>0</v>
      </c>
      <c r="H751" s="50">
        <f>SUMIF('Daily Sales Entry'!$D:$D,B751,'Daily Sales Entry'!$G:$G)</f>
        <v>0</v>
      </c>
      <c r="I751" s="50">
        <f>SUMIFS('Stock Adjustment'!$E:$E,'Stock Adjustment'!$B:$B,$A751,'Stock Adjustment'!$D:$D,"Staff Consumption")</f>
        <v>0</v>
      </c>
      <c r="J751" s="50">
        <f>SUMIFS('Stock Adjustment'!$E:$E,'Stock Adjustment'!$B:$B,$A751,'Stock Adjustment'!$D:$D,"Damaged")</f>
        <v>0</v>
      </c>
      <c r="K751" s="50">
        <f>SUMIFS('Stock Adjustment'!$E:$E,'Stock Adjustment'!$B:$B,$A751,'Stock Adjustment'!$D:$D,"Expired")</f>
        <v>0</v>
      </c>
      <c r="L751" s="50">
        <f>SUMIFS('Stock Adjustment'!$E:$E,'Stock Adjustment'!$B:$B,$A751,'Stock Adjustment'!$D:$D,"Supplier Returned")</f>
        <v>0</v>
      </c>
      <c r="M7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1" s="53" t="str">
        <f>IF(B751="","",VLOOKUP(B751,'Product Master'!$B:$G,4,FALSE))</f>
        <v/>
      </c>
      <c r="O751" s="53" t="str">
        <f>IF(B751="","",VLOOKUP(B751,'Product Master'!$B:$G,5,FALSE))</f>
        <v/>
      </c>
      <c r="P751" s="50" t="str">
        <f>IF(B751="","",VLOOKUP(B751,'Product Master'!$B:$I,7,FALSE))</f>
        <v/>
      </c>
      <c r="Q751" s="158"/>
      <c r="R751" s="58" t="str">
        <f t="shared" si="11"/>
        <v/>
      </c>
      <c r="S751" s="25"/>
      <c r="T751" s="25"/>
      <c r="U751" s="25"/>
      <c r="V751" s="25"/>
      <c r="W751" s="25"/>
      <c r="X751" s="25"/>
    </row>
    <row r="752" spans="1:24" x14ac:dyDescent="0.25">
      <c r="A752" s="31" t="s">
        <v>1312</v>
      </c>
      <c r="B752" s="32"/>
      <c r="C752" s="50" t="str">
        <f>IF(B752="","",VLOOKUP(B752,'Product Master'!$B:$G,2,FALSE))</f>
        <v/>
      </c>
      <c r="D752" s="50" t="str">
        <f>IF(B752="","",VLOOKUP(B752,'Product Master'!$B:$G,3,FALSE))</f>
        <v/>
      </c>
      <c r="E752" s="50"/>
      <c r="F752" s="50">
        <f>SUMIF('Stock Purchase'!$D:$D,B752,'Stock Purchase'!$F:$F)</f>
        <v>0</v>
      </c>
      <c r="G752" s="50">
        <f>SUMIFS('Stock Adjustment'!$E:$E,'Stock Adjustment'!$B:$B,$A752,'Stock Adjustment'!$D:$D,"Customer Returned")</f>
        <v>0</v>
      </c>
      <c r="H752" s="50">
        <f>SUMIF('Daily Sales Entry'!$D:$D,B752,'Daily Sales Entry'!$G:$G)</f>
        <v>0</v>
      </c>
      <c r="I752" s="50">
        <f>SUMIFS('Stock Adjustment'!$E:$E,'Stock Adjustment'!$B:$B,$A752,'Stock Adjustment'!$D:$D,"Staff Consumption")</f>
        <v>0</v>
      </c>
      <c r="J752" s="50">
        <f>SUMIFS('Stock Adjustment'!$E:$E,'Stock Adjustment'!$B:$B,$A752,'Stock Adjustment'!$D:$D,"Damaged")</f>
        <v>0</v>
      </c>
      <c r="K752" s="50">
        <f>SUMIFS('Stock Adjustment'!$E:$E,'Stock Adjustment'!$B:$B,$A752,'Stock Adjustment'!$D:$D,"Expired")</f>
        <v>0</v>
      </c>
      <c r="L752" s="50">
        <f>SUMIFS('Stock Adjustment'!$E:$E,'Stock Adjustment'!$B:$B,$A752,'Stock Adjustment'!$D:$D,"Supplier Returned")</f>
        <v>0</v>
      </c>
      <c r="M7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2" s="53" t="str">
        <f>IF(B752="","",VLOOKUP(B752,'Product Master'!$B:$G,4,FALSE))</f>
        <v/>
      </c>
      <c r="O752" s="53" t="str">
        <f>IF(B752="","",VLOOKUP(B752,'Product Master'!$B:$G,5,FALSE))</f>
        <v/>
      </c>
      <c r="P752" s="50" t="str">
        <f>IF(B752="","",VLOOKUP(B752,'Product Master'!$B:$I,7,FALSE))</f>
        <v/>
      </c>
      <c r="Q752" s="158"/>
      <c r="R752" s="58" t="str">
        <f t="shared" si="11"/>
        <v/>
      </c>
      <c r="S752" s="25"/>
      <c r="T752" s="25"/>
      <c r="U752" s="25"/>
      <c r="V752" s="25"/>
      <c r="W752" s="25"/>
      <c r="X752" s="25"/>
    </row>
    <row r="753" spans="1:24" x14ac:dyDescent="0.25">
      <c r="A753" s="31" t="s">
        <v>1313</v>
      </c>
      <c r="B753" s="32"/>
      <c r="C753" s="50" t="str">
        <f>IF(B753="","",VLOOKUP(B753,'Product Master'!$B:$G,2,FALSE))</f>
        <v/>
      </c>
      <c r="D753" s="50" t="str">
        <f>IF(B753="","",VLOOKUP(B753,'Product Master'!$B:$G,3,FALSE))</f>
        <v/>
      </c>
      <c r="E753" s="50"/>
      <c r="F753" s="50">
        <f>SUMIF('Stock Purchase'!$D:$D,B753,'Stock Purchase'!$F:$F)</f>
        <v>0</v>
      </c>
      <c r="G753" s="50">
        <f>SUMIFS('Stock Adjustment'!$E:$E,'Stock Adjustment'!$B:$B,$A753,'Stock Adjustment'!$D:$D,"Customer Returned")</f>
        <v>0</v>
      </c>
      <c r="H753" s="50">
        <f>SUMIF('Daily Sales Entry'!$D:$D,B753,'Daily Sales Entry'!$G:$G)</f>
        <v>0</v>
      </c>
      <c r="I753" s="50">
        <f>SUMIFS('Stock Adjustment'!$E:$E,'Stock Adjustment'!$B:$B,$A753,'Stock Adjustment'!$D:$D,"Staff Consumption")</f>
        <v>0</v>
      </c>
      <c r="J753" s="50">
        <f>SUMIFS('Stock Adjustment'!$E:$E,'Stock Adjustment'!$B:$B,$A753,'Stock Adjustment'!$D:$D,"Damaged")</f>
        <v>0</v>
      </c>
      <c r="K753" s="50">
        <f>SUMIFS('Stock Adjustment'!$E:$E,'Stock Adjustment'!$B:$B,$A753,'Stock Adjustment'!$D:$D,"Expired")</f>
        <v>0</v>
      </c>
      <c r="L753" s="50">
        <f>SUMIFS('Stock Adjustment'!$E:$E,'Stock Adjustment'!$B:$B,$A753,'Stock Adjustment'!$D:$D,"Supplier Returned")</f>
        <v>0</v>
      </c>
      <c r="M7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3" s="53" t="str">
        <f>IF(B753="","",VLOOKUP(B753,'Product Master'!$B:$G,4,FALSE))</f>
        <v/>
      </c>
      <c r="O753" s="53" t="str">
        <f>IF(B753="","",VLOOKUP(B753,'Product Master'!$B:$G,5,FALSE))</f>
        <v/>
      </c>
      <c r="P753" s="50" t="str">
        <f>IF(B753="","",VLOOKUP(B753,'Product Master'!$B:$I,7,FALSE))</f>
        <v/>
      </c>
      <c r="Q753" s="158"/>
      <c r="R753" s="58" t="str">
        <f t="shared" si="11"/>
        <v/>
      </c>
      <c r="S753" s="25"/>
      <c r="T753" s="25"/>
      <c r="U753" s="25"/>
      <c r="V753" s="25"/>
      <c r="W753" s="25"/>
      <c r="X753" s="25"/>
    </row>
    <row r="754" spans="1:24" x14ac:dyDescent="0.25">
      <c r="A754" s="31" t="s">
        <v>1314</v>
      </c>
      <c r="B754" s="32"/>
      <c r="C754" s="50" t="str">
        <f>IF(B754="","",VLOOKUP(B754,'Product Master'!$B:$G,2,FALSE))</f>
        <v/>
      </c>
      <c r="D754" s="50" t="str">
        <f>IF(B754="","",VLOOKUP(B754,'Product Master'!$B:$G,3,FALSE))</f>
        <v/>
      </c>
      <c r="E754" s="50"/>
      <c r="F754" s="50">
        <f>SUMIF('Stock Purchase'!$D:$D,B754,'Stock Purchase'!$F:$F)</f>
        <v>0</v>
      </c>
      <c r="G754" s="50">
        <f>SUMIFS('Stock Adjustment'!$E:$E,'Stock Adjustment'!$B:$B,$A754,'Stock Adjustment'!$D:$D,"Customer Returned")</f>
        <v>0</v>
      </c>
      <c r="H754" s="50">
        <f>SUMIF('Daily Sales Entry'!$D:$D,B754,'Daily Sales Entry'!$G:$G)</f>
        <v>0</v>
      </c>
      <c r="I754" s="50">
        <f>SUMIFS('Stock Adjustment'!$E:$E,'Stock Adjustment'!$B:$B,$A754,'Stock Adjustment'!$D:$D,"Staff Consumption")</f>
        <v>0</v>
      </c>
      <c r="J754" s="50">
        <f>SUMIFS('Stock Adjustment'!$E:$E,'Stock Adjustment'!$B:$B,$A754,'Stock Adjustment'!$D:$D,"Damaged")</f>
        <v>0</v>
      </c>
      <c r="K754" s="50">
        <f>SUMIFS('Stock Adjustment'!$E:$E,'Stock Adjustment'!$B:$B,$A754,'Stock Adjustment'!$D:$D,"Expired")</f>
        <v>0</v>
      </c>
      <c r="L754" s="50">
        <f>SUMIFS('Stock Adjustment'!$E:$E,'Stock Adjustment'!$B:$B,$A754,'Stock Adjustment'!$D:$D,"Supplier Returned")</f>
        <v>0</v>
      </c>
      <c r="M7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4" s="53" t="str">
        <f>IF(B754="","",VLOOKUP(B754,'Product Master'!$B:$G,4,FALSE))</f>
        <v/>
      </c>
      <c r="O754" s="53" t="str">
        <f>IF(B754="","",VLOOKUP(B754,'Product Master'!$B:$G,5,FALSE))</f>
        <v/>
      </c>
      <c r="P754" s="50" t="str">
        <f>IF(B754="","",VLOOKUP(B754,'Product Master'!$B:$I,7,FALSE))</f>
        <v/>
      </c>
      <c r="Q754" s="158"/>
      <c r="R754" s="58" t="str">
        <f t="shared" si="11"/>
        <v/>
      </c>
      <c r="S754" s="25"/>
      <c r="T754" s="25"/>
      <c r="U754" s="25"/>
      <c r="V754" s="25"/>
      <c r="W754" s="25"/>
      <c r="X754" s="25"/>
    </row>
    <row r="755" spans="1:24" x14ac:dyDescent="0.25">
      <c r="A755" s="31" t="s">
        <v>1315</v>
      </c>
      <c r="B755" s="32"/>
      <c r="C755" s="50" t="str">
        <f>IF(B755="","",VLOOKUP(B755,'Product Master'!$B:$G,2,FALSE))</f>
        <v/>
      </c>
      <c r="D755" s="50" t="str">
        <f>IF(B755="","",VLOOKUP(B755,'Product Master'!$B:$G,3,FALSE))</f>
        <v/>
      </c>
      <c r="E755" s="50"/>
      <c r="F755" s="50">
        <f>SUMIF('Stock Purchase'!$D:$D,B755,'Stock Purchase'!$F:$F)</f>
        <v>0</v>
      </c>
      <c r="G755" s="50">
        <f>SUMIFS('Stock Adjustment'!$E:$E,'Stock Adjustment'!$B:$B,$A755,'Stock Adjustment'!$D:$D,"Customer Returned")</f>
        <v>0</v>
      </c>
      <c r="H755" s="50">
        <f>SUMIF('Daily Sales Entry'!$D:$D,B755,'Daily Sales Entry'!$G:$G)</f>
        <v>0</v>
      </c>
      <c r="I755" s="50">
        <f>SUMIFS('Stock Adjustment'!$E:$E,'Stock Adjustment'!$B:$B,$A755,'Stock Adjustment'!$D:$D,"Staff Consumption")</f>
        <v>0</v>
      </c>
      <c r="J755" s="50">
        <f>SUMIFS('Stock Adjustment'!$E:$E,'Stock Adjustment'!$B:$B,$A755,'Stock Adjustment'!$D:$D,"Damaged")</f>
        <v>0</v>
      </c>
      <c r="K755" s="50">
        <f>SUMIFS('Stock Adjustment'!$E:$E,'Stock Adjustment'!$B:$B,$A755,'Stock Adjustment'!$D:$D,"Expired")</f>
        <v>0</v>
      </c>
      <c r="L755" s="50">
        <f>SUMIFS('Stock Adjustment'!$E:$E,'Stock Adjustment'!$B:$B,$A755,'Stock Adjustment'!$D:$D,"Supplier Returned")</f>
        <v>0</v>
      </c>
      <c r="M7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5" s="53" t="str">
        <f>IF(B755="","",VLOOKUP(B755,'Product Master'!$B:$G,4,FALSE))</f>
        <v/>
      </c>
      <c r="O755" s="53" t="str">
        <f>IF(B755="","",VLOOKUP(B755,'Product Master'!$B:$G,5,FALSE))</f>
        <v/>
      </c>
      <c r="P755" s="50" t="str">
        <f>IF(B755="","",VLOOKUP(B755,'Product Master'!$B:$I,7,FALSE))</f>
        <v/>
      </c>
      <c r="Q755" s="158"/>
      <c r="R755" s="58" t="str">
        <f t="shared" si="11"/>
        <v/>
      </c>
      <c r="S755" s="25"/>
      <c r="T755" s="25"/>
      <c r="U755" s="25"/>
      <c r="V755" s="25"/>
      <c r="W755" s="25"/>
      <c r="X755" s="25"/>
    </row>
    <row r="756" spans="1:24" x14ac:dyDescent="0.25">
      <c r="A756" s="31" t="s">
        <v>1316</v>
      </c>
      <c r="B756" s="32"/>
      <c r="C756" s="50" t="str">
        <f>IF(B756="","",VLOOKUP(B756,'Product Master'!$B:$G,2,FALSE))</f>
        <v/>
      </c>
      <c r="D756" s="50" t="str">
        <f>IF(B756="","",VLOOKUP(B756,'Product Master'!$B:$G,3,FALSE))</f>
        <v/>
      </c>
      <c r="E756" s="50"/>
      <c r="F756" s="50">
        <f>SUMIF('Stock Purchase'!$D:$D,B756,'Stock Purchase'!$F:$F)</f>
        <v>0</v>
      </c>
      <c r="G756" s="50">
        <f>SUMIFS('Stock Adjustment'!$E:$E,'Stock Adjustment'!$B:$B,$A756,'Stock Adjustment'!$D:$D,"Customer Returned")</f>
        <v>0</v>
      </c>
      <c r="H756" s="50">
        <f>SUMIF('Daily Sales Entry'!$D:$D,B756,'Daily Sales Entry'!$G:$G)</f>
        <v>0</v>
      </c>
      <c r="I756" s="50">
        <f>SUMIFS('Stock Adjustment'!$E:$E,'Stock Adjustment'!$B:$B,$A756,'Stock Adjustment'!$D:$D,"Staff Consumption")</f>
        <v>0</v>
      </c>
      <c r="J756" s="50">
        <f>SUMIFS('Stock Adjustment'!$E:$E,'Stock Adjustment'!$B:$B,$A756,'Stock Adjustment'!$D:$D,"Damaged")</f>
        <v>0</v>
      </c>
      <c r="K756" s="50">
        <f>SUMIFS('Stock Adjustment'!$E:$E,'Stock Adjustment'!$B:$B,$A756,'Stock Adjustment'!$D:$D,"Expired")</f>
        <v>0</v>
      </c>
      <c r="L756" s="50">
        <f>SUMIFS('Stock Adjustment'!$E:$E,'Stock Adjustment'!$B:$B,$A756,'Stock Adjustment'!$D:$D,"Supplier Returned")</f>
        <v>0</v>
      </c>
      <c r="M7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6" s="53" t="str">
        <f>IF(B756="","",VLOOKUP(B756,'Product Master'!$B:$G,4,FALSE))</f>
        <v/>
      </c>
      <c r="O756" s="53" t="str">
        <f>IF(B756="","",VLOOKUP(B756,'Product Master'!$B:$G,5,FALSE))</f>
        <v/>
      </c>
      <c r="P756" s="50" t="str">
        <f>IF(B756="","",VLOOKUP(B756,'Product Master'!$B:$I,7,FALSE))</f>
        <v/>
      </c>
      <c r="Q756" s="158"/>
      <c r="R756" s="58" t="str">
        <f t="shared" si="11"/>
        <v/>
      </c>
      <c r="S756" s="25"/>
      <c r="T756" s="25"/>
      <c r="U756" s="25"/>
      <c r="V756" s="25"/>
      <c r="W756" s="25"/>
      <c r="X756" s="25"/>
    </row>
    <row r="757" spans="1:24" x14ac:dyDescent="0.25">
      <c r="A757" s="31" t="s">
        <v>1317</v>
      </c>
      <c r="B757" s="32"/>
      <c r="C757" s="50" t="str">
        <f>IF(B757="","",VLOOKUP(B757,'Product Master'!$B:$G,2,FALSE))</f>
        <v/>
      </c>
      <c r="D757" s="50" t="str">
        <f>IF(B757="","",VLOOKUP(B757,'Product Master'!$B:$G,3,FALSE))</f>
        <v/>
      </c>
      <c r="E757" s="50"/>
      <c r="F757" s="50">
        <f>SUMIF('Stock Purchase'!$D:$D,B757,'Stock Purchase'!$F:$F)</f>
        <v>0</v>
      </c>
      <c r="G757" s="50">
        <f>SUMIFS('Stock Adjustment'!$E:$E,'Stock Adjustment'!$B:$B,$A757,'Stock Adjustment'!$D:$D,"Customer Returned")</f>
        <v>0</v>
      </c>
      <c r="H757" s="50">
        <f>SUMIF('Daily Sales Entry'!$D:$D,B757,'Daily Sales Entry'!$G:$G)</f>
        <v>0</v>
      </c>
      <c r="I757" s="50">
        <f>SUMIFS('Stock Adjustment'!$E:$E,'Stock Adjustment'!$B:$B,$A757,'Stock Adjustment'!$D:$D,"Staff Consumption")</f>
        <v>0</v>
      </c>
      <c r="J757" s="50">
        <f>SUMIFS('Stock Adjustment'!$E:$E,'Stock Adjustment'!$B:$B,$A757,'Stock Adjustment'!$D:$D,"Damaged")</f>
        <v>0</v>
      </c>
      <c r="K757" s="50">
        <f>SUMIFS('Stock Adjustment'!$E:$E,'Stock Adjustment'!$B:$B,$A757,'Stock Adjustment'!$D:$D,"Expired")</f>
        <v>0</v>
      </c>
      <c r="L757" s="50">
        <f>SUMIFS('Stock Adjustment'!$E:$E,'Stock Adjustment'!$B:$B,$A757,'Stock Adjustment'!$D:$D,"Supplier Returned")</f>
        <v>0</v>
      </c>
      <c r="M7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7" s="53" t="str">
        <f>IF(B757="","",VLOOKUP(B757,'Product Master'!$B:$G,4,FALSE))</f>
        <v/>
      </c>
      <c r="O757" s="53" t="str">
        <f>IF(B757="","",VLOOKUP(B757,'Product Master'!$B:$G,5,FALSE))</f>
        <v/>
      </c>
      <c r="P757" s="50" t="str">
        <f>IF(B757="","",VLOOKUP(B757,'Product Master'!$B:$I,7,FALSE))</f>
        <v/>
      </c>
      <c r="Q757" s="158"/>
      <c r="R757" s="58" t="str">
        <f t="shared" si="11"/>
        <v/>
      </c>
      <c r="S757" s="25"/>
      <c r="T757" s="25"/>
      <c r="U757" s="25"/>
      <c r="V757" s="25"/>
      <c r="W757" s="25"/>
      <c r="X757" s="25"/>
    </row>
    <row r="758" spans="1:24" x14ac:dyDescent="0.25">
      <c r="A758" s="31" t="s">
        <v>1318</v>
      </c>
      <c r="B758" s="32"/>
      <c r="C758" s="50" t="str">
        <f>IF(B758="","",VLOOKUP(B758,'Product Master'!$B:$G,2,FALSE))</f>
        <v/>
      </c>
      <c r="D758" s="50" t="str">
        <f>IF(B758="","",VLOOKUP(B758,'Product Master'!$B:$G,3,FALSE))</f>
        <v/>
      </c>
      <c r="E758" s="50"/>
      <c r="F758" s="50">
        <f>SUMIF('Stock Purchase'!$D:$D,B758,'Stock Purchase'!$F:$F)</f>
        <v>0</v>
      </c>
      <c r="G758" s="50">
        <f>SUMIFS('Stock Adjustment'!$E:$E,'Stock Adjustment'!$B:$B,$A758,'Stock Adjustment'!$D:$D,"Customer Returned")</f>
        <v>0</v>
      </c>
      <c r="H758" s="50">
        <f>SUMIF('Daily Sales Entry'!$D:$D,B758,'Daily Sales Entry'!$G:$G)</f>
        <v>0</v>
      </c>
      <c r="I758" s="50">
        <f>SUMIFS('Stock Adjustment'!$E:$E,'Stock Adjustment'!$B:$B,$A758,'Stock Adjustment'!$D:$D,"Staff Consumption")</f>
        <v>0</v>
      </c>
      <c r="J758" s="50">
        <f>SUMIFS('Stock Adjustment'!$E:$E,'Stock Adjustment'!$B:$B,$A758,'Stock Adjustment'!$D:$D,"Damaged")</f>
        <v>0</v>
      </c>
      <c r="K758" s="50">
        <f>SUMIFS('Stock Adjustment'!$E:$E,'Stock Adjustment'!$B:$B,$A758,'Stock Adjustment'!$D:$D,"Expired")</f>
        <v>0</v>
      </c>
      <c r="L758" s="50">
        <f>SUMIFS('Stock Adjustment'!$E:$E,'Stock Adjustment'!$B:$B,$A758,'Stock Adjustment'!$D:$D,"Supplier Returned")</f>
        <v>0</v>
      </c>
      <c r="M7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8" s="53" t="str">
        <f>IF(B758="","",VLOOKUP(B758,'Product Master'!$B:$G,4,FALSE))</f>
        <v/>
      </c>
      <c r="O758" s="53" t="str">
        <f>IF(B758="","",VLOOKUP(B758,'Product Master'!$B:$G,5,FALSE))</f>
        <v/>
      </c>
      <c r="P758" s="50" t="str">
        <f>IF(B758="","",VLOOKUP(B758,'Product Master'!$B:$I,7,FALSE))</f>
        <v/>
      </c>
      <c r="Q758" s="158"/>
      <c r="R758" s="58" t="str">
        <f t="shared" si="11"/>
        <v/>
      </c>
      <c r="S758" s="25"/>
      <c r="T758" s="25"/>
      <c r="U758" s="25"/>
      <c r="V758" s="25"/>
      <c r="W758" s="25"/>
      <c r="X758" s="25"/>
    </row>
    <row r="759" spans="1:24" x14ac:dyDescent="0.25">
      <c r="A759" s="31" t="s">
        <v>1319</v>
      </c>
      <c r="B759" s="32"/>
      <c r="C759" s="50" t="str">
        <f>IF(B759="","",VLOOKUP(B759,'Product Master'!$B:$G,2,FALSE))</f>
        <v/>
      </c>
      <c r="D759" s="50" t="str">
        <f>IF(B759="","",VLOOKUP(B759,'Product Master'!$B:$G,3,FALSE))</f>
        <v/>
      </c>
      <c r="E759" s="50"/>
      <c r="F759" s="50">
        <f>SUMIF('Stock Purchase'!$D:$D,B759,'Stock Purchase'!$F:$F)</f>
        <v>0</v>
      </c>
      <c r="G759" s="50">
        <f>SUMIFS('Stock Adjustment'!$E:$E,'Stock Adjustment'!$B:$B,$A759,'Stock Adjustment'!$D:$D,"Customer Returned")</f>
        <v>0</v>
      </c>
      <c r="H759" s="50">
        <f>SUMIF('Daily Sales Entry'!$D:$D,B759,'Daily Sales Entry'!$G:$G)</f>
        <v>0</v>
      </c>
      <c r="I759" s="50">
        <f>SUMIFS('Stock Adjustment'!$E:$E,'Stock Adjustment'!$B:$B,$A759,'Stock Adjustment'!$D:$D,"Staff Consumption")</f>
        <v>0</v>
      </c>
      <c r="J759" s="50">
        <f>SUMIFS('Stock Adjustment'!$E:$E,'Stock Adjustment'!$B:$B,$A759,'Stock Adjustment'!$D:$D,"Damaged")</f>
        <v>0</v>
      </c>
      <c r="K759" s="50">
        <f>SUMIFS('Stock Adjustment'!$E:$E,'Stock Adjustment'!$B:$B,$A759,'Stock Adjustment'!$D:$D,"Expired")</f>
        <v>0</v>
      </c>
      <c r="L759" s="50">
        <f>SUMIFS('Stock Adjustment'!$E:$E,'Stock Adjustment'!$B:$B,$A759,'Stock Adjustment'!$D:$D,"Supplier Returned")</f>
        <v>0</v>
      </c>
      <c r="M7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59" s="53" t="str">
        <f>IF(B759="","",VLOOKUP(B759,'Product Master'!$B:$G,4,FALSE))</f>
        <v/>
      </c>
      <c r="O759" s="53" t="str">
        <f>IF(B759="","",VLOOKUP(B759,'Product Master'!$B:$G,5,FALSE))</f>
        <v/>
      </c>
      <c r="P759" s="50" t="str">
        <f>IF(B759="","",VLOOKUP(B759,'Product Master'!$B:$I,7,FALSE))</f>
        <v/>
      </c>
      <c r="Q759" s="158"/>
      <c r="R759" s="58" t="str">
        <f t="shared" si="11"/>
        <v/>
      </c>
      <c r="S759" s="25"/>
      <c r="T759" s="25"/>
      <c r="U759" s="25"/>
      <c r="V759" s="25"/>
      <c r="W759" s="25"/>
      <c r="X759" s="25"/>
    </row>
    <row r="760" spans="1:24" x14ac:dyDescent="0.25">
      <c r="A760" s="31" t="s">
        <v>1320</v>
      </c>
      <c r="B760" s="32"/>
      <c r="C760" s="50" t="str">
        <f>IF(B760="","",VLOOKUP(B760,'Product Master'!$B:$G,2,FALSE))</f>
        <v/>
      </c>
      <c r="D760" s="50" t="str">
        <f>IF(B760="","",VLOOKUP(B760,'Product Master'!$B:$G,3,FALSE))</f>
        <v/>
      </c>
      <c r="E760" s="50"/>
      <c r="F760" s="50">
        <f>SUMIF('Stock Purchase'!$D:$D,B760,'Stock Purchase'!$F:$F)</f>
        <v>0</v>
      </c>
      <c r="G760" s="50">
        <f>SUMIFS('Stock Adjustment'!$E:$E,'Stock Adjustment'!$B:$B,$A760,'Stock Adjustment'!$D:$D,"Customer Returned")</f>
        <v>0</v>
      </c>
      <c r="H760" s="50">
        <f>SUMIF('Daily Sales Entry'!$D:$D,B760,'Daily Sales Entry'!$G:$G)</f>
        <v>0</v>
      </c>
      <c r="I760" s="50">
        <f>SUMIFS('Stock Adjustment'!$E:$E,'Stock Adjustment'!$B:$B,$A760,'Stock Adjustment'!$D:$D,"Staff Consumption")</f>
        <v>0</v>
      </c>
      <c r="J760" s="50">
        <f>SUMIFS('Stock Adjustment'!$E:$E,'Stock Adjustment'!$B:$B,$A760,'Stock Adjustment'!$D:$D,"Damaged")</f>
        <v>0</v>
      </c>
      <c r="K760" s="50">
        <f>SUMIFS('Stock Adjustment'!$E:$E,'Stock Adjustment'!$B:$B,$A760,'Stock Adjustment'!$D:$D,"Expired")</f>
        <v>0</v>
      </c>
      <c r="L760" s="50">
        <f>SUMIFS('Stock Adjustment'!$E:$E,'Stock Adjustment'!$B:$B,$A760,'Stock Adjustment'!$D:$D,"Supplier Returned")</f>
        <v>0</v>
      </c>
      <c r="M7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0" s="53" t="str">
        <f>IF(B760="","",VLOOKUP(B760,'Product Master'!$B:$G,4,FALSE))</f>
        <v/>
      </c>
      <c r="O760" s="53" t="str">
        <f>IF(B760="","",VLOOKUP(B760,'Product Master'!$B:$G,5,FALSE))</f>
        <v/>
      </c>
      <c r="P760" s="50" t="str">
        <f>IF(B760="","",VLOOKUP(B760,'Product Master'!$B:$I,7,FALSE))</f>
        <v/>
      </c>
      <c r="Q760" s="158"/>
      <c r="R760" s="58" t="str">
        <f t="shared" si="11"/>
        <v/>
      </c>
      <c r="S760" s="25"/>
      <c r="T760" s="25"/>
      <c r="U760" s="25"/>
      <c r="V760" s="25"/>
      <c r="W760" s="25"/>
      <c r="X760" s="25"/>
    </row>
    <row r="761" spans="1:24" x14ac:dyDescent="0.25">
      <c r="A761" s="31" t="s">
        <v>1321</v>
      </c>
      <c r="B761" s="32"/>
      <c r="C761" s="50" t="str">
        <f>IF(B761="","",VLOOKUP(B761,'Product Master'!$B:$G,2,FALSE))</f>
        <v/>
      </c>
      <c r="D761" s="50" t="str">
        <f>IF(B761="","",VLOOKUP(B761,'Product Master'!$B:$G,3,FALSE))</f>
        <v/>
      </c>
      <c r="E761" s="50"/>
      <c r="F761" s="50">
        <f>SUMIF('Stock Purchase'!$D:$D,B761,'Stock Purchase'!$F:$F)</f>
        <v>0</v>
      </c>
      <c r="G761" s="50">
        <f>SUMIFS('Stock Adjustment'!$E:$E,'Stock Adjustment'!$B:$B,$A761,'Stock Adjustment'!$D:$D,"Customer Returned")</f>
        <v>0</v>
      </c>
      <c r="H761" s="50">
        <f>SUMIF('Daily Sales Entry'!$D:$D,B761,'Daily Sales Entry'!$G:$G)</f>
        <v>0</v>
      </c>
      <c r="I761" s="50">
        <f>SUMIFS('Stock Adjustment'!$E:$E,'Stock Adjustment'!$B:$B,$A761,'Stock Adjustment'!$D:$D,"Staff Consumption")</f>
        <v>0</v>
      </c>
      <c r="J761" s="50">
        <f>SUMIFS('Stock Adjustment'!$E:$E,'Stock Adjustment'!$B:$B,$A761,'Stock Adjustment'!$D:$D,"Damaged")</f>
        <v>0</v>
      </c>
      <c r="K761" s="50">
        <f>SUMIFS('Stock Adjustment'!$E:$E,'Stock Adjustment'!$B:$B,$A761,'Stock Adjustment'!$D:$D,"Expired")</f>
        <v>0</v>
      </c>
      <c r="L761" s="50">
        <f>SUMIFS('Stock Adjustment'!$E:$E,'Stock Adjustment'!$B:$B,$A761,'Stock Adjustment'!$D:$D,"Supplier Returned")</f>
        <v>0</v>
      </c>
      <c r="M7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1" s="53" t="str">
        <f>IF(B761="","",VLOOKUP(B761,'Product Master'!$B:$G,4,FALSE))</f>
        <v/>
      </c>
      <c r="O761" s="53" t="str">
        <f>IF(B761="","",VLOOKUP(B761,'Product Master'!$B:$G,5,FALSE))</f>
        <v/>
      </c>
      <c r="P761" s="50" t="str">
        <f>IF(B761="","",VLOOKUP(B761,'Product Master'!$B:$I,7,FALSE))</f>
        <v/>
      </c>
      <c r="Q761" s="158"/>
      <c r="R761" s="58" t="str">
        <f t="shared" si="11"/>
        <v/>
      </c>
      <c r="S761" s="25"/>
      <c r="T761" s="25"/>
      <c r="U761" s="25"/>
      <c r="V761" s="25"/>
      <c r="W761" s="25"/>
      <c r="X761" s="25"/>
    </row>
    <row r="762" spans="1:24" x14ac:dyDescent="0.25">
      <c r="A762" s="31" t="s">
        <v>1322</v>
      </c>
      <c r="B762" s="32"/>
      <c r="C762" s="50" t="str">
        <f>IF(B762="","",VLOOKUP(B762,'Product Master'!$B:$G,2,FALSE))</f>
        <v/>
      </c>
      <c r="D762" s="50" t="str">
        <f>IF(B762="","",VLOOKUP(B762,'Product Master'!$B:$G,3,FALSE))</f>
        <v/>
      </c>
      <c r="E762" s="50"/>
      <c r="F762" s="50">
        <f>SUMIF('Stock Purchase'!$D:$D,B762,'Stock Purchase'!$F:$F)</f>
        <v>0</v>
      </c>
      <c r="G762" s="50">
        <f>SUMIFS('Stock Adjustment'!$E:$E,'Stock Adjustment'!$B:$B,$A762,'Stock Adjustment'!$D:$D,"Customer Returned")</f>
        <v>0</v>
      </c>
      <c r="H762" s="50">
        <f>SUMIF('Daily Sales Entry'!$D:$D,B762,'Daily Sales Entry'!$G:$G)</f>
        <v>0</v>
      </c>
      <c r="I762" s="50">
        <f>SUMIFS('Stock Adjustment'!$E:$E,'Stock Adjustment'!$B:$B,$A762,'Stock Adjustment'!$D:$D,"Staff Consumption")</f>
        <v>0</v>
      </c>
      <c r="J762" s="50">
        <f>SUMIFS('Stock Adjustment'!$E:$E,'Stock Adjustment'!$B:$B,$A762,'Stock Adjustment'!$D:$D,"Damaged")</f>
        <v>0</v>
      </c>
      <c r="K762" s="50">
        <f>SUMIFS('Stock Adjustment'!$E:$E,'Stock Adjustment'!$B:$B,$A762,'Stock Adjustment'!$D:$D,"Expired")</f>
        <v>0</v>
      </c>
      <c r="L762" s="50">
        <f>SUMIFS('Stock Adjustment'!$E:$E,'Stock Adjustment'!$B:$B,$A762,'Stock Adjustment'!$D:$D,"Supplier Returned")</f>
        <v>0</v>
      </c>
      <c r="M7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2" s="53" t="str">
        <f>IF(B762="","",VLOOKUP(B762,'Product Master'!$B:$G,4,FALSE))</f>
        <v/>
      </c>
      <c r="O762" s="53" t="str">
        <f>IF(B762="","",VLOOKUP(B762,'Product Master'!$B:$G,5,FALSE))</f>
        <v/>
      </c>
      <c r="P762" s="50" t="str">
        <f>IF(B762="","",VLOOKUP(B762,'Product Master'!$B:$I,7,FALSE))</f>
        <v/>
      </c>
      <c r="Q762" s="158"/>
      <c r="R762" s="58" t="str">
        <f t="shared" si="11"/>
        <v/>
      </c>
      <c r="S762" s="25"/>
      <c r="T762" s="25"/>
      <c r="U762" s="25"/>
      <c r="V762" s="25"/>
      <c r="W762" s="25"/>
      <c r="X762" s="25"/>
    </row>
    <row r="763" spans="1:24" x14ac:dyDescent="0.25">
      <c r="A763" s="31" t="s">
        <v>1323</v>
      </c>
      <c r="B763" s="32"/>
      <c r="C763" s="50" t="str">
        <f>IF(B763="","",VLOOKUP(B763,'Product Master'!$B:$G,2,FALSE))</f>
        <v/>
      </c>
      <c r="D763" s="50" t="str">
        <f>IF(B763="","",VLOOKUP(B763,'Product Master'!$B:$G,3,FALSE))</f>
        <v/>
      </c>
      <c r="E763" s="50"/>
      <c r="F763" s="50">
        <f>SUMIF('Stock Purchase'!$D:$D,B763,'Stock Purchase'!$F:$F)</f>
        <v>0</v>
      </c>
      <c r="G763" s="50">
        <f>SUMIFS('Stock Adjustment'!$E:$E,'Stock Adjustment'!$B:$B,$A763,'Stock Adjustment'!$D:$D,"Customer Returned")</f>
        <v>0</v>
      </c>
      <c r="H763" s="50">
        <f>SUMIF('Daily Sales Entry'!$D:$D,B763,'Daily Sales Entry'!$G:$G)</f>
        <v>0</v>
      </c>
      <c r="I763" s="50">
        <f>SUMIFS('Stock Adjustment'!$E:$E,'Stock Adjustment'!$B:$B,$A763,'Stock Adjustment'!$D:$D,"Staff Consumption")</f>
        <v>0</v>
      </c>
      <c r="J763" s="50">
        <f>SUMIFS('Stock Adjustment'!$E:$E,'Stock Adjustment'!$B:$B,$A763,'Stock Adjustment'!$D:$D,"Damaged")</f>
        <v>0</v>
      </c>
      <c r="K763" s="50">
        <f>SUMIFS('Stock Adjustment'!$E:$E,'Stock Adjustment'!$B:$B,$A763,'Stock Adjustment'!$D:$D,"Expired")</f>
        <v>0</v>
      </c>
      <c r="L763" s="50">
        <f>SUMIFS('Stock Adjustment'!$E:$E,'Stock Adjustment'!$B:$B,$A763,'Stock Adjustment'!$D:$D,"Supplier Returned")</f>
        <v>0</v>
      </c>
      <c r="M7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3" s="53" t="str">
        <f>IF(B763="","",VLOOKUP(B763,'Product Master'!$B:$G,4,FALSE))</f>
        <v/>
      </c>
      <c r="O763" s="53" t="str">
        <f>IF(B763="","",VLOOKUP(B763,'Product Master'!$B:$G,5,FALSE))</f>
        <v/>
      </c>
      <c r="P763" s="50" t="str">
        <f>IF(B763="","",VLOOKUP(B763,'Product Master'!$B:$I,7,FALSE))</f>
        <v/>
      </c>
      <c r="Q763" s="158"/>
      <c r="R763" s="58" t="str">
        <f t="shared" si="11"/>
        <v/>
      </c>
      <c r="S763" s="25"/>
      <c r="T763" s="25"/>
      <c r="U763" s="25"/>
      <c r="V763" s="25"/>
      <c r="W763" s="25"/>
      <c r="X763" s="25"/>
    </row>
    <row r="764" spans="1:24" x14ac:dyDescent="0.25">
      <c r="A764" s="31" t="s">
        <v>1324</v>
      </c>
      <c r="B764" s="32"/>
      <c r="C764" s="50" t="str">
        <f>IF(B764="","",VLOOKUP(B764,'Product Master'!$B:$G,2,FALSE))</f>
        <v/>
      </c>
      <c r="D764" s="50" t="str">
        <f>IF(B764="","",VLOOKUP(B764,'Product Master'!$B:$G,3,FALSE))</f>
        <v/>
      </c>
      <c r="E764" s="50"/>
      <c r="F764" s="50">
        <f>SUMIF('Stock Purchase'!$D:$D,B764,'Stock Purchase'!$F:$F)</f>
        <v>0</v>
      </c>
      <c r="G764" s="50">
        <f>SUMIFS('Stock Adjustment'!$E:$E,'Stock Adjustment'!$B:$B,$A764,'Stock Adjustment'!$D:$D,"Customer Returned")</f>
        <v>0</v>
      </c>
      <c r="H764" s="50">
        <f>SUMIF('Daily Sales Entry'!$D:$D,B764,'Daily Sales Entry'!$G:$G)</f>
        <v>0</v>
      </c>
      <c r="I764" s="50">
        <f>SUMIFS('Stock Adjustment'!$E:$E,'Stock Adjustment'!$B:$B,$A764,'Stock Adjustment'!$D:$D,"Staff Consumption")</f>
        <v>0</v>
      </c>
      <c r="J764" s="50">
        <f>SUMIFS('Stock Adjustment'!$E:$E,'Stock Adjustment'!$B:$B,$A764,'Stock Adjustment'!$D:$D,"Damaged")</f>
        <v>0</v>
      </c>
      <c r="K764" s="50">
        <f>SUMIFS('Stock Adjustment'!$E:$E,'Stock Adjustment'!$B:$B,$A764,'Stock Adjustment'!$D:$D,"Expired")</f>
        <v>0</v>
      </c>
      <c r="L764" s="50">
        <f>SUMIFS('Stock Adjustment'!$E:$E,'Stock Adjustment'!$B:$B,$A764,'Stock Adjustment'!$D:$D,"Supplier Returned")</f>
        <v>0</v>
      </c>
      <c r="M7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4" s="53" t="str">
        <f>IF(B764="","",VLOOKUP(B764,'Product Master'!$B:$G,4,FALSE))</f>
        <v/>
      </c>
      <c r="O764" s="53" t="str">
        <f>IF(B764="","",VLOOKUP(B764,'Product Master'!$B:$G,5,FALSE))</f>
        <v/>
      </c>
      <c r="P764" s="50" t="str">
        <f>IF(B764="","",VLOOKUP(B764,'Product Master'!$B:$I,7,FALSE))</f>
        <v/>
      </c>
      <c r="Q764" s="158"/>
      <c r="R764" s="58" t="str">
        <f t="shared" si="11"/>
        <v/>
      </c>
      <c r="S764" s="25"/>
      <c r="T764" s="25"/>
      <c r="U764" s="25"/>
      <c r="V764" s="25"/>
      <c r="W764" s="25"/>
      <c r="X764" s="25"/>
    </row>
    <row r="765" spans="1:24" x14ac:dyDescent="0.25">
      <c r="A765" s="31" t="s">
        <v>1325</v>
      </c>
      <c r="B765" s="32"/>
      <c r="C765" s="50" t="str">
        <f>IF(B765="","",VLOOKUP(B765,'Product Master'!$B:$G,2,FALSE))</f>
        <v/>
      </c>
      <c r="D765" s="50" t="str">
        <f>IF(B765="","",VLOOKUP(B765,'Product Master'!$B:$G,3,FALSE))</f>
        <v/>
      </c>
      <c r="E765" s="50"/>
      <c r="F765" s="50">
        <f>SUMIF('Stock Purchase'!$D:$D,B765,'Stock Purchase'!$F:$F)</f>
        <v>0</v>
      </c>
      <c r="G765" s="50">
        <f>SUMIFS('Stock Adjustment'!$E:$E,'Stock Adjustment'!$B:$B,$A765,'Stock Adjustment'!$D:$D,"Customer Returned")</f>
        <v>0</v>
      </c>
      <c r="H765" s="50">
        <f>SUMIF('Daily Sales Entry'!$D:$D,B765,'Daily Sales Entry'!$G:$G)</f>
        <v>0</v>
      </c>
      <c r="I765" s="50">
        <f>SUMIFS('Stock Adjustment'!$E:$E,'Stock Adjustment'!$B:$B,$A765,'Stock Adjustment'!$D:$D,"Staff Consumption")</f>
        <v>0</v>
      </c>
      <c r="J765" s="50">
        <f>SUMIFS('Stock Adjustment'!$E:$E,'Stock Adjustment'!$B:$B,$A765,'Stock Adjustment'!$D:$D,"Damaged")</f>
        <v>0</v>
      </c>
      <c r="K765" s="50">
        <f>SUMIFS('Stock Adjustment'!$E:$E,'Stock Adjustment'!$B:$B,$A765,'Stock Adjustment'!$D:$D,"Expired")</f>
        <v>0</v>
      </c>
      <c r="L765" s="50">
        <f>SUMIFS('Stock Adjustment'!$E:$E,'Stock Adjustment'!$B:$B,$A765,'Stock Adjustment'!$D:$D,"Supplier Returned")</f>
        <v>0</v>
      </c>
      <c r="M7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5" s="53" t="str">
        <f>IF(B765="","",VLOOKUP(B765,'Product Master'!$B:$G,4,FALSE))</f>
        <v/>
      </c>
      <c r="O765" s="53" t="str">
        <f>IF(B765="","",VLOOKUP(B765,'Product Master'!$B:$G,5,FALSE))</f>
        <v/>
      </c>
      <c r="P765" s="50" t="str">
        <f>IF(B765="","",VLOOKUP(B765,'Product Master'!$B:$I,7,FALSE))</f>
        <v/>
      </c>
      <c r="Q765" s="158"/>
      <c r="R765" s="58" t="str">
        <f t="shared" si="11"/>
        <v/>
      </c>
      <c r="S765" s="25"/>
      <c r="T765" s="25"/>
      <c r="U765" s="25"/>
      <c r="V765" s="25"/>
      <c r="W765" s="25"/>
      <c r="X765" s="25"/>
    </row>
    <row r="766" spans="1:24" x14ac:dyDescent="0.25">
      <c r="A766" s="31" t="s">
        <v>1326</v>
      </c>
      <c r="B766" s="32"/>
      <c r="C766" s="50" t="str">
        <f>IF(B766="","",VLOOKUP(B766,'Product Master'!$B:$G,2,FALSE))</f>
        <v/>
      </c>
      <c r="D766" s="50" t="str">
        <f>IF(B766="","",VLOOKUP(B766,'Product Master'!$B:$G,3,FALSE))</f>
        <v/>
      </c>
      <c r="E766" s="50"/>
      <c r="F766" s="50">
        <f>SUMIF('Stock Purchase'!$D:$D,B766,'Stock Purchase'!$F:$F)</f>
        <v>0</v>
      </c>
      <c r="G766" s="50">
        <f>SUMIFS('Stock Adjustment'!$E:$E,'Stock Adjustment'!$B:$B,$A766,'Stock Adjustment'!$D:$D,"Customer Returned")</f>
        <v>0</v>
      </c>
      <c r="H766" s="50">
        <f>SUMIF('Daily Sales Entry'!$D:$D,B766,'Daily Sales Entry'!$G:$G)</f>
        <v>0</v>
      </c>
      <c r="I766" s="50">
        <f>SUMIFS('Stock Adjustment'!$E:$E,'Stock Adjustment'!$B:$B,$A766,'Stock Adjustment'!$D:$D,"Staff Consumption")</f>
        <v>0</v>
      </c>
      <c r="J766" s="50">
        <f>SUMIFS('Stock Adjustment'!$E:$E,'Stock Adjustment'!$B:$B,$A766,'Stock Adjustment'!$D:$D,"Damaged")</f>
        <v>0</v>
      </c>
      <c r="K766" s="50">
        <f>SUMIFS('Stock Adjustment'!$E:$E,'Stock Adjustment'!$B:$B,$A766,'Stock Adjustment'!$D:$D,"Expired")</f>
        <v>0</v>
      </c>
      <c r="L766" s="50">
        <f>SUMIFS('Stock Adjustment'!$E:$E,'Stock Adjustment'!$B:$B,$A766,'Stock Adjustment'!$D:$D,"Supplier Returned")</f>
        <v>0</v>
      </c>
      <c r="M7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6" s="53" t="str">
        <f>IF(B766="","",VLOOKUP(B766,'Product Master'!$B:$G,4,FALSE))</f>
        <v/>
      </c>
      <c r="O766" s="53" t="str">
        <f>IF(B766="","",VLOOKUP(B766,'Product Master'!$B:$G,5,FALSE))</f>
        <v/>
      </c>
      <c r="P766" s="50" t="str">
        <f>IF(B766="","",VLOOKUP(B766,'Product Master'!$B:$I,7,FALSE))</f>
        <v/>
      </c>
      <c r="Q766" s="158"/>
      <c r="R766" s="58" t="str">
        <f t="shared" si="11"/>
        <v/>
      </c>
      <c r="S766" s="25"/>
      <c r="T766" s="25"/>
      <c r="U766" s="25"/>
      <c r="V766" s="25"/>
      <c r="W766" s="25"/>
      <c r="X766" s="25"/>
    </row>
    <row r="767" spans="1:24" x14ac:dyDescent="0.25">
      <c r="A767" s="31" t="s">
        <v>1327</v>
      </c>
      <c r="B767" s="32"/>
      <c r="C767" s="50" t="str">
        <f>IF(B767="","",VLOOKUP(B767,'Product Master'!$B:$G,2,FALSE))</f>
        <v/>
      </c>
      <c r="D767" s="50" t="str">
        <f>IF(B767="","",VLOOKUP(B767,'Product Master'!$B:$G,3,FALSE))</f>
        <v/>
      </c>
      <c r="E767" s="50"/>
      <c r="F767" s="50">
        <f>SUMIF('Stock Purchase'!$D:$D,B767,'Stock Purchase'!$F:$F)</f>
        <v>0</v>
      </c>
      <c r="G767" s="50">
        <f>SUMIFS('Stock Adjustment'!$E:$E,'Stock Adjustment'!$B:$B,$A767,'Stock Adjustment'!$D:$D,"Customer Returned")</f>
        <v>0</v>
      </c>
      <c r="H767" s="50">
        <f>SUMIF('Daily Sales Entry'!$D:$D,B767,'Daily Sales Entry'!$G:$G)</f>
        <v>0</v>
      </c>
      <c r="I767" s="50">
        <f>SUMIFS('Stock Adjustment'!$E:$E,'Stock Adjustment'!$B:$B,$A767,'Stock Adjustment'!$D:$D,"Staff Consumption")</f>
        <v>0</v>
      </c>
      <c r="J767" s="50">
        <f>SUMIFS('Stock Adjustment'!$E:$E,'Stock Adjustment'!$B:$B,$A767,'Stock Adjustment'!$D:$D,"Damaged")</f>
        <v>0</v>
      </c>
      <c r="K767" s="50">
        <f>SUMIFS('Stock Adjustment'!$E:$E,'Stock Adjustment'!$B:$B,$A767,'Stock Adjustment'!$D:$D,"Expired")</f>
        <v>0</v>
      </c>
      <c r="L767" s="50">
        <f>SUMIFS('Stock Adjustment'!$E:$E,'Stock Adjustment'!$B:$B,$A767,'Stock Adjustment'!$D:$D,"Supplier Returned")</f>
        <v>0</v>
      </c>
      <c r="M7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7" s="53" t="str">
        <f>IF(B767="","",VLOOKUP(B767,'Product Master'!$B:$G,4,FALSE))</f>
        <v/>
      </c>
      <c r="O767" s="53" t="str">
        <f>IF(B767="","",VLOOKUP(B767,'Product Master'!$B:$G,5,FALSE))</f>
        <v/>
      </c>
      <c r="P767" s="50" t="str">
        <f>IF(B767="","",VLOOKUP(B767,'Product Master'!$B:$I,7,FALSE))</f>
        <v/>
      </c>
      <c r="Q767" s="158"/>
      <c r="R767" s="58" t="str">
        <f t="shared" si="11"/>
        <v/>
      </c>
      <c r="S767" s="25"/>
      <c r="T767" s="25"/>
      <c r="U767" s="25"/>
      <c r="V767" s="25"/>
      <c r="W767" s="25"/>
      <c r="X767" s="25"/>
    </row>
    <row r="768" spans="1:24" x14ac:dyDescent="0.25">
      <c r="A768" s="31" t="s">
        <v>1328</v>
      </c>
      <c r="B768" s="32"/>
      <c r="C768" s="50" t="str">
        <f>IF(B768="","",VLOOKUP(B768,'Product Master'!$B:$G,2,FALSE))</f>
        <v/>
      </c>
      <c r="D768" s="50" t="str">
        <f>IF(B768="","",VLOOKUP(B768,'Product Master'!$B:$G,3,FALSE))</f>
        <v/>
      </c>
      <c r="E768" s="50"/>
      <c r="F768" s="50">
        <f>SUMIF('Stock Purchase'!$D:$D,B768,'Stock Purchase'!$F:$F)</f>
        <v>0</v>
      </c>
      <c r="G768" s="50">
        <f>SUMIFS('Stock Adjustment'!$E:$E,'Stock Adjustment'!$B:$B,$A768,'Stock Adjustment'!$D:$D,"Customer Returned")</f>
        <v>0</v>
      </c>
      <c r="H768" s="50">
        <f>SUMIF('Daily Sales Entry'!$D:$D,B768,'Daily Sales Entry'!$G:$G)</f>
        <v>0</v>
      </c>
      <c r="I768" s="50">
        <f>SUMIFS('Stock Adjustment'!$E:$E,'Stock Adjustment'!$B:$B,$A768,'Stock Adjustment'!$D:$D,"Staff Consumption")</f>
        <v>0</v>
      </c>
      <c r="J768" s="50">
        <f>SUMIFS('Stock Adjustment'!$E:$E,'Stock Adjustment'!$B:$B,$A768,'Stock Adjustment'!$D:$D,"Damaged")</f>
        <v>0</v>
      </c>
      <c r="K768" s="50">
        <f>SUMIFS('Stock Adjustment'!$E:$E,'Stock Adjustment'!$B:$B,$A768,'Stock Adjustment'!$D:$D,"Expired")</f>
        <v>0</v>
      </c>
      <c r="L768" s="50">
        <f>SUMIFS('Stock Adjustment'!$E:$E,'Stock Adjustment'!$B:$B,$A768,'Stock Adjustment'!$D:$D,"Supplier Returned")</f>
        <v>0</v>
      </c>
      <c r="M7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8" s="53" t="str">
        <f>IF(B768="","",VLOOKUP(B768,'Product Master'!$B:$G,4,FALSE))</f>
        <v/>
      </c>
      <c r="O768" s="53" t="str">
        <f>IF(B768="","",VLOOKUP(B768,'Product Master'!$B:$G,5,FALSE))</f>
        <v/>
      </c>
      <c r="P768" s="50" t="str">
        <f>IF(B768="","",VLOOKUP(B768,'Product Master'!$B:$I,7,FALSE))</f>
        <v/>
      </c>
      <c r="Q768" s="158"/>
      <c r="R768" s="58" t="str">
        <f t="shared" si="11"/>
        <v/>
      </c>
      <c r="S768" s="25"/>
      <c r="T768" s="25"/>
      <c r="U768" s="25"/>
      <c r="V768" s="25"/>
      <c r="W768" s="25"/>
      <c r="X768" s="25"/>
    </row>
    <row r="769" spans="1:24" x14ac:dyDescent="0.25">
      <c r="A769" s="31" t="s">
        <v>1329</v>
      </c>
      <c r="B769" s="32"/>
      <c r="C769" s="50" t="str">
        <f>IF(B769="","",VLOOKUP(B769,'Product Master'!$B:$G,2,FALSE))</f>
        <v/>
      </c>
      <c r="D769" s="50" t="str">
        <f>IF(B769="","",VLOOKUP(B769,'Product Master'!$B:$G,3,FALSE))</f>
        <v/>
      </c>
      <c r="E769" s="50"/>
      <c r="F769" s="50">
        <f>SUMIF('Stock Purchase'!$D:$D,B769,'Stock Purchase'!$F:$F)</f>
        <v>0</v>
      </c>
      <c r="G769" s="50">
        <f>SUMIFS('Stock Adjustment'!$E:$E,'Stock Adjustment'!$B:$B,$A769,'Stock Adjustment'!$D:$D,"Customer Returned")</f>
        <v>0</v>
      </c>
      <c r="H769" s="50">
        <f>SUMIF('Daily Sales Entry'!$D:$D,B769,'Daily Sales Entry'!$G:$G)</f>
        <v>0</v>
      </c>
      <c r="I769" s="50">
        <f>SUMIFS('Stock Adjustment'!$E:$E,'Stock Adjustment'!$B:$B,$A769,'Stock Adjustment'!$D:$D,"Staff Consumption")</f>
        <v>0</v>
      </c>
      <c r="J769" s="50">
        <f>SUMIFS('Stock Adjustment'!$E:$E,'Stock Adjustment'!$B:$B,$A769,'Stock Adjustment'!$D:$D,"Damaged")</f>
        <v>0</v>
      </c>
      <c r="K769" s="50">
        <f>SUMIFS('Stock Adjustment'!$E:$E,'Stock Adjustment'!$B:$B,$A769,'Stock Adjustment'!$D:$D,"Expired")</f>
        <v>0</v>
      </c>
      <c r="L769" s="50">
        <f>SUMIFS('Stock Adjustment'!$E:$E,'Stock Adjustment'!$B:$B,$A769,'Stock Adjustment'!$D:$D,"Supplier Returned")</f>
        <v>0</v>
      </c>
      <c r="M7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69" s="53" t="str">
        <f>IF(B769="","",VLOOKUP(B769,'Product Master'!$B:$G,4,FALSE))</f>
        <v/>
      </c>
      <c r="O769" s="53" t="str">
        <f>IF(B769="","",VLOOKUP(B769,'Product Master'!$B:$G,5,FALSE))</f>
        <v/>
      </c>
      <c r="P769" s="50" t="str">
        <f>IF(B769="","",VLOOKUP(B769,'Product Master'!$B:$I,7,FALSE))</f>
        <v/>
      </c>
      <c r="Q769" s="158"/>
      <c r="R769" s="58" t="str">
        <f t="shared" si="11"/>
        <v/>
      </c>
      <c r="S769" s="25"/>
      <c r="T769" s="25"/>
      <c r="U769" s="25"/>
      <c r="V769" s="25"/>
      <c r="W769" s="25"/>
      <c r="X769" s="25"/>
    </row>
    <row r="770" spans="1:24" x14ac:dyDescent="0.25">
      <c r="A770" s="31" t="s">
        <v>1330</v>
      </c>
      <c r="B770" s="32"/>
      <c r="C770" s="50" t="str">
        <f>IF(B770="","",VLOOKUP(B770,'Product Master'!$B:$G,2,FALSE))</f>
        <v/>
      </c>
      <c r="D770" s="50" t="str">
        <f>IF(B770="","",VLOOKUP(B770,'Product Master'!$B:$G,3,FALSE))</f>
        <v/>
      </c>
      <c r="E770" s="50"/>
      <c r="F770" s="50">
        <f>SUMIF('Stock Purchase'!$D:$D,B770,'Stock Purchase'!$F:$F)</f>
        <v>0</v>
      </c>
      <c r="G770" s="50">
        <f>SUMIFS('Stock Adjustment'!$E:$E,'Stock Adjustment'!$B:$B,$A770,'Stock Adjustment'!$D:$D,"Customer Returned")</f>
        <v>0</v>
      </c>
      <c r="H770" s="50">
        <f>SUMIF('Daily Sales Entry'!$D:$D,B770,'Daily Sales Entry'!$G:$G)</f>
        <v>0</v>
      </c>
      <c r="I770" s="50">
        <f>SUMIFS('Stock Adjustment'!$E:$E,'Stock Adjustment'!$B:$B,$A770,'Stock Adjustment'!$D:$D,"Staff Consumption")</f>
        <v>0</v>
      </c>
      <c r="J770" s="50">
        <f>SUMIFS('Stock Adjustment'!$E:$E,'Stock Adjustment'!$B:$B,$A770,'Stock Adjustment'!$D:$D,"Damaged")</f>
        <v>0</v>
      </c>
      <c r="K770" s="50">
        <f>SUMIFS('Stock Adjustment'!$E:$E,'Stock Adjustment'!$B:$B,$A770,'Stock Adjustment'!$D:$D,"Expired")</f>
        <v>0</v>
      </c>
      <c r="L770" s="50">
        <f>SUMIFS('Stock Adjustment'!$E:$E,'Stock Adjustment'!$B:$B,$A770,'Stock Adjustment'!$D:$D,"Supplier Returned")</f>
        <v>0</v>
      </c>
      <c r="M7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0" s="53" t="str">
        <f>IF(B770="","",VLOOKUP(B770,'Product Master'!$B:$G,4,FALSE))</f>
        <v/>
      </c>
      <c r="O770" s="53" t="str">
        <f>IF(B770="","",VLOOKUP(B770,'Product Master'!$B:$G,5,FALSE))</f>
        <v/>
      </c>
      <c r="P770" s="50" t="str">
        <f>IF(B770="","",VLOOKUP(B770,'Product Master'!$B:$I,7,FALSE))</f>
        <v/>
      </c>
      <c r="Q770" s="158"/>
      <c r="R770" s="58" t="str">
        <f t="shared" ref="R770:R833" si="12">IF(B770="","",IF(M770=0,"Out of Stock",IF(M770&lt;=10,"Low Stock","In Stock")))</f>
        <v/>
      </c>
      <c r="S770" s="25"/>
      <c r="T770" s="25"/>
      <c r="U770" s="25"/>
      <c r="V770" s="25"/>
      <c r="W770" s="25"/>
      <c r="X770" s="25"/>
    </row>
    <row r="771" spans="1:24" x14ac:dyDescent="0.25">
      <c r="A771" s="31" t="s">
        <v>1331</v>
      </c>
      <c r="B771" s="32"/>
      <c r="C771" s="50" t="str">
        <f>IF(B771="","",VLOOKUP(B771,'Product Master'!$B:$G,2,FALSE))</f>
        <v/>
      </c>
      <c r="D771" s="50" t="str">
        <f>IF(B771="","",VLOOKUP(B771,'Product Master'!$B:$G,3,FALSE))</f>
        <v/>
      </c>
      <c r="E771" s="50"/>
      <c r="F771" s="50">
        <f>SUMIF('Stock Purchase'!$D:$D,B771,'Stock Purchase'!$F:$F)</f>
        <v>0</v>
      </c>
      <c r="G771" s="50">
        <f>SUMIFS('Stock Adjustment'!$E:$E,'Stock Adjustment'!$B:$B,$A771,'Stock Adjustment'!$D:$D,"Customer Returned")</f>
        <v>0</v>
      </c>
      <c r="H771" s="50">
        <f>SUMIF('Daily Sales Entry'!$D:$D,B771,'Daily Sales Entry'!$G:$G)</f>
        <v>0</v>
      </c>
      <c r="I771" s="50">
        <f>SUMIFS('Stock Adjustment'!$E:$E,'Stock Adjustment'!$B:$B,$A771,'Stock Adjustment'!$D:$D,"Staff Consumption")</f>
        <v>0</v>
      </c>
      <c r="J771" s="50">
        <f>SUMIFS('Stock Adjustment'!$E:$E,'Stock Adjustment'!$B:$B,$A771,'Stock Adjustment'!$D:$D,"Damaged")</f>
        <v>0</v>
      </c>
      <c r="K771" s="50">
        <f>SUMIFS('Stock Adjustment'!$E:$E,'Stock Adjustment'!$B:$B,$A771,'Stock Adjustment'!$D:$D,"Expired")</f>
        <v>0</v>
      </c>
      <c r="L771" s="50">
        <f>SUMIFS('Stock Adjustment'!$E:$E,'Stock Adjustment'!$B:$B,$A771,'Stock Adjustment'!$D:$D,"Supplier Returned")</f>
        <v>0</v>
      </c>
      <c r="M7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1" s="53" t="str">
        <f>IF(B771="","",VLOOKUP(B771,'Product Master'!$B:$G,4,FALSE))</f>
        <v/>
      </c>
      <c r="O771" s="53" t="str">
        <f>IF(B771="","",VLOOKUP(B771,'Product Master'!$B:$G,5,FALSE))</f>
        <v/>
      </c>
      <c r="P771" s="50" t="str">
        <f>IF(B771="","",VLOOKUP(B771,'Product Master'!$B:$I,7,FALSE))</f>
        <v/>
      </c>
      <c r="Q771" s="158"/>
      <c r="R771" s="58" t="str">
        <f t="shared" si="12"/>
        <v/>
      </c>
      <c r="S771" s="25"/>
      <c r="T771" s="25"/>
      <c r="U771" s="25"/>
      <c r="V771" s="25"/>
      <c r="W771" s="25"/>
      <c r="X771" s="25"/>
    </row>
    <row r="772" spans="1:24" x14ac:dyDescent="0.25">
      <c r="A772" s="31" t="s">
        <v>1332</v>
      </c>
      <c r="B772" s="32"/>
      <c r="C772" s="50" t="str">
        <f>IF(B772="","",VLOOKUP(B772,'Product Master'!$B:$G,2,FALSE))</f>
        <v/>
      </c>
      <c r="D772" s="50" t="str">
        <f>IF(B772="","",VLOOKUP(B772,'Product Master'!$B:$G,3,FALSE))</f>
        <v/>
      </c>
      <c r="E772" s="50"/>
      <c r="F772" s="50">
        <f>SUMIF('Stock Purchase'!$D:$D,B772,'Stock Purchase'!$F:$F)</f>
        <v>0</v>
      </c>
      <c r="G772" s="50">
        <f>SUMIFS('Stock Adjustment'!$E:$E,'Stock Adjustment'!$B:$B,$A772,'Stock Adjustment'!$D:$D,"Customer Returned")</f>
        <v>0</v>
      </c>
      <c r="H772" s="50">
        <f>SUMIF('Daily Sales Entry'!$D:$D,B772,'Daily Sales Entry'!$G:$G)</f>
        <v>0</v>
      </c>
      <c r="I772" s="50">
        <f>SUMIFS('Stock Adjustment'!$E:$E,'Stock Adjustment'!$B:$B,$A772,'Stock Adjustment'!$D:$D,"Staff Consumption")</f>
        <v>0</v>
      </c>
      <c r="J772" s="50">
        <f>SUMIFS('Stock Adjustment'!$E:$E,'Stock Adjustment'!$B:$B,$A772,'Stock Adjustment'!$D:$D,"Damaged")</f>
        <v>0</v>
      </c>
      <c r="K772" s="50">
        <f>SUMIFS('Stock Adjustment'!$E:$E,'Stock Adjustment'!$B:$B,$A772,'Stock Adjustment'!$D:$D,"Expired")</f>
        <v>0</v>
      </c>
      <c r="L772" s="50">
        <f>SUMIFS('Stock Adjustment'!$E:$E,'Stock Adjustment'!$B:$B,$A772,'Stock Adjustment'!$D:$D,"Supplier Returned")</f>
        <v>0</v>
      </c>
      <c r="M7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2" s="53" t="str">
        <f>IF(B772="","",VLOOKUP(B772,'Product Master'!$B:$G,4,FALSE))</f>
        <v/>
      </c>
      <c r="O772" s="53" t="str">
        <f>IF(B772="","",VLOOKUP(B772,'Product Master'!$B:$G,5,FALSE))</f>
        <v/>
      </c>
      <c r="P772" s="50" t="str">
        <f>IF(B772="","",VLOOKUP(B772,'Product Master'!$B:$I,7,FALSE))</f>
        <v/>
      </c>
      <c r="Q772" s="158"/>
      <c r="R772" s="58" t="str">
        <f t="shared" si="12"/>
        <v/>
      </c>
      <c r="S772" s="25"/>
      <c r="T772" s="25"/>
      <c r="U772" s="25"/>
      <c r="V772" s="25"/>
      <c r="W772" s="25"/>
      <c r="X772" s="25"/>
    </row>
    <row r="773" spans="1:24" x14ac:dyDescent="0.25">
      <c r="A773" s="31" t="s">
        <v>1333</v>
      </c>
      <c r="B773" s="32"/>
      <c r="C773" s="50" t="str">
        <f>IF(B773="","",VLOOKUP(B773,'Product Master'!$B:$G,2,FALSE))</f>
        <v/>
      </c>
      <c r="D773" s="50" t="str">
        <f>IF(B773="","",VLOOKUP(B773,'Product Master'!$B:$G,3,FALSE))</f>
        <v/>
      </c>
      <c r="E773" s="50"/>
      <c r="F773" s="50">
        <f>SUMIF('Stock Purchase'!$D:$D,B773,'Stock Purchase'!$F:$F)</f>
        <v>0</v>
      </c>
      <c r="G773" s="50">
        <f>SUMIFS('Stock Adjustment'!$E:$E,'Stock Adjustment'!$B:$B,$A773,'Stock Adjustment'!$D:$D,"Customer Returned")</f>
        <v>0</v>
      </c>
      <c r="H773" s="50">
        <f>SUMIF('Daily Sales Entry'!$D:$D,B773,'Daily Sales Entry'!$G:$G)</f>
        <v>0</v>
      </c>
      <c r="I773" s="50">
        <f>SUMIFS('Stock Adjustment'!$E:$E,'Stock Adjustment'!$B:$B,$A773,'Stock Adjustment'!$D:$D,"Staff Consumption")</f>
        <v>0</v>
      </c>
      <c r="J773" s="50">
        <f>SUMIFS('Stock Adjustment'!$E:$E,'Stock Adjustment'!$B:$B,$A773,'Stock Adjustment'!$D:$D,"Damaged")</f>
        <v>0</v>
      </c>
      <c r="K773" s="50">
        <f>SUMIFS('Stock Adjustment'!$E:$E,'Stock Adjustment'!$B:$B,$A773,'Stock Adjustment'!$D:$D,"Expired")</f>
        <v>0</v>
      </c>
      <c r="L773" s="50">
        <f>SUMIFS('Stock Adjustment'!$E:$E,'Stock Adjustment'!$B:$B,$A773,'Stock Adjustment'!$D:$D,"Supplier Returned")</f>
        <v>0</v>
      </c>
      <c r="M7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3" s="53" t="str">
        <f>IF(B773="","",VLOOKUP(B773,'Product Master'!$B:$G,4,FALSE))</f>
        <v/>
      </c>
      <c r="O773" s="53" t="str">
        <f>IF(B773="","",VLOOKUP(B773,'Product Master'!$B:$G,5,FALSE))</f>
        <v/>
      </c>
      <c r="P773" s="50" t="str">
        <f>IF(B773="","",VLOOKUP(B773,'Product Master'!$B:$I,7,FALSE))</f>
        <v/>
      </c>
      <c r="Q773" s="158"/>
      <c r="R773" s="58" t="str">
        <f t="shared" si="12"/>
        <v/>
      </c>
      <c r="S773" s="25"/>
      <c r="T773" s="25"/>
      <c r="U773" s="25"/>
      <c r="V773" s="25"/>
      <c r="W773" s="25"/>
      <c r="X773" s="25"/>
    </row>
    <row r="774" spans="1:24" x14ac:dyDescent="0.25">
      <c r="A774" s="31" t="s">
        <v>1334</v>
      </c>
      <c r="B774" s="32"/>
      <c r="C774" s="50" t="str">
        <f>IF(B774="","",VLOOKUP(B774,'Product Master'!$B:$G,2,FALSE))</f>
        <v/>
      </c>
      <c r="D774" s="50" t="str">
        <f>IF(B774="","",VLOOKUP(B774,'Product Master'!$B:$G,3,FALSE))</f>
        <v/>
      </c>
      <c r="E774" s="50"/>
      <c r="F774" s="50">
        <f>SUMIF('Stock Purchase'!$D:$D,B774,'Stock Purchase'!$F:$F)</f>
        <v>0</v>
      </c>
      <c r="G774" s="50">
        <f>SUMIFS('Stock Adjustment'!$E:$E,'Stock Adjustment'!$B:$B,$A774,'Stock Adjustment'!$D:$D,"Customer Returned")</f>
        <v>0</v>
      </c>
      <c r="H774" s="50">
        <f>SUMIF('Daily Sales Entry'!$D:$D,B774,'Daily Sales Entry'!$G:$G)</f>
        <v>0</v>
      </c>
      <c r="I774" s="50">
        <f>SUMIFS('Stock Adjustment'!$E:$E,'Stock Adjustment'!$B:$B,$A774,'Stock Adjustment'!$D:$D,"Staff Consumption")</f>
        <v>0</v>
      </c>
      <c r="J774" s="50">
        <f>SUMIFS('Stock Adjustment'!$E:$E,'Stock Adjustment'!$B:$B,$A774,'Stock Adjustment'!$D:$D,"Damaged")</f>
        <v>0</v>
      </c>
      <c r="K774" s="50">
        <f>SUMIFS('Stock Adjustment'!$E:$E,'Stock Adjustment'!$B:$B,$A774,'Stock Adjustment'!$D:$D,"Expired")</f>
        <v>0</v>
      </c>
      <c r="L774" s="50">
        <f>SUMIFS('Stock Adjustment'!$E:$E,'Stock Adjustment'!$B:$B,$A774,'Stock Adjustment'!$D:$D,"Supplier Returned")</f>
        <v>0</v>
      </c>
      <c r="M7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4" s="53" t="str">
        <f>IF(B774="","",VLOOKUP(B774,'Product Master'!$B:$G,4,FALSE))</f>
        <v/>
      </c>
      <c r="O774" s="53" t="str">
        <f>IF(B774="","",VLOOKUP(B774,'Product Master'!$B:$G,5,FALSE))</f>
        <v/>
      </c>
      <c r="P774" s="50" t="str">
        <f>IF(B774="","",VLOOKUP(B774,'Product Master'!$B:$I,7,FALSE))</f>
        <v/>
      </c>
      <c r="Q774" s="158"/>
      <c r="R774" s="58" t="str">
        <f t="shared" si="12"/>
        <v/>
      </c>
      <c r="S774" s="25"/>
      <c r="T774" s="25"/>
      <c r="U774" s="25"/>
      <c r="V774" s="25"/>
      <c r="W774" s="25"/>
      <c r="X774" s="25"/>
    </row>
    <row r="775" spans="1:24" x14ac:dyDescent="0.25">
      <c r="A775" s="31" t="s">
        <v>1335</v>
      </c>
      <c r="B775" s="32"/>
      <c r="C775" s="50" t="str">
        <f>IF(B775="","",VLOOKUP(B775,'Product Master'!$B:$G,2,FALSE))</f>
        <v/>
      </c>
      <c r="D775" s="50" t="str">
        <f>IF(B775="","",VLOOKUP(B775,'Product Master'!$B:$G,3,FALSE))</f>
        <v/>
      </c>
      <c r="E775" s="50"/>
      <c r="F775" s="50">
        <f>SUMIF('Stock Purchase'!$D:$D,B775,'Stock Purchase'!$F:$F)</f>
        <v>0</v>
      </c>
      <c r="G775" s="50">
        <f>SUMIFS('Stock Adjustment'!$E:$E,'Stock Adjustment'!$B:$B,$A775,'Stock Adjustment'!$D:$D,"Customer Returned")</f>
        <v>0</v>
      </c>
      <c r="H775" s="50">
        <f>SUMIF('Daily Sales Entry'!$D:$D,B775,'Daily Sales Entry'!$G:$G)</f>
        <v>0</v>
      </c>
      <c r="I775" s="50">
        <f>SUMIFS('Stock Adjustment'!$E:$E,'Stock Adjustment'!$B:$B,$A775,'Stock Adjustment'!$D:$D,"Staff Consumption")</f>
        <v>0</v>
      </c>
      <c r="J775" s="50">
        <f>SUMIFS('Stock Adjustment'!$E:$E,'Stock Adjustment'!$B:$B,$A775,'Stock Adjustment'!$D:$D,"Damaged")</f>
        <v>0</v>
      </c>
      <c r="K775" s="50">
        <f>SUMIFS('Stock Adjustment'!$E:$E,'Stock Adjustment'!$B:$B,$A775,'Stock Adjustment'!$D:$D,"Expired")</f>
        <v>0</v>
      </c>
      <c r="L775" s="50">
        <f>SUMIFS('Stock Adjustment'!$E:$E,'Stock Adjustment'!$B:$B,$A775,'Stock Adjustment'!$D:$D,"Supplier Returned")</f>
        <v>0</v>
      </c>
      <c r="M7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5" s="53" t="str">
        <f>IF(B775="","",VLOOKUP(B775,'Product Master'!$B:$G,4,FALSE))</f>
        <v/>
      </c>
      <c r="O775" s="53" t="str">
        <f>IF(B775="","",VLOOKUP(B775,'Product Master'!$B:$G,5,FALSE))</f>
        <v/>
      </c>
      <c r="P775" s="50" t="str">
        <f>IF(B775="","",VLOOKUP(B775,'Product Master'!$B:$I,7,FALSE))</f>
        <v/>
      </c>
      <c r="Q775" s="158"/>
      <c r="R775" s="58" t="str">
        <f t="shared" si="12"/>
        <v/>
      </c>
      <c r="S775" s="25"/>
      <c r="T775" s="25"/>
      <c r="U775" s="25"/>
      <c r="V775" s="25"/>
      <c r="W775" s="25"/>
      <c r="X775" s="25"/>
    </row>
    <row r="776" spans="1:24" x14ac:dyDescent="0.25">
      <c r="A776" s="31" t="s">
        <v>1336</v>
      </c>
      <c r="B776" s="32"/>
      <c r="C776" s="50" t="str">
        <f>IF(B776="","",VLOOKUP(B776,'Product Master'!$B:$G,2,FALSE))</f>
        <v/>
      </c>
      <c r="D776" s="50" t="str">
        <f>IF(B776="","",VLOOKUP(B776,'Product Master'!$B:$G,3,FALSE))</f>
        <v/>
      </c>
      <c r="E776" s="50"/>
      <c r="F776" s="50">
        <f>SUMIF('Stock Purchase'!$D:$D,B776,'Stock Purchase'!$F:$F)</f>
        <v>0</v>
      </c>
      <c r="G776" s="50">
        <f>SUMIFS('Stock Adjustment'!$E:$E,'Stock Adjustment'!$B:$B,$A776,'Stock Adjustment'!$D:$D,"Customer Returned")</f>
        <v>0</v>
      </c>
      <c r="H776" s="50">
        <f>SUMIF('Daily Sales Entry'!$D:$D,B776,'Daily Sales Entry'!$G:$G)</f>
        <v>0</v>
      </c>
      <c r="I776" s="50">
        <f>SUMIFS('Stock Adjustment'!$E:$E,'Stock Adjustment'!$B:$B,$A776,'Stock Adjustment'!$D:$D,"Staff Consumption")</f>
        <v>0</v>
      </c>
      <c r="J776" s="50">
        <f>SUMIFS('Stock Adjustment'!$E:$E,'Stock Adjustment'!$B:$B,$A776,'Stock Adjustment'!$D:$D,"Damaged")</f>
        <v>0</v>
      </c>
      <c r="K776" s="50">
        <f>SUMIFS('Stock Adjustment'!$E:$E,'Stock Adjustment'!$B:$B,$A776,'Stock Adjustment'!$D:$D,"Expired")</f>
        <v>0</v>
      </c>
      <c r="L776" s="50">
        <f>SUMIFS('Stock Adjustment'!$E:$E,'Stock Adjustment'!$B:$B,$A776,'Stock Adjustment'!$D:$D,"Supplier Returned")</f>
        <v>0</v>
      </c>
      <c r="M7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6" s="53" t="str">
        <f>IF(B776="","",VLOOKUP(B776,'Product Master'!$B:$G,4,FALSE))</f>
        <v/>
      </c>
      <c r="O776" s="53" t="str">
        <f>IF(B776="","",VLOOKUP(B776,'Product Master'!$B:$G,5,FALSE))</f>
        <v/>
      </c>
      <c r="P776" s="50" t="str">
        <f>IF(B776="","",VLOOKUP(B776,'Product Master'!$B:$I,7,FALSE))</f>
        <v/>
      </c>
      <c r="Q776" s="158"/>
      <c r="R776" s="58" t="str">
        <f t="shared" si="12"/>
        <v/>
      </c>
      <c r="S776" s="25"/>
      <c r="T776" s="25"/>
      <c r="U776" s="25"/>
      <c r="V776" s="25"/>
      <c r="W776" s="25"/>
      <c r="X776" s="25"/>
    </row>
    <row r="777" spans="1:24" x14ac:dyDescent="0.25">
      <c r="A777" s="31" t="s">
        <v>1337</v>
      </c>
      <c r="B777" s="32"/>
      <c r="C777" s="50" t="str">
        <f>IF(B777="","",VLOOKUP(B777,'Product Master'!$B:$G,2,FALSE))</f>
        <v/>
      </c>
      <c r="D777" s="50" t="str">
        <f>IF(B777="","",VLOOKUP(B777,'Product Master'!$B:$G,3,FALSE))</f>
        <v/>
      </c>
      <c r="E777" s="50"/>
      <c r="F777" s="50">
        <f>SUMIF('Stock Purchase'!$D:$D,B777,'Stock Purchase'!$F:$F)</f>
        <v>0</v>
      </c>
      <c r="G777" s="50">
        <f>SUMIFS('Stock Adjustment'!$E:$E,'Stock Adjustment'!$B:$B,$A777,'Stock Adjustment'!$D:$D,"Customer Returned")</f>
        <v>0</v>
      </c>
      <c r="H777" s="50">
        <f>SUMIF('Daily Sales Entry'!$D:$D,B777,'Daily Sales Entry'!$G:$G)</f>
        <v>0</v>
      </c>
      <c r="I777" s="50">
        <f>SUMIFS('Stock Adjustment'!$E:$E,'Stock Adjustment'!$B:$B,$A777,'Stock Adjustment'!$D:$D,"Staff Consumption")</f>
        <v>0</v>
      </c>
      <c r="J777" s="50">
        <f>SUMIFS('Stock Adjustment'!$E:$E,'Stock Adjustment'!$B:$B,$A777,'Stock Adjustment'!$D:$D,"Damaged")</f>
        <v>0</v>
      </c>
      <c r="K777" s="50">
        <f>SUMIFS('Stock Adjustment'!$E:$E,'Stock Adjustment'!$B:$B,$A777,'Stock Adjustment'!$D:$D,"Expired")</f>
        <v>0</v>
      </c>
      <c r="L777" s="50">
        <f>SUMIFS('Stock Adjustment'!$E:$E,'Stock Adjustment'!$B:$B,$A777,'Stock Adjustment'!$D:$D,"Supplier Returned")</f>
        <v>0</v>
      </c>
      <c r="M7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7" s="53" t="str">
        <f>IF(B777="","",VLOOKUP(B777,'Product Master'!$B:$G,4,FALSE))</f>
        <v/>
      </c>
      <c r="O777" s="53" t="str">
        <f>IF(B777="","",VLOOKUP(B777,'Product Master'!$B:$G,5,FALSE))</f>
        <v/>
      </c>
      <c r="P777" s="50" t="str">
        <f>IF(B777="","",VLOOKUP(B777,'Product Master'!$B:$I,7,FALSE))</f>
        <v/>
      </c>
      <c r="Q777" s="158"/>
      <c r="R777" s="58" t="str">
        <f t="shared" si="12"/>
        <v/>
      </c>
      <c r="S777" s="25"/>
      <c r="T777" s="25"/>
      <c r="U777" s="25"/>
      <c r="V777" s="25"/>
      <c r="W777" s="25"/>
      <c r="X777" s="25"/>
    </row>
    <row r="778" spans="1:24" x14ac:dyDescent="0.25">
      <c r="A778" s="31" t="s">
        <v>1338</v>
      </c>
      <c r="B778" s="32"/>
      <c r="C778" s="50" t="str">
        <f>IF(B778="","",VLOOKUP(B778,'Product Master'!$B:$G,2,FALSE))</f>
        <v/>
      </c>
      <c r="D778" s="50" t="str">
        <f>IF(B778="","",VLOOKUP(B778,'Product Master'!$B:$G,3,FALSE))</f>
        <v/>
      </c>
      <c r="E778" s="50"/>
      <c r="F778" s="50">
        <f>SUMIF('Stock Purchase'!$D:$D,B778,'Stock Purchase'!$F:$F)</f>
        <v>0</v>
      </c>
      <c r="G778" s="50">
        <f>SUMIFS('Stock Adjustment'!$E:$E,'Stock Adjustment'!$B:$B,$A778,'Stock Adjustment'!$D:$D,"Customer Returned")</f>
        <v>0</v>
      </c>
      <c r="H778" s="50">
        <f>SUMIF('Daily Sales Entry'!$D:$D,B778,'Daily Sales Entry'!$G:$G)</f>
        <v>0</v>
      </c>
      <c r="I778" s="50">
        <f>SUMIFS('Stock Adjustment'!$E:$E,'Stock Adjustment'!$B:$B,$A778,'Stock Adjustment'!$D:$D,"Staff Consumption")</f>
        <v>0</v>
      </c>
      <c r="J778" s="50">
        <f>SUMIFS('Stock Adjustment'!$E:$E,'Stock Adjustment'!$B:$B,$A778,'Stock Adjustment'!$D:$D,"Damaged")</f>
        <v>0</v>
      </c>
      <c r="K778" s="50">
        <f>SUMIFS('Stock Adjustment'!$E:$E,'Stock Adjustment'!$B:$B,$A778,'Stock Adjustment'!$D:$D,"Expired")</f>
        <v>0</v>
      </c>
      <c r="L778" s="50">
        <f>SUMIFS('Stock Adjustment'!$E:$E,'Stock Adjustment'!$B:$B,$A778,'Stock Adjustment'!$D:$D,"Supplier Returned")</f>
        <v>0</v>
      </c>
      <c r="M7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8" s="53" t="str">
        <f>IF(B778="","",VLOOKUP(B778,'Product Master'!$B:$G,4,FALSE))</f>
        <v/>
      </c>
      <c r="O778" s="53" t="str">
        <f>IF(B778="","",VLOOKUP(B778,'Product Master'!$B:$G,5,FALSE))</f>
        <v/>
      </c>
      <c r="P778" s="50" t="str">
        <f>IF(B778="","",VLOOKUP(B778,'Product Master'!$B:$I,7,FALSE))</f>
        <v/>
      </c>
      <c r="Q778" s="158"/>
      <c r="R778" s="58" t="str">
        <f t="shared" si="12"/>
        <v/>
      </c>
      <c r="S778" s="25"/>
      <c r="T778" s="25"/>
      <c r="U778" s="25"/>
      <c r="V778" s="25"/>
      <c r="W778" s="25"/>
      <c r="X778" s="25"/>
    </row>
    <row r="779" spans="1:24" x14ac:dyDescent="0.25">
      <c r="A779" s="31" t="s">
        <v>1339</v>
      </c>
      <c r="B779" s="32"/>
      <c r="C779" s="50" t="str">
        <f>IF(B779="","",VLOOKUP(B779,'Product Master'!$B:$G,2,FALSE))</f>
        <v/>
      </c>
      <c r="D779" s="50" t="str">
        <f>IF(B779="","",VLOOKUP(B779,'Product Master'!$B:$G,3,FALSE))</f>
        <v/>
      </c>
      <c r="E779" s="50"/>
      <c r="F779" s="50">
        <f>SUMIF('Stock Purchase'!$D:$D,B779,'Stock Purchase'!$F:$F)</f>
        <v>0</v>
      </c>
      <c r="G779" s="50">
        <f>SUMIFS('Stock Adjustment'!$E:$E,'Stock Adjustment'!$B:$B,$A779,'Stock Adjustment'!$D:$D,"Customer Returned")</f>
        <v>0</v>
      </c>
      <c r="H779" s="50">
        <f>SUMIF('Daily Sales Entry'!$D:$D,B779,'Daily Sales Entry'!$G:$G)</f>
        <v>0</v>
      </c>
      <c r="I779" s="50">
        <f>SUMIFS('Stock Adjustment'!$E:$E,'Stock Adjustment'!$B:$B,$A779,'Stock Adjustment'!$D:$D,"Staff Consumption")</f>
        <v>0</v>
      </c>
      <c r="J779" s="50">
        <f>SUMIFS('Stock Adjustment'!$E:$E,'Stock Adjustment'!$B:$B,$A779,'Stock Adjustment'!$D:$D,"Damaged")</f>
        <v>0</v>
      </c>
      <c r="K779" s="50">
        <f>SUMIFS('Stock Adjustment'!$E:$E,'Stock Adjustment'!$B:$B,$A779,'Stock Adjustment'!$D:$D,"Expired")</f>
        <v>0</v>
      </c>
      <c r="L779" s="50">
        <f>SUMIFS('Stock Adjustment'!$E:$E,'Stock Adjustment'!$B:$B,$A779,'Stock Adjustment'!$D:$D,"Supplier Returned")</f>
        <v>0</v>
      </c>
      <c r="M7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79" s="53" t="str">
        <f>IF(B779="","",VLOOKUP(B779,'Product Master'!$B:$G,4,FALSE))</f>
        <v/>
      </c>
      <c r="O779" s="53" t="str">
        <f>IF(B779="","",VLOOKUP(B779,'Product Master'!$B:$G,5,FALSE))</f>
        <v/>
      </c>
      <c r="P779" s="50" t="str">
        <f>IF(B779="","",VLOOKUP(B779,'Product Master'!$B:$I,7,FALSE))</f>
        <v/>
      </c>
      <c r="Q779" s="158"/>
      <c r="R779" s="58" t="str">
        <f t="shared" si="12"/>
        <v/>
      </c>
      <c r="S779" s="25"/>
      <c r="T779" s="25"/>
      <c r="U779" s="25"/>
      <c r="V779" s="25"/>
      <c r="W779" s="25"/>
      <c r="X779" s="25"/>
    </row>
    <row r="780" spans="1:24" x14ac:dyDescent="0.25">
      <c r="A780" s="31" t="s">
        <v>1340</v>
      </c>
      <c r="B780" s="32"/>
      <c r="C780" s="50" t="str">
        <f>IF(B780="","",VLOOKUP(B780,'Product Master'!$B:$G,2,FALSE))</f>
        <v/>
      </c>
      <c r="D780" s="50" t="str">
        <f>IF(B780="","",VLOOKUP(B780,'Product Master'!$B:$G,3,FALSE))</f>
        <v/>
      </c>
      <c r="E780" s="50"/>
      <c r="F780" s="50">
        <f>SUMIF('Stock Purchase'!$D:$D,B780,'Stock Purchase'!$F:$F)</f>
        <v>0</v>
      </c>
      <c r="G780" s="50">
        <f>SUMIFS('Stock Adjustment'!$E:$E,'Stock Adjustment'!$B:$B,$A780,'Stock Adjustment'!$D:$D,"Customer Returned")</f>
        <v>0</v>
      </c>
      <c r="H780" s="50">
        <f>SUMIF('Daily Sales Entry'!$D:$D,B780,'Daily Sales Entry'!$G:$G)</f>
        <v>0</v>
      </c>
      <c r="I780" s="50">
        <f>SUMIFS('Stock Adjustment'!$E:$E,'Stock Adjustment'!$B:$B,$A780,'Stock Adjustment'!$D:$D,"Staff Consumption")</f>
        <v>0</v>
      </c>
      <c r="J780" s="50">
        <f>SUMIFS('Stock Adjustment'!$E:$E,'Stock Adjustment'!$B:$B,$A780,'Stock Adjustment'!$D:$D,"Damaged")</f>
        <v>0</v>
      </c>
      <c r="K780" s="50">
        <f>SUMIFS('Stock Adjustment'!$E:$E,'Stock Adjustment'!$B:$B,$A780,'Stock Adjustment'!$D:$D,"Expired")</f>
        <v>0</v>
      </c>
      <c r="L780" s="50">
        <f>SUMIFS('Stock Adjustment'!$E:$E,'Stock Adjustment'!$B:$B,$A780,'Stock Adjustment'!$D:$D,"Supplier Returned")</f>
        <v>0</v>
      </c>
      <c r="M7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0" s="53" t="str">
        <f>IF(B780="","",VLOOKUP(B780,'Product Master'!$B:$G,4,FALSE))</f>
        <v/>
      </c>
      <c r="O780" s="53" t="str">
        <f>IF(B780="","",VLOOKUP(B780,'Product Master'!$B:$G,5,FALSE))</f>
        <v/>
      </c>
      <c r="P780" s="50" t="str">
        <f>IF(B780="","",VLOOKUP(B780,'Product Master'!$B:$I,7,FALSE))</f>
        <v/>
      </c>
      <c r="Q780" s="158"/>
      <c r="R780" s="58" t="str">
        <f t="shared" si="12"/>
        <v/>
      </c>
      <c r="S780" s="25"/>
      <c r="T780" s="25"/>
      <c r="U780" s="25"/>
      <c r="V780" s="25"/>
      <c r="W780" s="25"/>
      <c r="X780" s="25"/>
    </row>
    <row r="781" spans="1:24" x14ac:dyDescent="0.25">
      <c r="A781" s="31" t="s">
        <v>1341</v>
      </c>
      <c r="B781" s="32"/>
      <c r="C781" s="50" t="str">
        <f>IF(B781="","",VLOOKUP(B781,'Product Master'!$B:$G,2,FALSE))</f>
        <v/>
      </c>
      <c r="D781" s="50" t="str">
        <f>IF(B781="","",VLOOKUP(B781,'Product Master'!$B:$G,3,FALSE))</f>
        <v/>
      </c>
      <c r="E781" s="50"/>
      <c r="F781" s="50">
        <f>SUMIF('Stock Purchase'!$D:$D,B781,'Stock Purchase'!$F:$F)</f>
        <v>0</v>
      </c>
      <c r="G781" s="50">
        <f>SUMIFS('Stock Adjustment'!$E:$E,'Stock Adjustment'!$B:$B,$A781,'Stock Adjustment'!$D:$D,"Customer Returned")</f>
        <v>0</v>
      </c>
      <c r="H781" s="50">
        <f>SUMIF('Daily Sales Entry'!$D:$D,B781,'Daily Sales Entry'!$G:$G)</f>
        <v>0</v>
      </c>
      <c r="I781" s="50">
        <f>SUMIFS('Stock Adjustment'!$E:$E,'Stock Adjustment'!$B:$B,$A781,'Stock Adjustment'!$D:$D,"Staff Consumption")</f>
        <v>0</v>
      </c>
      <c r="J781" s="50">
        <f>SUMIFS('Stock Adjustment'!$E:$E,'Stock Adjustment'!$B:$B,$A781,'Stock Adjustment'!$D:$D,"Damaged")</f>
        <v>0</v>
      </c>
      <c r="K781" s="50">
        <f>SUMIFS('Stock Adjustment'!$E:$E,'Stock Adjustment'!$B:$B,$A781,'Stock Adjustment'!$D:$D,"Expired")</f>
        <v>0</v>
      </c>
      <c r="L781" s="50">
        <f>SUMIFS('Stock Adjustment'!$E:$E,'Stock Adjustment'!$B:$B,$A781,'Stock Adjustment'!$D:$D,"Supplier Returned")</f>
        <v>0</v>
      </c>
      <c r="M7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1" s="53" t="str">
        <f>IF(B781="","",VLOOKUP(B781,'Product Master'!$B:$G,4,FALSE))</f>
        <v/>
      </c>
      <c r="O781" s="53" t="str">
        <f>IF(B781="","",VLOOKUP(B781,'Product Master'!$B:$G,5,FALSE))</f>
        <v/>
      </c>
      <c r="P781" s="50" t="str">
        <f>IF(B781="","",VLOOKUP(B781,'Product Master'!$B:$I,7,FALSE))</f>
        <v/>
      </c>
      <c r="Q781" s="158"/>
      <c r="R781" s="58" t="str">
        <f t="shared" si="12"/>
        <v/>
      </c>
      <c r="S781" s="25"/>
      <c r="T781" s="25"/>
      <c r="U781" s="25"/>
      <c r="V781" s="25"/>
      <c r="W781" s="25"/>
      <c r="X781" s="25"/>
    </row>
    <row r="782" spans="1:24" x14ac:dyDescent="0.25">
      <c r="A782" s="31" t="s">
        <v>1342</v>
      </c>
      <c r="B782" s="32"/>
      <c r="C782" s="50" t="str">
        <f>IF(B782="","",VLOOKUP(B782,'Product Master'!$B:$G,2,FALSE))</f>
        <v/>
      </c>
      <c r="D782" s="50" t="str">
        <f>IF(B782="","",VLOOKUP(B782,'Product Master'!$B:$G,3,FALSE))</f>
        <v/>
      </c>
      <c r="E782" s="50"/>
      <c r="F782" s="50">
        <f>SUMIF('Stock Purchase'!$D:$D,B782,'Stock Purchase'!$F:$F)</f>
        <v>0</v>
      </c>
      <c r="G782" s="50">
        <f>SUMIFS('Stock Adjustment'!$E:$E,'Stock Adjustment'!$B:$B,$A782,'Stock Adjustment'!$D:$D,"Customer Returned")</f>
        <v>0</v>
      </c>
      <c r="H782" s="50">
        <f>SUMIF('Daily Sales Entry'!$D:$D,B782,'Daily Sales Entry'!$G:$G)</f>
        <v>0</v>
      </c>
      <c r="I782" s="50">
        <f>SUMIFS('Stock Adjustment'!$E:$E,'Stock Adjustment'!$B:$B,$A782,'Stock Adjustment'!$D:$D,"Staff Consumption")</f>
        <v>0</v>
      </c>
      <c r="J782" s="50">
        <f>SUMIFS('Stock Adjustment'!$E:$E,'Stock Adjustment'!$B:$B,$A782,'Stock Adjustment'!$D:$D,"Damaged")</f>
        <v>0</v>
      </c>
      <c r="K782" s="50">
        <f>SUMIFS('Stock Adjustment'!$E:$E,'Stock Adjustment'!$B:$B,$A782,'Stock Adjustment'!$D:$D,"Expired")</f>
        <v>0</v>
      </c>
      <c r="L782" s="50">
        <f>SUMIFS('Stock Adjustment'!$E:$E,'Stock Adjustment'!$B:$B,$A782,'Stock Adjustment'!$D:$D,"Supplier Returned")</f>
        <v>0</v>
      </c>
      <c r="M7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2" s="53" t="str">
        <f>IF(B782="","",VLOOKUP(B782,'Product Master'!$B:$G,4,FALSE))</f>
        <v/>
      </c>
      <c r="O782" s="53" t="str">
        <f>IF(B782="","",VLOOKUP(B782,'Product Master'!$B:$G,5,FALSE))</f>
        <v/>
      </c>
      <c r="P782" s="50" t="str">
        <f>IF(B782="","",VLOOKUP(B782,'Product Master'!$B:$I,7,FALSE))</f>
        <v/>
      </c>
      <c r="Q782" s="158"/>
      <c r="R782" s="58" t="str">
        <f t="shared" si="12"/>
        <v/>
      </c>
      <c r="S782" s="25"/>
      <c r="T782" s="25"/>
      <c r="U782" s="25"/>
      <c r="V782" s="25"/>
      <c r="W782" s="25"/>
      <c r="X782" s="25"/>
    </row>
    <row r="783" spans="1:24" x14ac:dyDescent="0.25">
      <c r="A783" s="31" t="s">
        <v>1343</v>
      </c>
      <c r="B783" s="32"/>
      <c r="C783" s="50" t="str">
        <f>IF(B783="","",VLOOKUP(B783,'Product Master'!$B:$G,2,FALSE))</f>
        <v/>
      </c>
      <c r="D783" s="50" t="str">
        <f>IF(B783="","",VLOOKUP(B783,'Product Master'!$B:$G,3,FALSE))</f>
        <v/>
      </c>
      <c r="E783" s="50"/>
      <c r="F783" s="50">
        <f>SUMIF('Stock Purchase'!$D:$D,B783,'Stock Purchase'!$F:$F)</f>
        <v>0</v>
      </c>
      <c r="G783" s="50">
        <f>SUMIFS('Stock Adjustment'!$E:$E,'Stock Adjustment'!$B:$B,$A783,'Stock Adjustment'!$D:$D,"Customer Returned")</f>
        <v>0</v>
      </c>
      <c r="H783" s="50">
        <f>SUMIF('Daily Sales Entry'!$D:$D,B783,'Daily Sales Entry'!$G:$G)</f>
        <v>0</v>
      </c>
      <c r="I783" s="50">
        <f>SUMIFS('Stock Adjustment'!$E:$E,'Stock Adjustment'!$B:$B,$A783,'Stock Adjustment'!$D:$D,"Staff Consumption")</f>
        <v>0</v>
      </c>
      <c r="J783" s="50">
        <f>SUMIFS('Stock Adjustment'!$E:$E,'Stock Adjustment'!$B:$B,$A783,'Stock Adjustment'!$D:$D,"Damaged")</f>
        <v>0</v>
      </c>
      <c r="K783" s="50">
        <f>SUMIFS('Stock Adjustment'!$E:$E,'Stock Adjustment'!$B:$B,$A783,'Stock Adjustment'!$D:$D,"Expired")</f>
        <v>0</v>
      </c>
      <c r="L783" s="50">
        <f>SUMIFS('Stock Adjustment'!$E:$E,'Stock Adjustment'!$B:$B,$A783,'Stock Adjustment'!$D:$D,"Supplier Returned")</f>
        <v>0</v>
      </c>
      <c r="M7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3" s="53" t="str">
        <f>IF(B783="","",VLOOKUP(B783,'Product Master'!$B:$G,4,FALSE))</f>
        <v/>
      </c>
      <c r="O783" s="53" t="str">
        <f>IF(B783="","",VLOOKUP(B783,'Product Master'!$B:$G,5,FALSE))</f>
        <v/>
      </c>
      <c r="P783" s="50" t="str">
        <f>IF(B783="","",VLOOKUP(B783,'Product Master'!$B:$I,7,FALSE))</f>
        <v/>
      </c>
      <c r="Q783" s="158"/>
      <c r="R783" s="58" t="str">
        <f t="shared" si="12"/>
        <v/>
      </c>
      <c r="S783" s="25"/>
      <c r="T783" s="25"/>
      <c r="U783" s="25"/>
      <c r="V783" s="25"/>
      <c r="W783" s="25"/>
      <c r="X783" s="25"/>
    </row>
    <row r="784" spans="1:24" x14ac:dyDescent="0.25">
      <c r="A784" s="31" t="s">
        <v>1344</v>
      </c>
      <c r="B784" s="32"/>
      <c r="C784" s="50" t="str">
        <f>IF(B784="","",VLOOKUP(B784,'Product Master'!$B:$G,2,FALSE))</f>
        <v/>
      </c>
      <c r="D784" s="50" t="str">
        <f>IF(B784="","",VLOOKUP(B784,'Product Master'!$B:$G,3,FALSE))</f>
        <v/>
      </c>
      <c r="E784" s="50"/>
      <c r="F784" s="50">
        <f>SUMIF('Stock Purchase'!$D:$D,B784,'Stock Purchase'!$F:$F)</f>
        <v>0</v>
      </c>
      <c r="G784" s="50">
        <f>SUMIFS('Stock Adjustment'!$E:$E,'Stock Adjustment'!$B:$B,$A784,'Stock Adjustment'!$D:$D,"Customer Returned")</f>
        <v>0</v>
      </c>
      <c r="H784" s="50">
        <f>SUMIF('Daily Sales Entry'!$D:$D,B784,'Daily Sales Entry'!$G:$G)</f>
        <v>0</v>
      </c>
      <c r="I784" s="50">
        <f>SUMIFS('Stock Adjustment'!$E:$E,'Stock Adjustment'!$B:$B,$A784,'Stock Adjustment'!$D:$D,"Staff Consumption")</f>
        <v>0</v>
      </c>
      <c r="J784" s="50">
        <f>SUMIFS('Stock Adjustment'!$E:$E,'Stock Adjustment'!$B:$B,$A784,'Stock Adjustment'!$D:$D,"Damaged")</f>
        <v>0</v>
      </c>
      <c r="K784" s="50">
        <f>SUMIFS('Stock Adjustment'!$E:$E,'Stock Adjustment'!$B:$B,$A784,'Stock Adjustment'!$D:$D,"Expired")</f>
        <v>0</v>
      </c>
      <c r="L784" s="50">
        <f>SUMIFS('Stock Adjustment'!$E:$E,'Stock Adjustment'!$B:$B,$A784,'Stock Adjustment'!$D:$D,"Supplier Returned")</f>
        <v>0</v>
      </c>
      <c r="M7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4" s="53" t="str">
        <f>IF(B784="","",VLOOKUP(B784,'Product Master'!$B:$G,4,FALSE))</f>
        <v/>
      </c>
      <c r="O784" s="53" t="str">
        <f>IF(B784="","",VLOOKUP(B784,'Product Master'!$B:$G,5,FALSE))</f>
        <v/>
      </c>
      <c r="P784" s="50" t="str">
        <f>IF(B784="","",VLOOKUP(B784,'Product Master'!$B:$I,7,FALSE))</f>
        <v/>
      </c>
      <c r="Q784" s="158"/>
      <c r="R784" s="58" t="str">
        <f t="shared" si="12"/>
        <v/>
      </c>
      <c r="S784" s="25"/>
      <c r="T784" s="25"/>
      <c r="U784" s="25"/>
      <c r="V784" s="25"/>
      <c r="W784" s="25"/>
      <c r="X784" s="25"/>
    </row>
    <row r="785" spans="1:24" x14ac:dyDescent="0.25">
      <c r="A785" s="31" t="s">
        <v>1345</v>
      </c>
      <c r="B785" s="32"/>
      <c r="C785" s="50" t="str">
        <f>IF(B785="","",VLOOKUP(B785,'Product Master'!$B:$G,2,FALSE))</f>
        <v/>
      </c>
      <c r="D785" s="50" t="str">
        <f>IF(B785="","",VLOOKUP(B785,'Product Master'!$B:$G,3,FALSE))</f>
        <v/>
      </c>
      <c r="E785" s="50"/>
      <c r="F785" s="50">
        <f>SUMIF('Stock Purchase'!$D:$D,B785,'Stock Purchase'!$F:$F)</f>
        <v>0</v>
      </c>
      <c r="G785" s="50">
        <f>SUMIFS('Stock Adjustment'!$E:$E,'Stock Adjustment'!$B:$B,$A785,'Stock Adjustment'!$D:$D,"Customer Returned")</f>
        <v>0</v>
      </c>
      <c r="H785" s="50">
        <f>SUMIF('Daily Sales Entry'!$D:$D,B785,'Daily Sales Entry'!$G:$G)</f>
        <v>0</v>
      </c>
      <c r="I785" s="50">
        <f>SUMIFS('Stock Adjustment'!$E:$E,'Stock Adjustment'!$B:$B,$A785,'Stock Adjustment'!$D:$D,"Staff Consumption")</f>
        <v>0</v>
      </c>
      <c r="J785" s="50">
        <f>SUMIFS('Stock Adjustment'!$E:$E,'Stock Adjustment'!$B:$B,$A785,'Stock Adjustment'!$D:$D,"Damaged")</f>
        <v>0</v>
      </c>
      <c r="K785" s="50">
        <f>SUMIFS('Stock Adjustment'!$E:$E,'Stock Adjustment'!$B:$B,$A785,'Stock Adjustment'!$D:$D,"Expired")</f>
        <v>0</v>
      </c>
      <c r="L785" s="50">
        <f>SUMIFS('Stock Adjustment'!$E:$E,'Stock Adjustment'!$B:$B,$A785,'Stock Adjustment'!$D:$D,"Supplier Returned")</f>
        <v>0</v>
      </c>
      <c r="M7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5" s="53" t="str">
        <f>IF(B785="","",VLOOKUP(B785,'Product Master'!$B:$G,4,FALSE))</f>
        <v/>
      </c>
      <c r="O785" s="53" t="str">
        <f>IF(B785="","",VLOOKUP(B785,'Product Master'!$B:$G,5,FALSE))</f>
        <v/>
      </c>
      <c r="P785" s="50" t="str">
        <f>IF(B785="","",VLOOKUP(B785,'Product Master'!$B:$I,7,FALSE))</f>
        <v/>
      </c>
      <c r="Q785" s="158"/>
      <c r="R785" s="58" t="str">
        <f t="shared" si="12"/>
        <v/>
      </c>
      <c r="S785" s="25"/>
      <c r="T785" s="25"/>
      <c r="U785" s="25"/>
      <c r="V785" s="25"/>
      <c r="W785" s="25"/>
      <c r="X785" s="25"/>
    </row>
    <row r="786" spans="1:24" x14ac:dyDescent="0.25">
      <c r="A786" s="31" t="s">
        <v>1346</v>
      </c>
      <c r="B786" s="32"/>
      <c r="C786" s="50" t="str">
        <f>IF(B786="","",VLOOKUP(B786,'Product Master'!$B:$G,2,FALSE))</f>
        <v/>
      </c>
      <c r="D786" s="50" t="str">
        <f>IF(B786="","",VLOOKUP(B786,'Product Master'!$B:$G,3,FALSE))</f>
        <v/>
      </c>
      <c r="E786" s="50"/>
      <c r="F786" s="50">
        <f>SUMIF('Stock Purchase'!$D:$D,B786,'Stock Purchase'!$F:$F)</f>
        <v>0</v>
      </c>
      <c r="G786" s="50">
        <f>SUMIFS('Stock Adjustment'!$E:$E,'Stock Adjustment'!$B:$B,$A786,'Stock Adjustment'!$D:$D,"Customer Returned")</f>
        <v>0</v>
      </c>
      <c r="H786" s="50">
        <f>SUMIF('Daily Sales Entry'!$D:$D,B786,'Daily Sales Entry'!$G:$G)</f>
        <v>0</v>
      </c>
      <c r="I786" s="50">
        <f>SUMIFS('Stock Adjustment'!$E:$E,'Stock Adjustment'!$B:$B,$A786,'Stock Adjustment'!$D:$D,"Staff Consumption")</f>
        <v>0</v>
      </c>
      <c r="J786" s="50">
        <f>SUMIFS('Stock Adjustment'!$E:$E,'Stock Adjustment'!$B:$B,$A786,'Stock Adjustment'!$D:$D,"Damaged")</f>
        <v>0</v>
      </c>
      <c r="K786" s="50">
        <f>SUMIFS('Stock Adjustment'!$E:$E,'Stock Adjustment'!$B:$B,$A786,'Stock Adjustment'!$D:$D,"Expired")</f>
        <v>0</v>
      </c>
      <c r="L786" s="50">
        <f>SUMIFS('Stock Adjustment'!$E:$E,'Stock Adjustment'!$B:$B,$A786,'Stock Adjustment'!$D:$D,"Supplier Returned")</f>
        <v>0</v>
      </c>
      <c r="M7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6" s="53" t="str">
        <f>IF(B786="","",VLOOKUP(B786,'Product Master'!$B:$G,4,FALSE))</f>
        <v/>
      </c>
      <c r="O786" s="53" t="str">
        <f>IF(B786="","",VLOOKUP(B786,'Product Master'!$B:$G,5,FALSE))</f>
        <v/>
      </c>
      <c r="P786" s="50" t="str">
        <f>IF(B786="","",VLOOKUP(B786,'Product Master'!$B:$I,7,FALSE))</f>
        <v/>
      </c>
      <c r="Q786" s="158"/>
      <c r="R786" s="58" t="str">
        <f t="shared" si="12"/>
        <v/>
      </c>
      <c r="S786" s="25"/>
      <c r="T786" s="25"/>
      <c r="U786" s="25"/>
      <c r="V786" s="25"/>
      <c r="W786" s="25"/>
      <c r="X786" s="25"/>
    </row>
    <row r="787" spans="1:24" x14ac:dyDescent="0.25">
      <c r="A787" s="31" t="s">
        <v>1347</v>
      </c>
      <c r="B787" s="32"/>
      <c r="C787" s="50" t="str">
        <f>IF(B787="","",VLOOKUP(B787,'Product Master'!$B:$G,2,FALSE))</f>
        <v/>
      </c>
      <c r="D787" s="50" t="str">
        <f>IF(B787="","",VLOOKUP(B787,'Product Master'!$B:$G,3,FALSE))</f>
        <v/>
      </c>
      <c r="E787" s="50"/>
      <c r="F787" s="50">
        <f>SUMIF('Stock Purchase'!$D:$D,B787,'Stock Purchase'!$F:$F)</f>
        <v>0</v>
      </c>
      <c r="G787" s="50">
        <f>SUMIFS('Stock Adjustment'!$E:$E,'Stock Adjustment'!$B:$B,$A787,'Stock Adjustment'!$D:$D,"Customer Returned")</f>
        <v>0</v>
      </c>
      <c r="H787" s="50">
        <f>SUMIF('Daily Sales Entry'!$D:$D,B787,'Daily Sales Entry'!$G:$G)</f>
        <v>0</v>
      </c>
      <c r="I787" s="50">
        <f>SUMIFS('Stock Adjustment'!$E:$E,'Stock Adjustment'!$B:$B,$A787,'Stock Adjustment'!$D:$D,"Staff Consumption")</f>
        <v>0</v>
      </c>
      <c r="J787" s="50">
        <f>SUMIFS('Stock Adjustment'!$E:$E,'Stock Adjustment'!$B:$B,$A787,'Stock Adjustment'!$D:$D,"Damaged")</f>
        <v>0</v>
      </c>
      <c r="K787" s="50">
        <f>SUMIFS('Stock Adjustment'!$E:$E,'Stock Adjustment'!$B:$B,$A787,'Stock Adjustment'!$D:$D,"Expired")</f>
        <v>0</v>
      </c>
      <c r="L787" s="50">
        <f>SUMIFS('Stock Adjustment'!$E:$E,'Stock Adjustment'!$B:$B,$A787,'Stock Adjustment'!$D:$D,"Supplier Returned")</f>
        <v>0</v>
      </c>
      <c r="M7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7" s="53" t="str">
        <f>IF(B787="","",VLOOKUP(B787,'Product Master'!$B:$G,4,FALSE))</f>
        <v/>
      </c>
      <c r="O787" s="53" t="str">
        <f>IF(B787="","",VLOOKUP(B787,'Product Master'!$B:$G,5,FALSE))</f>
        <v/>
      </c>
      <c r="P787" s="50" t="str">
        <f>IF(B787="","",VLOOKUP(B787,'Product Master'!$B:$I,7,FALSE))</f>
        <v/>
      </c>
      <c r="Q787" s="158"/>
      <c r="R787" s="58" t="str">
        <f t="shared" si="12"/>
        <v/>
      </c>
      <c r="S787" s="25"/>
      <c r="T787" s="25"/>
      <c r="U787" s="25"/>
      <c r="V787" s="25"/>
      <c r="W787" s="25"/>
      <c r="X787" s="25"/>
    </row>
    <row r="788" spans="1:24" x14ac:dyDescent="0.25">
      <c r="A788" s="31" t="s">
        <v>1348</v>
      </c>
      <c r="B788" s="32"/>
      <c r="C788" s="50" t="str">
        <f>IF(B788="","",VLOOKUP(B788,'Product Master'!$B:$G,2,FALSE))</f>
        <v/>
      </c>
      <c r="D788" s="50" t="str">
        <f>IF(B788="","",VLOOKUP(B788,'Product Master'!$B:$G,3,FALSE))</f>
        <v/>
      </c>
      <c r="E788" s="50"/>
      <c r="F788" s="50">
        <f>SUMIF('Stock Purchase'!$D:$D,B788,'Stock Purchase'!$F:$F)</f>
        <v>0</v>
      </c>
      <c r="G788" s="50">
        <f>SUMIFS('Stock Adjustment'!$E:$E,'Stock Adjustment'!$B:$B,$A788,'Stock Adjustment'!$D:$D,"Customer Returned")</f>
        <v>0</v>
      </c>
      <c r="H788" s="50">
        <f>SUMIF('Daily Sales Entry'!$D:$D,B788,'Daily Sales Entry'!$G:$G)</f>
        <v>0</v>
      </c>
      <c r="I788" s="50">
        <f>SUMIFS('Stock Adjustment'!$E:$E,'Stock Adjustment'!$B:$B,$A788,'Stock Adjustment'!$D:$D,"Staff Consumption")</f>
        <v>0</v>
      </c>
      <c r="J788" s="50">
        <f>SUMIFS('Stock Adjustment'!$E:$E,'Stock Adjustment'!$B:$B,$A788,'Stock Adjustment'!$D:$D,"Damaged")</f>
        <v>0</v>
      </c>
      <c r="K788" s="50">
        <f>SUMIFS('Stock Adjustment'!$E:$E,'Stock Adjustment'!$B:$B,$A788,'Stock Adjustment'!$D:$D,"Expired")</f>
        <v>0</v>
      </c>
      <c r="L788" s="50">
        <f>SUMIFS('Stock Adjustment'!$E:$E,'Stock Adjustment'!$B:$B,$A788,'Stock Adjustment'!$D:$D,"Supplier Returned")</f>
        <v>0</v>
      </c>
      <c r="M7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8" s="53" t="str">
        <f>IF(B788="","",VLOOKUP(B788,'Product Master'!$B:$G,4,FALSE))</f>
        <v/>
      </c>
      <c r="O788" s="53" t="str">
        <f>IF(B788="","",VLOOKUP(B788,'Product Master'!$B:$G,5,FALSE))</f>
        <v/>
      </c>
      <c r="P788" s="50" t="str">
        <f>IF(B788="","",VLOOKUP(B788,'Product Master'!$B:$I,7,FALSE))</f>
        <v/>
      </c>
      <c r="Q788" s="158"/>
      <c r="R788" s="58" t="str">
        <f t="shared" si="12"/>
        <v/>
      </c>
      <c r="S788" s="25"/>
      <c r="T788" s="25"/>
      <c r="U788" s="25"/>
      <c r="V788" s="25"/>
      <c r="W788" s="25"/>
      <c r="X788" s="25"/>
    </row>
    <row r="789" spans="1:24" x14ac:dyDescent="0.25">
      <c r="A789" s="31" t="s">
        <v>1349</v>
      </c>
      <c r="B789" s="32"/>
      <c r="C789" s="50" t="str">
        <f>IF(B789="","",VLOOKUP(B789,'Product Master'!$B:$G,2,FALSE))</f>
        <v/>
      </c>
      <c r="D789" s="50" t="str">
        <f>IF(B789="","",VLOOKUP(B789,'Product Master'!$B:$G,3,FALSE))</f>
        <v/>
      </c>
      <c r="E789" s="50"/>
      <c r="F789" s="50">
        <f>SUMIF('Stock Purchase'!$D:$D,B789,'Stock Purchase'!$F:$F)</f>
        <v>0</v>
      </c>
      <c r="G789" s="50">
        <f>SUMIFS('Stock Adjustment'!$E:$E,'Stock Adjustment'!$B:$B,$A789,'Stock Adjustment'!$D:$D,"Customer Returned")</f>
        <v>0</v>
      </c>
      <c r="H789" s="50">
        <f>SUMIF('Daily Sales Entry'!$D:$D,B789,'Daily Sales Entry'!$G:$G)</f>
        <v>0</v>
      </c>
      <c r="I789" s="50">
        <f>SUMIFS('Stock Adjustment'!$E:$E,'Stock Adjustment'!$B:$B,$A789,'Stock Adjustment'!$D:$D,"Staff Consumption")</f>
        <v>0</v>
      </c>
      <c r="J789" s="50">
        <f>SUMIFS('Stock Adjustment'!$E:$E,'Stock Adjustment'!$B:$B,$A789,'Stock Adjustment'!$D:$D,"Damaged")</f>
        <v>0</v>
      </c>
      <c r="K789" s="50">
        <f>SUMIFS('Stock Adjustment'!$E:$E,'Stock Adjustment'!$B:$B,$A789,'Stock Adjustment'!$D:$D,"Expired")</f>
        <v>0</v>
      </c>
      <c r="L789" s="50">
        <f>SUMIFS('Stock Adjustment'!$E:$E,'Stock Adjustment'!$B:$B,$A789,'Stock Adjustment'!$D:$D,"Supplier Returned")</f>
        <v>0</v>
      </c>
      <c r="M7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89" s="53" t="str">
        <f>IF(B789="","",VLOOKUP(B789,'Product Master'!$B:$G,4,FALSE))</f>
        <v/>
      </c>
      <c r="O789" s="53" t="str">
        <f>IF(B789="","",VLOOKUP(B789,'Product Master'!$B:$G,5,FALSE))</f>
        <v/>
      </c>
      <c r="P789" s="50" t="str">
        <f>IF(B789="","",VLOOKUP(B789,'Product Master'!$B:$I,7,FALSE))</f>
        <v/>
      </c>
      <c r="Q789" s="158"/>
      <c r="R789" s="58" t="str">
        <f t="shared" si="12"/>
        <v/>
      </c>
      <c r="S789" s="25"/>
      <c r="T789" s="25"/>
      <c r="U789" s="25"/>
      <c r="V789" s="25"/>
      <c r="W789" s="25"/>
      <c r="X789" s="25"/>
    </row>
    <row r="790" spans="1:24" x14ac:dyDescent="0.25">
      <c r="A790" s="31" t="s">
        <v>1350</v>
      </c>
      <c r="B790" s="32"/>
      <c r="C790" s="50" t="str">
        <f>IF(B790="","",VLOOKUP(B790,'Product Master'!$B:$G,2,FALSE))</f>
        <v/>
      </c>
      <c r="D790" s="50" t="str">
        <f>IF(B790="","",VLOOKUP(B790,'Product Master'!$B:$G,3,FALSE))</f>
        <v/>
      </c>
      <c r="E790" s="50"/>
      <c r="F790" s="50">
        <f>SUMIF('Stock Purchase'!$D:$D,B790,'Stock Purchase'!$F:$F)</f>
        <v>0</v>
      </c>
      <c r="G790" s="50">
        <f>SUMIFS('Stock Adjustment'!$E:$E,'Stock Adjustment'!$B:$B,$A790,'Stock Adjustment'!$D:$D,"Customer Returned")</f>
        <v>0</v>
      </c>
      <c r="H790" s="50">
        <f>SUMIF('Daily Sales Entry'!$D:$D,B790,'Daily Sales Entry'!$G:$G)</f>
        <v>0</v>
      </c>
      <c r="I790" s="50">
        <f>SUMIFS('Stock Adjustment'!$E:$E,'Stock Adjustment'!$B:$B,$A790,'Stock Adjustment'!$D:$D,"Staff Consumption")</f>
        <v>0</v>
      </c>
      <c r="J790" s="50">
        <f>SUMIFS('Stock Adjustment'!$E:$E,'Stock Adjustment'!$B:$B,$A790,'Stock Adjustment'!$D:$D,"Damaged")</f>
        <v>0</v>
      </c>
      <c r="K790" s="50">
        <f>SUMIFS('Stock Adjustment'!$E:$E,'Stock Adjustment'!$B:$B,$A790,'Stock Adjustment'!$D:$D,"Expired")</f>
        <v>0</v>
      </c>
      <c r="L790" s="50">
        <f>SUMIFS('Stock Adjustment'!$E:$E,'Stock Adjustment'!$B:$B,$A790,'Stock Adjustment'!$D:$D,"Supplier Returned")</f>
        <v>0</v>
      </c>
      <c r="M7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0" s="53" t="str">
        <f>IF(B790="","",VLOOKUP(B790,'Product Master'!$B:$G,4,FALSE))</f>
        <v/>
      </c>
      <c r="O790" s="53" t="str">
        <f>IF(B790="","",VLOOKUP(B790,'Product Master'!$B:$G,5,FALSE))</f>
        <v/>
      </c>
      <c r="P790" s="50" t="str">
        <f>IF(B790="","",VLOOKUP(B790,'Product Master'!$B:$I,7,FALSE))</f>
        <v/>
      </c>
      <c r="Q790" s="158"/>
      <c r="R790" s="58" t="str">
        <f t="shared" si="12"/>
        <v/>
      </c>
      <c r="S790" s="25"/>
      <c r="T790" s="25"/>
      <c r="U790" s="25"/>
      <c r="V790" s="25"/>
      <c r="W790" s="25"/>
      <c r="X790" s="25"/>
    </row>
    <row r="791" spans="1:24" x14ac:dyDescent="0.25">
      <c r="A791" s="31" t="s">
        <v>1351</v>
      </c>
      <c r="B791" s="32"/>
      <c r="C791" s="50" t="str">
        <f>IF(B791="","",VLOOKUP(B791,'Product Master'!$B:$G,2,FALSE))</f>
        <v/>
      </c>
      <c r="D791" s="50" t="str">
        <f>IF(B791="","",VLOOKUP(B791,'Product Master'!$B:$G,3,FALSE))</f>
        <v/>
      </c>
      <c r="E791" s="50"/>
      <c r="F791" s="50">
        <f>SUMIF('Stock Purchase'!$D:$D,B791,'Stock Purchase'!$F:$F)</f>
        <v>0</v>
      </c>
      <c r="G791" s="50">
        <f>SUMIFS('Stock Adjustment'!$E:$E,'Stock Adjustment'!$B:$B,$A791,'Stock Adjustment'!$D:$D,"Customer Returned")</f>
        <v>0</v>
      </c>
      <c r="H791" s="50">
        <f>SUMIF('Daily Sales Entry'!$D:$D,B791,'Daily Sales Entry'!$G:$G)</f>
        <v>0</v>
      </c>
      <c r="I791" s="50">
        <f>SUMIFS('Stock Adjustment'!$E:$E,'Stock Adjustment'!$B:$B,$A791,'Stock Adjustment'!$D:$D,"Staff Consumption")</f>
        <v>0</v>
      </c>
      <c r="J791" s="50">
        <f>SUMIFS('Stock Adjustment'!$E:$E,'Stock Adjustment'!$B:$B,$A791,'Stock Adjustment'!$D:$D,"Damaged")</f>
        <v>0</v>
      </c>
      <c r="K791" s="50">
        <f>SUMIFS('Stock Adjustment'!$E:$E,'Stock Adjustment'!$B:$B,$A791,'Stock Adjustment'!$D:$D,"Expired")</f>
        <v>0</v>
      </c>
      <c r="L791" s="50">
        <f>SUMIFS('Stock Adjustment'!$E:$E,'Stock Adjustment'!$B:$B,$A791,'Stock Adjustment'!$D:$D,"Supplier Returned")</f>
        <v>0</v>
      </c>
      <c r="M7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1" s="53" t="str">
        <f>IF(B791="","",VLOOKUP(B791,'Product Master'!$B:$G,4,FALSE))</f>
        <v/>
      </c>
      <c r="O791" s="53" t="str">
        <f>IF(B791="","",VLOOKUP(B791,'Product Master'!$B:$G,5,FALSE))</f>
        <v/>
      </c>
      <c r="P791" s="50" t="str">
        <f>IF(B791="","",VLOOKUP(B791,'Product Master'!$B:$I,7,FALSE))</f>
        <v/>
      </c>
      <c r="Q791" s="158"/>
      <c r="R791" s="58" t="str">
        <f t="shared" si="12"/>
        <v/>
      </c>
      <c r="S791" s="25"/>
      <c r="T791" s="25"/>
      <c r="U791" s="25"/>
      <c r="V791" s="25"/>
      <c r="W791" s="25"/>
      <c r="X791" s="25"/>
    </row>
    <row r="792" spans="1:24" x14ac:dyDescent="0.25">
      <c r="A792" s="31" t="s">
        <v>1352</v>
      </c>
      <c r="B792" s="32"/>
      <c r="C792" s="50" t="str">
        <f>IF(B792="","",VLOOKUP(B792,'Product Master'!$B:$G,2,FALSE))</f>
        <v/>
      </c>
      <c r="D792" s="50" t="str">
        <f>IF(B792="","",VLOOKUP(B792,'Product Master'!$B:$G,3,FALSE))</f>
        <v/>
      </c>
      <c r="E792" s="50"/>
      <c r="F792" s="50">
        <f>SUMIF('Stock Purchase'!$D:$D,B792,'Stock Purchase'!$F:$F)</f>
        <v>0</v>
      </c>
      <c r="G792" s="50">
        <f>SUMIFS('Stock Adjustment'!$E:$E,'Stock Adjustment'!$B:$B,$A792,'Stock Adjustment'!$D:$D,"Customer Returned")</f>
        <v>0</v>
      </c>
      <c r="H792" s="50">
        <f>SUMIF('Daily Sales Entry'!$D:$D,B792,'Daily Sales Entry'!$G:$G)</f>
        <v>0</v>
      </c>
      <c r="I792" s="50">
        <f>SUMIFS('Stock Adjustment'!$E:$E,'Stock Adjustment'!$B:$B,$A792,'Stock Adjustment'!$D:$D,"Staff Consumption")</f>
        <v>0</v>
      </c>
      <c r="J792" s="50">
        <f>SUMIFS('Stock Adjustment'!$E:$E,'Stock Adjustment'!$B:$B,$A792,'Stock Adjustment'!$D:$D,"Damaged")</f>
        <v>0</v>
      </c>
      <c r="K792" s="50">
        <f>SUMIFS('Stock Adjustment'!$E:$E,'Stock Adjustment'!$B:$B,$A792,'Stock Adjustment'!$D:$D,"Expired")</f>
        <v>0</v>
      </c>
      <c r="L792" s="50">
        <f>SUMIFS('Stock Adjustment'!$E:$E,'Stock Adjustment'!$B:$B,$A792,'Stock Adjustment'!$D:$D,"Supplier Returned")</f>
        <v>0</v>
      </c>
      <c r="M7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2" s="53" t="str">
        <f>IF(B792="","",VLOOKUP(B792,'Product Master'!$B:$G,4,FALSE))</f>
        <v/>
      </c>
      <c r="O792" s="53" t="str">
        <f>IF(B792="","",VLOOKUP(B792,'Product Master'!$B:$G,5,FALSE))</f>
        <v/>
      </c>
      <c r="P792" s="50" t="str">
        <f>IF(B792="","",VLOOKUP(B792,'Product Master'!$B:$I,7,FALSE))</f>
        <v/>
      </c>
      <c r="Q792" s="158"/>
      <c r="R792" s="58" t="str">
        <f t="shared" si="12"/>
        <v/>
      </c>
      <c r="S792" s="25"/>
      <c r="T792" s="25"/>
      <c r="U792" s="25"/>
      <c r="V792" s="25"/>
      <c r="W792" s="25"/>
      <c r="X792" s="25"/>
    </row>
    <row r="793" spans="1:24" x14ac:dyDescent="0.25">
      <c r="A793" s="31" t="s">
        <v>1353</v>
      </c>
      <c r="B793" s="32"/>
      <c r="C793" s="50" t="str">
        <f>IF(B793="","",VLOOKUP(B793,'Product Master'!$B:$G,2,FALSE))</f>
        <v/>
      </c>
      <c r="D793" s="50" t="str">
        <f>IF(B793="","",VLOOKUP(B793,'Product Master'!$B:$G,3,FALSE))</f>
        <v/>
      </c>
      <c r="E793" s="50"/>
      <c r="F793" s="50">
        <f>SUMIF('Stock Purchase'!$D:$D,B793,'Stock Purchase'!$F:$F)</f>
        <v>0</v>
      </c>
      <c r="G793" s="50">
        <f>SUMIFS('Stock Adjustment'!$E:$E,'Stock Adjustment'!$B:$B,$A793,'Stock Adjustment'!$D:$D,"Customer Returned")</f>
        <v>0</v>
      </c>
      <c r="H793" s="50">
        <f>SUMIF('Daily Sales Entry'!$D:$D,B793,'Daily Sales Entry'!$G:$G)</f>
        <v>0</v>
      </c>
      <c r="I793" s="50">
        <f>SUMIFS('Stock Adjustment'!$E:$E,'Stock Adjustment'!$B:$B,$A793,'Stock Adjustment'!$D:$D,"Staff Consumption")</f>
        <v>0</v>
      </c>
      <c r="J793" s="50">
        <f>SUMIFS('Stock Adjustment'!$E:$E,'Stock Adjustment'!$B:$B,$A793,'Stock Adjustment'!$D:$D,"Damaged")</f>
        <v>0</v>
      </c>
      <c r="K793" s="50">
        <f>SUMIFS('Stock Adjustment'!$E:$E,'Stock Adjustment'!$B:$B,$A793,'Stock Adjustment'!$D:$D,"Expired")</f>
        <v>0</v>
      </c>
      <c r="L793" s="50">
        <f>SUMIFS('Stock Adjustment'!$E:$E,'Stock Adjustment'!$B:$B,$A793,'Stock Adjustment'!$D:$D,"Supplier Returned")</f>
        <v>0</v>
      </c>
      <c r="M7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3" s="53" t="str">
        <f>IF(B793="","",VLOOKUP(B793,'Product Master'!$B:$G,4,FALSE))</f>
        <v/>
      </c>
      <c r="O793" s="53" t="str">
        <f>IF(B793="","",VLOOKUP(B793,'Product Master'!$B:$G,5,FALSE))</f>
        <v/>
      </c>
      <c r="P793" s="50" t="str">
        <f>IF(B793="","",VLOOKUP(B793,'Product Master'!$B:$I,7,FALSE))</f>
        <v/>
      </c>
      <c r="Q793" s="158"/>
      <c r="R793" s="58" t="str">
        <f t="shared" si="12"/>
        <v/>
      </c>
      <c r="S793" s="25"/>
      <c r="T793" s="25"/>
      <c r="U793" s="25"/>
      <c r="V793" s="25"/>
      <c r="W793" s="25"/>
      <c r="X793" s="25"/>
    </row>
    <row r="794" spans="1:24" x14ac:dyDescent="0.25">
      <c r="A794" s="31" t="s">
        <v>1354</v>
      </c>
      <c r="B794" s="32"/>
      <c r="C794" s="50" t="str">
        <f>IF(B794="","",VLOOKUP(B794,'Product Master'!$B:$G,2,FALSE))</f>
        <v/>
      </c>
      <c r="D794" s="50" t="str">
        <f>IF(B794="","",VLOOKUP(B794,'Product Master'!$B:$G,3,FALSE))</f>
        <v/>
      </c>
      <c r="E794" s="50"/>
      <c r="F794" s="50">
        <f>SUMIF('Stock Purchase'!$D:$D,B794,'Stock Purchase'!$F:$F)</f>
        <v>0</v>
      </c>
      <c r="G794" s="50">
        <f>SUMIFS('Stock Adjustment'!$E:$E,'Stock Adjustment'!$B:$B,$A794,'Stock Adjustment'!$D:$D,"Customer Returned")</f>
        <v>0</v>
      </c>
      <c r="H794" s="50">
        <f>SUMIF('Daily Sales Entry'!$D:$D,B794,'Daily Sales Entry'!$G:$G)</f>
        <v>0</v>
      </c>
      <c r="I794" s="50">
        <f>SUMIFS('Stock Adjustment'!$E:$E,'Stock Adjustment'!$B:$B,$A794,'Stock Adjustment'!$D:$D,"Staff Consumption")</f>
        <v>0</v>
      </c>
      <c r="J794" s="50">
        <f>SUMIFS('Stock Adjustment'!$E:$E,'Stock Adjustment'!$B:$B,$A794,'Stock Adjustment'!$D:$D,"Damaged")</f>
        <v>0</v>
      </c>
      <c r="K794" s="50">
        <f>SUMIFS('Stock Adjustment'!$E:$E,'Stock Adjustment'!$B:$B,$A794,'Stock Adjustment'!$D:$D,"Expired")</f>
        <v>0</v>
      </c>
      <c r="L794" s="50">
        <f>SUMIFS('Stock Adjustment'!$E:$E,'Stock Adjustment'!$B:$B,$A794,'Stock Adjustment'!$D:$D,"Supplier Returned")</f>
        <v>0</v>
      </c>
      <c r="M7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4" s="53" t="str">
        <f>IF(B794="","",VLOOKUP(B794,'Product Master'!$B:$G,4,FALSE))</f>
        <v/>
      </c>
      <c r="O794" s="53" t="str">
        <f>IF(B794="","",VLOOKUP(B794,'Product Master'!$B:$G,5,FALSE))</f>
        <v/>
      </c>
      <c r="P794" s="50" t="str">
        <f>IF(B794="","",VLOOKUP(B794,'Product Master'!$B:$I,7,FALSE))</f>
        <v/>
      </c>
      <c r="Q794" s="158"/>
      <c r="R794" s="58" t="str">
        <f t="shared" si="12"/>
        <v/>
      </c>
      <c r="S794" s="25"/>
      <c r="T794" s="25"/>
      <c r="U794" s="25"/>
      <c r="V794" s="25"/>
      <c r="W794" s="25"/>
      <c r="X794" s="25"/>
    </row>
    <row r="795" spans="1:24" x14ac:dyDescent="0.25">
      <c r="A795" s="31" t="s">
        <v>1355</v>
      </c>
      <c r="B795" s="32"/>
      <c r="C795" s="50" t="str">
        <f>IF(B795="","",VLOOKUP(B795,'Product Master'!$B:$G,2,FALSE))</f>
        <v/>
      </c>
      <c r="D795" s="50" t="str">
        <f>IF(B795="","",VLOOKUP(B795,'Product Master'!$B:$G,3,FALSE))</f>
        <v/>
      </c>
      <c r="E795" s="50"/>
      <c r="F795" s="50">
        <f>SUMIF('Stock Purchase'!$D:$D,B795,'Stock Purchase'!$F:$F)</f>
        <v>0</v>
      </c>
      <c r="G795" s="50">
        <f>SUMIFS('Stock Adjustment'!$E:$E,'Stock Adjustment'!$B:$B,$A795,'Stock Adjustment'!$D:$D,"Customer Returned")</f>
        <v>0</v>
      </c>
      <c r="H795" s="50">
        <f>SUMIF('Daily Sales Entry'!$D:$D,B795,'Daily Sales Entry'!$G:$G)</f>
        <v>0</v>
      </c>
      <c r="I795" s="50">
        <f>SUMIFS('Stock Adjustment'!$E:$E,'Stock Adjustment'!$B:$B,$A795,'Stock Adjustment'!$D:$D,"Staff Consumption")</f>
        <v>0</v>
      </c>
      <c r="J795" s="50">
        <f>SUMIFS('Stock Adjustment'!$E:$E,'Stock Adjustment'!$B:$B,$A795,'Stock Adjustment'!$D:$D,"Damaged")</f>
        <v>0</v>
      </c>
      <c r="K795" s="50">
        <f>SUMIFS('Stock Adjustment'!$E:$E,'Stock Adjustment'!$B:$B,$A795,'Stock Adjustment'!$D:$D,"Expired")</f>
        <v>0</v>
      </c>
      <c r="L795" s="50">
        <f>SUMIFS('Stock Adjustment'!$E:$E,'Stock Adjustment'!$B:$B,$A795,'Stock Adjustment'!$D:$D,"Supplier Returned")</f>
        <v>0</v>
      </c>
      <c r="M7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5" s="53" t="str">
        <f>IF(B795="","",VLOOKUP(B795,'Product Master'!$B:$G,4,FALSE))</f>
        <v/>
      </c>
      <c r="O795" s="53" t="str">
        <f>IF(B795="","",VLOOKUP(B795,'Product Master'!$B:$G,5,FALSE))</f>
        <v/>
      </c>
      <c r="P795" s="50" t="str">
        <f>IF(B795="","",VLOOKUP(B795,'Product Master'!$B:$I,7,FALSE))</f>
        <v/>
      </c>
      <c r="Q795" s="158"/>
      <c r="R795" s="58" t="str">
        <f t="shared" si="12"/>
        <v/>
      </c>
      <c r="S795" s="25"/>
      <c r="T795" s="25"/>
      <c r="U795" s="25"/>
      <c r="V795" s="25"/>
      <c r="W795" s="25"/>
      <c r="X795" s="25"/>
    </row>
    <row r="796" spans="1:24" x14ac:dyDescent="0.25">
      <c r="A796" s="31" t="s">
        <v>1356</v>
      </c>
      <c r="B796" s="32"/>
      <c r="C796" s="50" t="str">
        <f>IF(B796="","",VLOOKUP(B796,'Product Master'!$B:$G,2,FALSE))</f>
        <v/>
      </c>
      <c r="D796" s="50" t="str">
        <f>IF(B796="","",VLOOKUP(B796,'Product Master'!$B:$G,3,FALSE))</f>
        <v/>
      </c>
      <c r="E796" s="50"/>
      <c r="F796" s="50">
        <f>SUMIF('Stock Purchase'!$D:$D,B796,'Stock Purchase'!$F:$F)</f>
        <v>0</v>
      </c>
      <c r="G796" s="50">
        <f>SUMIFS('Stock Adjustment'!$E:$E,'Stock Adjustment'!$B:$B,$A796,'Stock Adjustment'!$D:$D,"Customer Returned")</f>
        <v>0</v>
      </c>
      <c r="H796" s="50">
        <f>SUMIF('Daily Sales Entry'!$D:$D,B796,'Daily Sales Entry'!$G:$G)</f>
        <v>0</v>
      </c>
      <c r="I796" s="50">
        <f>SUMIFS('Stock Adjustment'!$E:$E,'Stock Adjustment'!$B:$B,$A796,'Stock Adjustment'!$D:$D,"Staff Consumption")</f>
        <v>0</v>
      </c>
      <c r="J796" s="50">
        <f>SUMIFS('Stock Adjustment'!$E:$E,'Stock Adjustment'!$B:$B,$A796,'Stock Adjustment'!$D:$D,"Damaged")</f>
        <v>0</v>
      </c>
      <c r="K796" s="50">
        <f>SUMIFS('Stock Adjustment'!$E:$E,'Stock Adjustment'!$B:$B,$A796,'Stock Adjustment'!$D:$D,"Expired")</f>
        <v>0</v>
      </c>
      <c r="L796" s="50">
        <f>SUMIFS('Stock Adjustment'!$E:$E,'Stock Adjustment'!$B:$B,$A796,'Stock Adjustment'!$D:$D,"Supplier Returned")</f>
        <v>0</v>
      </c>
      <c r="M7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6" s="53" t="str">
        <f>IF(B796="","",VLOOKUP(B796,'Product Master'!$B:$G,4,FALSE))</f>
        <v/>
      </c>
      <c r="O796" s="53" t="str">
        <f>IF(B796="","",VLOOKUP(B796,'Product Master'!$B:$G,5,FALSE))</f>
        <v/>
      </c>
      <c r="P796" s="50" t="str">
        <f>IF(B796="","",VLOOKUP(B796,'Product Master'!$B:$I,7,FALSE))</f>
        <v/>
      </c>
      <c r="Q796" s="158"/>
      <c r="R796" s="58" t="str">
        <f t="shared" si="12"/>
        <v/>
      </c>
      <c r="S796" s="25"/>
      <c r="T796" s="25"/>
      <c r="U796" s="25"/>
      <c r="V796" s="25"/>
      <c r="W796" s="25"/>
      <c r="X796" s="25"/>
    </row>
    <row r="797" spans="1:24" x14ac:dyDescent="0.25">
      <c r="A797" s="31" t="s">
        <v>1357</v>
      </c>
      <c r="B797" s="32"/>
      <c r="C797" s="50" t="str">
        <f>IF(B797="","",VLOOKUP(B797,'Product Master'!$B:$G,2,FALSE))</f>
        <v/>
      </c>
      <c r="D797" s="50" t="str">
        <f>IF(B797="","",VLOOKUP(B797,'Product Master'!$B:$G,3,FALSE))</f>
        <v/>
      </c>
      <c r="E797" s="50"/>
      <c r="F797" s="50">
        <f>SUMIF('Stock Purchase'!$D:$D,B797,'Stock Purchase'!$F:$F)</f>
        <v>0</v>
      </c>
      <c r="G797" s="50">
        <f>SUMIFS('Stock Adjustment'!$E:$E,'Stock Adjustment'!$B:$B,$A797,'Stock Adjustment'!$D:$D,"Customer Returned")</f>
        <v>0</v>
      </c>
      <c r="H797" s="50">
        <f>SUMIF('Daily Sales Entry'!$D:$D,B797,'Daily Sales Entry'!$G:$G)</f>
        <v>0</v>
      </c>
      <c r="I797" s="50">
        <f>SUMIFS('Stock Adjustment'!$E:$E,'Stock Adjustment'!$B:$B,$A797,'Stock Adjustment'!$D:$D,"Staff Consumption")</f>
        <v>0</v>
      </c>
      <c r="J797" s="50">
        <f>SUMIFS('Stock Adjustment'!$E:$E,'Stock Adjustment'!$B:$B,$A797,'Stock Adjustment'!$D:$D,"Damaged")</f>
        <v>0</v>
      </c>
      <c r="K797" s="50">
        <f>SUMIFS('Stock Adjustment'!$E:$E,'Stock Adjustment'!$B:$B,$A797,'Stock Adjustment'!$D:$D,"Expired")</f>
        <v>0</v>
      </c>
      <c r="L797" s="50">
        <f>SUMIFS('Stock Adjustment'!$E:$E,'Stock Adjustment'!$B:$B,$A797,'Stock Adjustment'!$D:$D,"Supplier Returned")</f>
        <v>0</v>
      </c>
      <c r="M7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7" s="53" t="str">
        <f>IF(B797="","",VLOOKUP(B797,'Product Master'!$B:$G,4,FALSE))</f>
        <v/>
      </c>
      <c r="O797" s="53" t="str">
        <f>IF(B797="","",VLOOKUP(B797,'Product Master'!$B:$G,5,FALSE))</f>
        <v/>
      </c>
      <c r="P797" s="50" t="str">
        <f>IF(B797="","",VLOOKUP(B797,'Product Master'!$B:$I,7,FALSE))</f>
        <v/>
      </c>
      <c r="Q797" s="158"/>
      <c r="R797" s="58" t="str">
        <f t="shared" si="12"/>
        <v/>
      </c>
      <c r="S797" s="25"/>
      <c r="T797" s="25"/>
      <c r="U797" s="25"/>
      <c r="V797" s="25"/>
      <c r="W797" s="25"/>
      <c r="X797" s="25"/>
    </row>
    <row r="798" spans="1:24" x14ac:dyDescent="0.25">
      <c r="A798" s="31" t="s">
        <v>1358</v>
      </c>
      <c r="B798" s="32"/>
      <c r="C798" s="50" t="str">
        <f>IF(B798="","",VLOOKUP(B798,'Product Master'!$B:$G,2,FALSE))</f>
        <v/>
      </c>
      <c r="D798" s="50" t="str">
        <f>IF(B798="","",VLOOKUP(B798,'Product Master'!$B:$G,3,FALSE))</f>
        <v/>
      </c>
      <c r="E798" s="50"/>
      <c r="F798" s="50">
        <f>SUMIF('Stock Purchase'!$D:$D,B798,'Stock Purchase'!$F:$F)</f>
        <v>0</v>
      </c>
      <c r="G798" s="50">
        <f>SUMIFS('Stock Adjustment'!$E:$E,'Stock Adjustment'!$B:$B,$A798,'Stock Adjustment'!$D:$D,"Customer Returned")</f>
        <v>0</v>
      </c>
      <c r="H798" s="50">
        <f>SUMIF('Daily Sales Entry'!$D:$D,B798,'Daily Sales Entry'!$G:$G)</f>
        <v>0</v>
      </c>
      <c r="I798" s="50">
        <f>SUMIFS('Stock Adjustment'!$E:$E,'Stock Adjustment'!$B:$B,$A798,'Stock Adjustment'!$D:$D,"Staff Consumption")</f>
        <v>0</v>
      </c>
      <c r="J798" s="50">
        <f>SUMIFS('Stock Adjustment'!$E:$E,'Stock Adjustment'!$B:$B,$A798,'Stock Adjustment'!$D:$D,"Damaged")</f>
        <v>0</v>
      </c>
      <c r="K798" s="50">
        <f>SUMIFS('Stock Adjustment'!$E:$E,'Stock Adjustment'!$B:$B,$A798,'Stock Adjustment'!$D:$D,"Expired")</f>
        <v>0</v>
      </c>
      <c r="L798" s="50">
        <f>SUMIFS('Stock Adjustment'!$E:$E,'Stock Adjustment'!$B:$B,$A798,'Stock Adjustment'!$D:$D,"Supplier Returned")</f>
        <v>0</v>
      </c>
      <c r="M7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8" s="53" t="str">
        <f>IF(B798="","",VLOOKUP(B798,'Product Master'!$B:$G,4,FALSE))</f>
        <v/>
      </c>
      <c r="O798" s="53" t="str">
        <f>IF(B798="","",VLOOKUP(B798,'Product Master'!$B:$G,5,FALSE))</f>
        <v/>
      </c>
      <c r="P798" s="50" t="str">
        <f>IF(B798="","",VLOOKUP(B798,'Product Master'!$B:$I,7,FALSE))</f>
        <v/>
      </c>
      <c r="Q798" s="158"/>
      <c r="R798" s="58" t="str">
        <f t="shared" si="12"/>
        <v/>
      </c>
      <c r="S798" s="25"/>
      <c r="T798" s="25"/>
      <c r="U798" s="25"/>
      <c r="V798" s="25"/>
      <c r="W798" s="25"/>
      <c r="X798" s="25"/>
    </row>
    <row r="799" spans="1:24" x14ac:dyDescent="0.25">
      <c r="A799" s="31" t="s">
        <v>1359</v>
      </c>
      <c r="B799" s="32"/>
      <c r="C799" s="50" t="str">
        <f>IF(B799="","",VLOOKUP(B799,'Product Master'!$B:$G,2,FALSE))</f>
        <v/>
      </c>
      <c r="D799" s="50" t="str">
        <f>IF(B799="","",VLOOKUP(B799,'Product Master'!$B:$G,3,FALSE))</f>
        <v/>
      </c>
      <c r="E799" s="50"/>
      <c r="F799" s="50">
        <f>SUMIF('Stock Purchase'!$D:$D,B799,'Stock Purchase'!$F:$F)</f>
        <v>0</v>
      </c>
      <c r="G799" s="50">
        <f>SUMIFS('Stock Adjustment'!$E:$E,'Stock Adjustment'!$B:$B,$A799,'Stock Adjustment'!$D:$D,"Customer Returned")</f>
        <v>0</v>
      </c>
      <c r="H799" s="50">
        <f>SUMIF('Daily Sales Entry'!$D:$D,B799,'Daily Sales Entry'!$G:$G)</f>
        <v>0</v>
      </c>
      <c r="I799" s="50">
        <f>SUMIFS('Stock Adjustment'!$E:$E,'Stock Adjustment'!$B:$B,$A799,'Stock Adjustment'!$D:$D,"Staff Consumption")</f>
        <v>0</v>
      </c>
      <c r="J799" s="50">
        <f>SUMIFS('Stock Adjustment'!$E:$E,'Stock Adjustment'!$B:$B,$A799,'Stock Adjustment'!$D:$D,"Damaged")</f>
        <v>0</v>
      </c>
      <c r="K799" s="50">
        <f>SUMIFS('Stock Adjustment'!$E:$E,'Stock Adjustment'!$B:$B,$A799,'Stock Adjustment'!$D:$D,"Expired")</f>
        <v>0</v>
      </c>
      <c r="L799" s="50">
        <f>SUMIFS('Stock Adjustment'!$E:$E,'Stock Adjustment'!$B:$B,$A799,'Stock Adjustment'!$D:$D,"Supplier Returned")</f>
        <v>0</v>
      </c>
      <c r="M7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799" s="53" t="str">
        <f>IF(B799="","",VLOOKUP(B799,'Product Master'!$B:$G,4,FALSE))</f>
        <v/>
      </c>
      <c r="O799" s="53" t="str">
        <f>IF(B799="","",VLOOKUP(B799,'Product Master'!$B:$G,5,FALSE))</f>
        <v/>
      </c>
      <c r="P799" s="50" t="str">
        <f>IF(B799="","",VLOOKUP(B799,'Product Master'!$B:$I,7,FALSE))</f>
        <v/>
      </c>
      <c r="Q799" s="158"/>
      <c r="R799" s="58" t="str">
        <f t="shared" si="12"/>
        <v/>
      </c>
      <c r="S799" s="25"/>
      <c r="T799" s="25"/>
      <c r="U799" s="25"/>
      <c r="V799" s="25"/>
      <c r="W799" s="25"/>
      <c r="X799" s="25"/>
    </row>
    <row r="800" spans="1:24" x14ac:dyDescent="0.25">
      <c r="A800" s="31" t="s">
        <v>1360</v>
      </c>
      <c r="B800" s="32"/>
      <c r="C800" s="50" t="str">
        <f>IF(B800="","",VLOOKUP(B800,'Product Master'!$B:$G,2,FALSE))</f>
        <v/>
      </c>
      <c r="D800" s="50" t="str">
        <f>IF(B800="","",VLOOKUP(B800,'Product Master'!$B:$G,3,FALSE))</f>
        <v/>
      </c>
      <c r="E800" s="50"/>
      <c r="F800" s="50">
        <f>SUMIF('Stock Purchase'!$D:$D,B800,'Stock Purchase'!$F:$F)</f>
        <v>0</v>
      </c>
      <c r="G800" s="50">
        <f>SUMIFS('Stock Adjustment'!$E:$E,'Stock Adjustment'!$B:$B,$A800,'Stock Adjustment'!$D:$D,"Customer Returned")</f>
        <v>0</v>
      </c>
      <c r="H800" s="50">
        <f>SUMIF('Daily Sales Entry'!$D:$D,B800,'Daily Sales Entry'!$G:$G)</f>
        <v>0</v>
      </c>
      <c r="I800" s="50">
        <f>SUMIFS('Stock Adjustment'!$E:$E,'Stock Adjustment'!$B:$B,$A800,'Stock Adjustment'!$D:$D,"Staff Consumption")</f>
        <v>0</v>
      </c>
      <c r="J800" s="50">
        <f>SUMIFS('Stock Adjustment'!$E:$E,'Stock Adjustment'!$B:$B,$A800,'Stock Adjustment'!$D:$D,"Damaged")</f>
        <v>0</v>
      </c>
      <c r="K800" s="50">
        <f>SUMIFS('Stock Adjustment'!$E:$E,'Stock Adjustment'!$B:$B,$A800,'Stock Adjustment'!$D:$D,"Expired")</f>
        <v>0</v>
      </c>
      <c r="L800" s="50">
        <f>SUMIFS('Stock Adjustment'!$E:$E,'Stock Adjustment'!$B:$B,$A800,'Stock Adjustment'!$D:$D,"Supplier Returned")</f>
        <v>0</v>
      </c>
      <c r="M8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0" s="53" t="str">
        <f>IF(B800="","",VLOOKUP(B800,'Product Master'!$B:$G,4,FALSE))</f>
        <v/>
      </c>
      <c r="O800" s="53" t="str">
        <f>IF(B800="","",VLOOKUP(B800,'Product Master'!$B:$G,5,FALSE))</f>
        <v/>
      </c>
      <c r="P800" s="50" t="str">
        <f>IF(B800="","",VLOOKUP(B800,'Product Master'!$B:$I,7,FALSE))</f>
        <v/>
      </c>
      <c r="Q800" s="158"/>
      <c r="R800" s="58" t="str">
        <f t="shared" si="12"/>
        <v/>
      </c>
      <c r="S800" s="25"/>
      <c r="T800" s="25"/>
      <c r="U800" s="25"/>
      <c r="V800" s="25"/>
      <c r="W800" s="25"/>
      <c r="X800" s="25"/>
    </row>
    <row r="801" spans="1:24" x14ac:dyDescent="0.25">
      <c r="A801" s="31" t="s">
        <v>1361</v>
      </c>
      <c r="B801" s="32"/>
      <c r="C801" s="50" t="str">
        <f>IF(B801="","",VLOOKUP(B801,'Product Master'!$B:$G,2,FALSE))</f>
        <v/>
      </c>
      <c r="D801" s="50" t="str">
        <f>IF(B801="","",VLOOKUP(B801,'Product Master'!$B:$G,3,FALSE))</f>
        <v/>
      </c>
      <c r="E801" s="50"/>
      <c r="F801" s="50">
        <f>SUMIF('Stock Purchase'!$D:$D,B801,'Stock Purchase'!$F:$F)</f>
        <v>0</v>
      </c>
      <c r="G801" s="50">
        <f>SUMIFS('Stock Adjustment'!$E:$E,'Stock Adjustment'!$B:$B,$A801,'Stock Adjustment'!$D:$D,"Customer Returned")</f>
        <v>0</v>
      </c>
      <c r="H801" s="50">
        <f>SUMIF('Daily Sales Entry'!$D:$D,B801,'Daily Sales Entry'!$G:$G)</f>
        <v>0</v>
      </c>
      <c r="I801" s="50">
        <f>SUMIFS('Stock Adjustment'!$E:$E,'Stock Adjustment'!$B:$B,$A801,'Stock Adjustment'!$D:$D,"Staff Consumption")</f>
        <v>0</v>
      </c>
      <c r="J801" s="50">
        <f>SUMIFS('Stock Adjustment'!$E:$E,'Stock Adjustment'!$B:$B,$A801,'Stock Adjustment'!$D:$D,"Damaged")</f>
        <v>0</v>
      </c>
      <c r="K801" s="50">
        <f>SUMIFS('Stock Adjustment'!$E:$E,'Stock Adjustment'!$B:$B,$A801,'Stock Adjustment'!$D:$D,"Expired")</f>
        <v>0</v>
      </c>
      <c r="L801" s="50">
        <f>SUMIFS('Stock Adjustment'!$E:$E,'Stock Adjustment'!$B:$B,$A801,'Stock Adjustment'!$D:$D,"Supplier Returned")</f>
        <v>0</v>
      </c>
      <c r="M8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1" s="53" t="str">
        <f>IF(B801="","",VLOOKUP(B801,'Product Master'!$B:$G,4,FALSE))</f>
        <v/>
      </c>
      <c r="O801" s="53" t="str">
        <f>IF(B801="","",VLOOKUP(B801,'Product Master'!$B:$G,5,FALSE))</f>
        <v/>
      </c>
      <c r="P801" s="50" t="str">
        <f>IF(B801="","",VLOOKUP(B801,'Product Master'!$B:$I,7,FALSE))</f>
        <v/>
      </c>
      <c r="Q801" s="158"/>
      <c r="R801" s="58" t="str">
        <f t="shared" si="12"/>
        <v/>
      </c>
      <c r="S801" s="25"/>
      <c r="T801" s="25"/>
      <c r="U801" s="25"/>
      <c r="V801" s="25"/>
      <c r="W801" s="25"/>
      <c r="X801" s="25"/>
    </row>
    <row r="802" spans="1:24" x14ac:dyDescent="0.25">
      <c r="A802" s="31" t="s">
        <v>1362</v>
      </c>
      <c r="B802" s="32"/>
      <c r="C802" s="50" t="str">
        <f>IF(B802="","",VLOOKUP(B802,'Product Master'!$B:$G,2,FALSE))</f>
        <v/>
      </c>
      <c r="D802" s="50" t="str">
        <f>IF(B802="","",VLOOKUP(B802,'Product Master'!$B:$G,3,FALSE))</f>
        <v/>
      </c>
      <c r="E802" s="50"/>
      <c r="F802" s="50">
        <f>SUMIF('Stock Purchase'!$D:$D,B802,'Stock Purchase'!$F:$F)</f>
        <v>0</v>
      </c>
      <c r="G802" s="50">
        <f>SUMIFS('Stock Adjustment'!$E:$E,'Stock Adjustment'!$B:$B,$A802,'Stock Adjustment'!$D:$D,"Customer Returned")</f>
        <v>0</v>
      </c>
      <c r="H802" s="50">
        <f>SUMIF('Daily Sales Entry'!$D:$D,B802,'Daily Sales Entry'!$G:$G)</f>
        <v>0</v>
      </c>
      <c r="I802" s="50">
        <f>SUMIFS('Stock Adjustment'!$E:$E,'Stock Adjustment'!$B:$B,$A802,'Stock Adjustment'!$D:$D,"Staff Consumption")</f>
        <v>0</v>
      </c>
      <c r="J802" s="50">
        <f>SUMIFS('Stock Adjustment'!$E:$E,'Stock Adjustment'!$B:$B,$A802,'Stock Adjustment'!$D:$D,"Damaged")</f>
        <v>0</v>
      </c>
      <c r="K802" s="50">
        <f>SUMIFS('Stock Adjustment'!$E:$E,'Stock Adjustment'!$B:$B,$A802,'Stock Adjustment'!$D:$D,"Expired")</f>
        <v>0</v>
      </c>
      <c r="L802" s="50">
        <f>SUMIFS('Stock Adjustment'!$E:$E,'Stock Adjustment'!$B:$B,$A802,'Stock Adjustment'!$D:$D,"Supplier Returned")</f>
        <v>0</v>
      </c>
      <c r="M8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2" s="53" t="str">
        <f>IF(B802="","",VLOOKUP(B802,'Product Master'!$B:$G,4,FALSE))</f>
        <v/>
      </c>
      <c r="O802" s="53" t="str">
        <f>IF(B802="","",VLOOKUP(B802,'Product Master'!$B:$G,5,FALSE))</f>
        <v/>
      </c>
      <c r="P802" s="50" t="str">
        <f>IF(B802="","",VLOOKUP(B802,'Product Master'!$B:$I,7,FALSE))</f>
        <v/>
      </c>
      <c r="Q802" s="158"/>
      <c r="R802" s="58" t="str">
        <f t="shared" si="12"/>
        <v/>
      </c>
      <c r="S802" s="25"/>
      <c r="T802" s="25"/>
      <c r="U802" s="25"/>
      <c r="V802" s="25"/>
      <c r="W802" s="25"/>
      <c r="X802" s="25"/>
    </row>
    <row r="803" spans="1:24" x14ac:dyDescent="0.25">
      <c r="A803" s="31" t="s">
        <v>1363</v>
      </c>
      <c r="B803" s="32"/>
      <c r="C803" s="50" t="str">
        <f>IF(B803="","",VLOOKUP(B803,'Product Master'!$B:$G,2,FALSE))</f>
        <v/>
      </c>
      <c r="D803" s="50" t="str">
        <f>IF(B803="","",VLOOKUP(B803,'Product Master'!$B:$G,3,FALSE))</f>
        <v/>
      </c>
      <c r="E803" s="50"/>
      <c r="F803" s="50">
        <f>SUMIF('Stock Purchase'!$D:$D,B803,'Stock Purchase'!$F:$F)</f>
        <v>0</v>
      </c>
      <c r="G803" s="50">
        <f>SUMIFS('Stock Adjustment'!$E:$E,'Stock Adjustment'!$B:$B,$A803,'Stock Adjustment'!$D:$D,"Customer Returned")</f>
        <v>0</v>
      </c>
      <c r="H803" s="50">
        <f>SUMIF('Daily Sales Entry'!$D:$D,B803,'Daily Sales Entry'!$G:$G)</f>
        <v>0</v>
      </c>
      <c r="I803" s="50">
        <f>SUMIFS('Stock Adjustment'!$E:$E,'Stock Adjustment'!$B:$B,$A803,'Stock Adjustment'!$D:$D,"Staff Consumption")</f>
        <v>0</v>
      </c>
      <c r="J803" s="50">
        <f>SUMIFS('Stock Adjustment'!$E:$E,'Stock Adjustment'!$B:$B,$A803,'Stock Adjustment'!$D:$D,"Damaged")</f>
        <v>0</v>
      </c>
      <c r="K803" s="50">
        <f>SUMIFS('Stock Adjustment'!$E:$E,'Stock Adjustment'!$B:$B,$A803,'Stock Adjustment'!$D:$D,"Expired")</f>
        <v>0</v>
      </c>
      <c r="L803" s="50">
        <f>SUMIFS('Stock Adjustment'!$E:$E,'Stock Adjustment'!$B:$B,$A803,'Stock Adjustment'!$D:$D,"Supplier Returned")</f>
        <v>0</v>
      </c>
      <c r="M8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3" s="53" t="str">
        <f>IF(B803="","",VLOOKUP(B803,'Product Master'!$B:$G,4,FALSE))</f>
        <v/>
      </c>
      <c r="O803" s="53" t="str">
        <f>IF(B803="","",VLOOKUP(B803,'Product Master'!$B:$G,5,FALSE))</f>
        <v/>
      </c>
      <c r="P803" s="50" t="str">
        <f>IF(B803="","",VLOOKUP(B803,'Product Master'!$B:$I,7,FALSE))</f>
        <v/>
      </c>
      <c r="Q803" s="158"/>
      <c r="R803" s="58" t="str">
        <f t="shared" si="12"/>
        <v/>
      </c>
      <c r="S803" s="25"/>
      <c r="T803" s="25"/>
      <c r="U803" s="25"/>
      <c r="V803" s="25"/>
      <c r="W803" s="25"/>
      <c r="X803" s="25"/>
    </row>
    <row r="804" spans="1:24" x14ac:dyDescent="0.25">
      <c r="A804" s="31" t="s">
        <v>1364</v>
      </c>
      <c r="B804" s="32"/>
      <c r="C804" s="50" t="str">
        <f>IF(B804="","",VLOOKUP(B804,'Product Master'!$B:$G,2,FALSE))</f>
        <v/>
      </c>
      <c r="D804" s="50" t="str">
        <f>IF(B804="","",VLOOKUP(B804,'Product Master'!$B:$G,3,FALSE))</f>
        <v/>
      </c>
      <c r="E804" s="50"/>
      <c r="F804" s="50">
        <f>SUMIF('Stock Purchase'!$D:$D,B804,'Stock Purchase'!$F:$F)</f>
        <v>0</v>
      </c>
      <c r="G804" s="50">
        <f>SUMIFS('Stock Adjustment'!$E:$E,'Stock Adjustment'!$B:$B,$A804,'Stock Adjustment'!$D:$D,"Customer Returned")</f>
        <v>0</v>
      </c>
      <c r="H804" s="50">
        <f>SUMIF('Daily Sales Entry'!$D:$D,B804,'Daily Sales Entry'!$G:$G)</f>
        <v>0</v>
      </c>
      <c r="I804" s="50">
        <f>SUMIFS('Stock Adjustment'!$E:$E,'Stock Adjustment'!$B:$B,$A804,'Stock Adjustment'!$D:$D,"Staff Consumption")</f>
        <v>0</v>
      </c>
      <c r="J804" s="50">
        <f>SUMIFS('Stock Adjustment'!$E:$E,'Stock Adjustment'!$B:$B,$A804,'Stock Adjustment'!$D:$D,"Damaged")</f>
        <v>0</v>
      </c>
      <c r="K804" s="50">
        <f>SUMIFS('Stock Adjustment'!$E:$E,'Stock Adjustment'!$B:$B,$A804,'Stock Adjustment'!$D:$D,"Expired")</f>
        <v>0</v>
      </c>
      <c r="L804" s="50">
        <f>SUMIFS('Stock Adjustment'!$E:$E,'Stock Adjustment'!$B:$B,$A804,'Stock Adjustment'!$D:$D,"Supplier Returned")</f>
        <v>0</v>
      </c>
      <c r="M8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4" s="53" t="str">
        <f>IF(B804="","",VLOOKUP(B804,'Product Master'!$B:$G,4,FALSE))</f>
        <v/>
      </c>
      <c r="O804" s="53" t="str">
        <f>IF(B804="","",VLOOKUP(B804,'Product Master'!$B:$G,5,FALSE))</f>
        <v/>
      </c>
      <c r="P804" s="50" t="str">
        <f>IF(B804="","",VLOOKUP(B804,'Product Master'!$B:$I,7,FALSE))</f>
        <v/>
      </c>
      <c r="Q804" s="158"/>
      <c r="R804" s="58" t="str">
        <f t="shared" si="12"/>
        <v/>
      </c>
      <c r="S804" s="25"/>
      <c r="T804" s="25"/>
      <c r="U804" s="25"/>
      <c r="V804" s="25"/>
      <c r="W804" s="25"/>
      <c r="X804" s="25"/>
    </row>
    <row r="805" spans="1:24" x14ac:dyDescent="0.25">
      <c r="A805" s="31" t="s">
        <v>1365</v>
      </c>
      <c r="B805" s="32"/>
      <c r="C805" s="50" t="str">
        <f>IF(B805="","",VLOOKUP(B805,'Product Master'!$B:$G,2,FALSE))</f>
        <v/>
      </c>
      <c r="D805" s="50" t="str">
        <f>IF(B805="","",VLOOKUP(B805,'Product Master'!$B:$G,3,FALSE))</f>
        <v/>
      </c>
      <c r="E805" s="50"/>
      <c r="F805" s="50">
        <f>SUMIF('Stock Purchase'!$D:$D,B805,'Stock Purchase'!$F:$F)</f>
        <v>0</v>
      </c>
      <c r="G805" s="50">
        <f>SUMIFS('Stock Adjustment'!$E:$E,'Stock Adjustment'!$B:$B,$A805,'Stock Adjustment'!$D:$D,"Customer Returned")</f>
        <v>0</v>
      </c>
      <c r="H805" s="50">
        <f>SUMIF('Daily Sales Entry'!$D:$D,B805,'Daily Sales Entry'!$G:$G)</f>
        <v>0</v>
      </c>
      <c r="I805" s="50">
        <f>SUMIFS('Stock Adjustment'!$E:$E,'Stock Adjustment'!$B:$B,$A805,'Stock Adjustment'!$D:$D,"Staff Consumption")</f>
        <v>0</v>
      </c>
      <c r="J805" s="50">
        <f>SUMIFS('Stock Adjustment'!$E:$E,'Stock Adjustment'!$B:$B,$A805,'Stock Adjustment'!$D:$D,"Damaged")</f>
        <v>0</v>
      </c>
      <c r="K805" s="50">
        <f>SUMIFS('Stock Adjustment'!$E:$E,'Stock Adjustment'!$B:$B,$A805,'Stock Adjustment'!$D:$D,"Expired")</f>
        <v>0</v>
      </c>
      <c r="L805" s="50">
        <f>SUMIFS('Stock Adjustment'!$E:$E,'Stock Adjustment'!$B:$B,$A805,'Stock Adjustment'!$D:$D,"Supplier Returned")</f>
        <v>0</v>
      </c>
      <c r="M8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5" s="53" t="str">
        <f>IF(B805="","",VLOOKUP(B805,'Product Master'!$B:$G,4,FALSE))</f>
        <v/>
      </c>
      <c r="O805" s="53" t="str">
        <f>IF(B805="","",VLOOKUP(B805,'Product Master'!$B:$G,5,FALSE))</f>
        <v/>
      </c>
      <c r="P805" s="50" t="str">
        <f>IF(B805="","",VLOOKUP(B805,'Product Master'!$B:$I,7,FALSE))</f>
        <v/>
      </c>
      <c r="Q805" s="158"/>
      <c r="R805" s="58" t="str">
        <f t="shared" si="12"/>
        <v/>
      </c>
      <c r="S805" s="25"/>
      <c r="T805" s="25"/>
      <c r="U805" s="25"/>
      <c r="V805" s="25"/>
      <c r="W805" s="25"/>
      <c r="X805" s="25"/>
    </row>
    <row r="806" spans="1:24" x14ac:dyDescent="0.25">
      <c r="A806" s="31" t="s">
        <v>1366</v>
      </c>
      <c r="B806" s="32"/>
      <c r="C806" s="50" t="str">
        <f>IF(B806="","",VLOOKUP(B806,'Product Master'!$B:$G,2,FALSE))</f>
        <v/>
      </c>
      <c r="D806" s="50" t="str">
        <f>IF(B806="","",VLOOKUP(B806,'Product Master'!$B:$G,3,FALSE))</f>
        <v/>
      </c>
      <c r="E806" s="50"/>
      <c r="F806" s="50">
        <f>SUMIF('Stock Purchase'!$D:$D,B806,'Stock Purchase'!$F:$F)</f>
        <v>0</v>
      </c>
      <c r="G806" s="50">
        <f>SUMIFS('Stock Adjustment'!$E:$E,'Stock Adjustment'!$B:$B,$A806,'Stock Adjustment'!$D:$D,"Customer Returned")</f>
        <v>0</v>
      </c>
      <c r="H806" s="50">
        <f>SUMIF('Daily Sales Entry'!$D:$D,B806,'Daily Sales Entry'!$G:$G)</f>
        <v>0</v>
      </c>
      <c r="I806" s="50">
        <f>SUMIFS('Stock Adjustment'!$E:$E,'Stock Adjustment'!$B:$B,$A806,'Stock Adjustment'!$D:$D,"Staff Consumption")</f>
        <v>0</v>
      </c>
      <c r="J806" s="50">
        <f>SUMIFS('Stock Adjustment'!$E:$E,'Stock Adjustment'!$B:$B,$A806,'Stock Adjustment'!$D:$D,"Damaged")</f>
        <v>0</v>
      </c>
      <c r="K806" s="50">
        <f>SUMIFS('Stock Adjustment'!$E:$E,'Stock Adjustment'!$B:$B,$A806,'Stock Adjustment'!$D:$D,"Expired")</f>
        <v>0</v>
      </c>
      <c r="L806" s="50">
        <f>SUMIFS('Stock Adjustment'!$E:$E,'Stock Adjustment'!$B:$B,$A806,'Stock Adjustment'!$D:$D,"Supplier Returned")</f>
        <v>0</v>
      </c>
      <c r="M8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6" s="53" t="str">
        <f>IF(B806="","",VLOOKUP(B806,'Product Master'!$B:$G,4,FALSE))</f>
        <v/>
      </c>
      <c r="O806" s="53" t="str">
        <f>IF(B806="","",VLOOKUP(B806,'Product Master'!$B:$G,5,FALSE))</f>
        <v/>
      </c>
      <c r="P806" s="50" t="str">
        <f>IF(B806="","",VLOOKUP(B806,'Product Master'!$B:$I,7,FALSE))</f>
        <v/>
      </c>
      <c r="Q806" s="158"/>
      <c r="R806" s="58" t="str">
        <f t="shared" si="12"/>
        <v/>
      </c>
      <c r="S806" s="25"/>
      <c r="T806" s="25"/>
      <c r="U806" s="25"/>
      <c r="V806" s="25"/>
      <c r="W806" s="25"/>
      <c r="X806" s="25"/>
    </row>
    <row r="807" spans="1:24" x14ac:dyDescent="0.25">
      <c r="A807" s="31" t="s">
        <v>1367</v>
      </c>
      <c r="B807" s="32"/>
      <c r="C807" s="50" t="str">
        <f>IF(B807="","",VLOOKUP(B807,'Product Master'!$B:$G,2,FALSE))</f>
        <v/>
      </c>
      <c r="D807" s="50" t="str">
        <f>IF(B807="","",VLOOKUP(B807,'Product Master'!$B:$G,3,FALSE))</f>
        <v/>
      </c>
      <c r="E807" s="50"/>
      <c r="F807" s="50">
        <f>SUMIF('Stock Purchase'!$D:$D,B807,'Stock Purchase'!$F:$F)</f>
        <v>0</v>
      </c>
      <c r="G807" s="50">
        <f>SUMIFS('Stock Adjustment'!$E:$E,'Stock Adjustment'!$B:$B,$A807,'Stock Adjustment'!$D:$D,"Customer Returned")</f>
        <v>0</v>
      </c>
      <c r="H807" s="50">
        <f>SUMIF('Daily Sales Entry'!$D:$D,B807,'Daily Sales Entry'!$G:$G)</f>
        <v>0</v>
      </c>
      <c r="I807" s="50">
        <f>SUMIFS('Stock Adjustment'!$E:$E,'Stock Adjustment'!$B:$B,$A807,'Stock Adjustment'!$D:$D,"Staff Consumption")</f>
        <v>0</v>
      </c>
      <c r="J807" s="50">
        <f>SUMIFS('Stock Adjustment'!$E:$E,'Stock Adjustment'!$B:$B,$A807,'Stock Adjustment'!$D:$D,"Damaged")</f>
        <v>0</v>
      </c>
      <c r="K807" s="50">
        <f>SUMIFS('Stock Adjustment'!$E:$E,'Stock Adjustment'!$B:$B,$A807,'Stock Adjustment'!$D:$D,"Expired")</f>
        <v>0</v>
      </c>
      <c r="L807" s="50">
        <f>SUMIFS('Stock Adjustment'!$E:$E,'Stock Adjustment'!$B:$B,$A807,'Stock Adjustment'!$D:$D,"Supplier Returned")</f>
        <v>0</v>
      </c>
      <c r="M8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7" s="53" t="str">
        <f>IF(B807="","",VLOOKUP(B807,'Product Master'!$B:$G,4,FALSE))</f>
        <v/>
      </c>
      <c r="O807" s="53" t="str">
        <f>IF(B807="","",VLOOKUP(B807,'Product Master'!$B:$G,5,FALSE))</f>
        <v/>
      </c>
      <c r="P807" s="50" t="str">
        <f>IF(B807="","",VLOOKUP(B807,'Product Master'!$B:$I,7,FALSE))</f>
        <v/>
      </c>
      <c r="Q807" s="158"/>
      <c r="R807" s="58" t="str">
        <f t="shared" si="12"/>
        <v/>
      </c>
      <c r="S807" s="25"/>
      <c r="T807" s="25"/>
      <c r="U807" s="25"/>
      <c r="V807" s="25"/>
      <c r="W807" s="25"/>
      <c r="X807" s="25"/>
    </row>
    <row r="808" spans="1:24" x14ac:dyDescent="0.25">
      <c r="A808" s="31" t="s">
        <v>1368</v>
      </c>
      <c r="B808" s="32"/>
      <c r="C808" s="50" t="str">
        <f>IF(B808="","",VLOOKUP(B808,'Product Master'!$B:$G,2,FALSE))</f>
        <v/>
      </c>
      <c r="D808" s="50" t="str">
        <f>IF(B808="","",VLOOKUP(B808,'Product Master'!$B:$G,3,FALSE))</f>
        <v/>
      </c>
      <c r="E808" s="50"/>
      <c r="F808" s="50">
        <f>SUMIF('Stock Purchase'!$D:$D,B808,'Stock Purchase'!$F:$F)</f>
        <v>0</v>
      </c>
      <c r="G808" s="50">
        <f>SUMIFS('Stock Adjustment'!$E:$E,'Stock Adjustment'!$B:$B,$A808,'Stock Adjustment'!$D:$D,"Customer Returned")</f>
        <v>0</v>
      </c>
      <c r="H808" s="50">
        <f>SUMIF('Daily Sales Entry'!$D:$D,B808,'Daily Sales Entry'!$G:$G)</f>
        <v>0</v>
      </c>
      <c r="I808" s="50">
        <f>SUMIFS('Stock Adjustment'!$E:$E,'Stock Adjustment'!$B:$B,$A808,'Stock Adjustment'!$D:$D,"Staff Consumption")</f>
        <v>0</v>
      </c>
      <c r="J808" s="50">
        <f>SUMIFS('Stock Adjustment'!$E:$E,'Stock Adjustment'!$B:$B,$A808,'Stock Adjustment'!$D:$D,"Damaged")</f>
        <v>0</v>
      </c>
      <c r="K808" s="50">
        <f>SUMIFS('Stock Adjustment'!$E:$E,'Stock Adjustment'!$B:$B,$A808,'Stock Adjustment'!$D:$D,"Expired")</f>
        <v>0</v>
      </c>
      <c r="L808" s="50">
        <f>SUMIFS('Stock Adjustment'!$E:$E,'Stock Adjustment'!$B:$B,$A808,'Stock Adjustment'!$D:$D,"Supplier Returned")</f>
        <v>0</v>
      </c>
      <c r="M8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8" s="53" t="str">
        <f>IF(B808="","",VLOOKUP(B808,'Product Master'!$B:$G,4,FALSE))</f>
        <v/>
      </c>
      <c r="O808" s="53" t="str">
        <f>IF(B808="","",VLOOKUP(B808,'Product Master'!$B:$G,5,FALSE))</f>
        <v/>
      </c>
      <c r="P808" s="50" t="str">
        <f>IF(B808="","",VLOOKUP(B808,'Product Master'!$B:$I,7,FALSE))</f>
        <v/>
      </c>
      <c r="Q808" s="158"/>
      <c r="R808" s="58" t="str">
        <f t="shared" si="12"/>
        <v/>
      </c>
      <c r="S808" s="25"/>
      <c r="T808" s="25"/>
      <c r="U808" s="25"/>
      <c r="V808" s="25"/>
      <c r="W808" s="25"/>
      <c r="X808" s="25"/>
    </row>
    <row r="809" spans="1:24" x14ac:dyDescent="0.25">
      <c r="A809" s="31" t="s">
        <v>1369</v>
      </c>
      <c r="B809" s="32"/>
      <c r="C809" s="50" t="str">
        <f>IF(B809="","",VLOOKUP(B809,'Product Master'!$B:$G,2,FALSE))</f>
        <v/>
      </c>
      <c r="D809" s="50" t="str">
        <f>IF(B809="","",VLOOKUP(B809,'Product Master'!$B:$G,3,FALSE))</f>
        <v/>
      </c>
      <c r="E809" s="50"/>
      <c r="F809" s="50">
        <f>SUMIF('Stock Purchase'!$D:$D,B809,'Stock Purchase'!$F:$F)</f>
        <v>0</v>
      </c>
      <c r="G809" s="50">
        <f>SUMIFS('Stock Adjustment'!$E:$E,'Stock Adjustment'!$B:$B,$A809,'Stock Adjustment'!$D:$D,"Customer Returned")</f>
        <v>0</v>
      </c>
      <c r="H809" s="50">
        <f>SUMIF('Daily Sales Entry'!$D:$D,B809,'Daily Sales Entry'!$G:$G)</f>
        <v>0</v>
      </c>
      <c r="I809" s="50">
        <f>SUMIFS('Stock Adjustment'!$E:$E,'Stock Adjustment'!$B:$B,$A809,'Stock Adjustment'!$D:$D,"Staff Consumption")</f>
        <v>0</v>
      </c>
      <c r="J809" s="50">
        <f>SUMIFS('Stock Adjustment'!$E:$E,'Stock Adjustment'!$B:$B,$A809,'Stock Adjustment'!$D:$D,"Damaged")</f>
        <v>0</v>
      </c>
      <c r="K809" s="50">
        <f>SUMIFS('Stock Adjustment'!$E:$E,'Stock Adjustment'!$B:$B,$A809,'Stock Adjustment'!$D:$D,"Expired")</f>
        <v>0</v>
      </c>
      <c r="L809" s="50">
        <f>SUMIFS('Stock Adjustment'!$E:$E,'Stock Adjustment'!$B:$B,$A809,'Stock Adjustment'!$D:$D,"Supplier Returned")</f>
        <v>0</v>
      </c>
      <c r="M8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09" s="53" t="str">
        <f>IF(B809="","",VLOOKUP(B809,'Product Master'!$B:$G,4,FALSE))</f>
        <v/>
      </c>
      <c r="O809" s="53" t="str">
        <f>IF(B809="","",VLOOKUP(B809,'Product Master'!$B:$G,5,FALSE))</f>
        <v/>
      </c>
      <c r="P809" s="50" t="str">
        <f>IF(B809="","",VLOOKUP(B809,'Product Master'!$B:$I,7,FALSE))</f>
        <v/>
      </c>
      <c r="Q809" s="158"/>
      <c r="R809" s="58" t="str">
        <f t="shared" si="12"/>
        <v/>
      </c>
      <c r="S809" s="25"/>
      <c r="T809" s="25"/>
      <c r="U809" s="25"/>
      <c r="V809" s="25"/>
      <c r="W809" s="25"/>
      <c r="X809" s="25"/>
    </row>
    <row r="810" spans="1:24" x14ac:dyDescent="0.25">
      <c r="A810" s="31" t="s">
        <v>1370</v>
      </c>
      <c r="B810" s="32"/>
      <c r="C810" s="50" t="str">
        <f>IF(B810="","",VLOOKUP(B810,'Product Master'!$B:$G,2,FALSE))</f>
        <v/>
      </c>
      <c r="D810" s="50" t="str">
        <f>IF(B810="","",VLOOKUP(B810,'Product Master'!$B:$G,3,FALSE))</f>
        <v/>
      </c>
      <c r="E810" s="50"/>
      <c r="F810" s="50">
        <f>SUMIF('Stock Purchase'!$D:$D,B810,'Stock Purchase'!$F:$F)</f>
        <v>0</v>
      </c>
      <c r="G810" s="50">
        <f>SUMIFS('Stock Adjustment'!$E:$E,'Stock Adjustment'!$B:$B,$A810,'Stock Adjustment'!$D:$D,"Customer Returned")</f>
        <v>0</v>
      </c>
      <c r="H810" s="50">
        <f>SUMIF('Daily Sales Entry'!$D:$D,B810,'Daily Sales Entry'!$G:$G)</f>
        <v>0</v>
      </c>
      <c r="I810" s="50">
        <f>SUMIFS('Stock Adjustment'!$E:$E,'Stock Adjustment'!$B:$B,$A810,'Stock Adjustment'!$D:$D,"Staff Consumption")</f>
        <v>0</v>
      </c>
      <c r="J810" s="50">
        <f>SUMIFS('Stock Adjustment'!$E:$E,'Stock Adjustment'!$B:$B,$A810,'Stock Adjustment'!$D:$D,"Damaged")</f>
        <v>0</v>
      </c>
      <c r="K810" s="50">
        <f>SUMIFS('Stock Adjustment'!$E:$E,'Stock Adjustment'!$B:$B,$A810,'Stock Adjustment'!$D:$D,"Expired")</f>
        <v>0</v>
      </c>
      <c r="L810" s="50">
        <f>SUMIFS('Stock Adjustment'!$E:$E,'Stock Adjustment'!$B:$B,$A810,'Stock Adjustment'!$D:$D,"Supplier Returned")</f>
        <v>0</v>
      </c>
      <c r="M8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0" s="53" t="str">
        <f>IF(B810="","",VLOOKUP(B810,'Product Master'!$B:$G,4,FALSE))</f>
        <v/>
      </c>
      <c r="O810" s="53" t="str">
        <f>IF(B810="","",VLOOKUP(B810,'Product Master'!$B:$G,5,FALSE))</f>
        <v/>
      </c>
      <c r="P810" s="50" t="str">
        <f>IF(B810="","",VLOOKUP(B810,'Product Master'!$B:$I,7,FALSE))</f>
        <v/>
      </c>
      <c r="Q810" s="158"/>
      <c r="R810" s="58" t="str">
        <f t="shared" si="12"/>
        <v/>
      </c>
      <c r="S810" s="25"/>
      <c r="T810" s="25"/>
      <c r="U810" s="25"/>
      <c r="V810" s="25"/>
      <c r="W810" s="25"/>
      <c r="X810" s="25"/>
    </row>
    <row r="811" spans="1:24" x14ac:dyDescent="0.25">
      <c r="A811" s="31" t="s">
        <v>1371</v>
      </c>
      <c r="B811" s="32"/>
      <c r="C811" s="50" t="str">
        <f>IF(B811="","",VLOOKUP(B811,'Product Master'!$B:$G,2,FALSE))</f>
        <v/>
      </c>
      <c r="D811" s="50" t="str">
        <f>IF(B811="","",VLOOKUP(B811,'Product Master'!$B:$G,3,FALSE))</f>
        <v/>
      </c>
      <c r="E811" s="50"/>
      <c r="F811" s="50">
        <f>SUMIF('Stock Purchase'!$D:$D,B811,'Stock Purchase'!$F:$F)</f>
        <v>0</v>
      </c>
      <c r="G811" s="50">
        <f>SUMIFS('Stock Adjustment'!$E:$E,'Stock Adjustment'!$B:$B,$A811,'Stock Adjustment'!$D:$D,"Customer Returned")</f>
        <v>0</v>
      </c>
      <c r="H811" s="50">
        <f>SUMIF('Daily Sales Entry'!$D:$D,B811,'Daily Sales Entry'!$G:$G)</f>
        <v>0</v>
      </c>
      <c r="I811" s="50">
        <f>SUMIFS('Stock Adjustment'!$E:$E,'Stock Adjustment'!$B:$B,$A811,'Stock Adjustment'!$D:$D,"Staff Consumption")</f>
        <v>0</v>
      </c>
      <c r="J811" s="50">
        <f>SUMIFS('Stock Adjustment'!$E:$E,'Stock Adjustment'!$B:$B,$A811,'Stock Adjustment'!$D:$D,"Damaged")</f>
        <v>0</v>
      </c>
      <c r="K811" s="50">
        <f>SUMIFS('Stock Adjustment'!$E:$E,'Stock Adjustment'!$B:$B,$A811,'Stock Adjustment'!$D:$D,"Expired")</f>
        <v>0</v>
      </c>
      <c r="L811" s="50">
        <f>SUMIFS('Stock Adjustment'!$E:$E,'Stock Adjustment'!$B:$B,$A811,'Stock Adjustment'!$D:$D,"Supplier Returned")</f>
        <v>0</v>
      </c>
      <c r="M8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1" s="53" t="str">
        <f>IF(B811="","",VLOOKUP(B811,'Product Master'!$B:$G,4,FALSE))</f>
        <v/>
      </c>
      <c r="O811" s="53" t="str">
        <f>IF(B811="","",VLOOKUP(B811,'Product Master'!$B:$G,5,FALSE))</f>
        <v/>
      </c>
      <c r="P811" s="50" t="str">
        <f>IF(B811="","",VLOOKUP(B811,'Product Master'!$B:$I,7,FALSE))</f>
        <v/>
      </c>
      <c r="Q811" s="158"/>
      <c r="R811" s="58" t="str">
        <f t="shared" si="12"/>
        <v/>
      </c>
      <c r="S811" s="25"/>
      <c r="T811" s="25"/>
      <c r="U811" s="25"/>
      <c r="V811" s="25"/>
      <c r="W811" s="25"/>
      <c r="X811" s="25"/>
    </row>
    <row r="812" spans="1:24" x14ac:dyDescent="0.25">
      <c r="A812" s="31" t="s">
        <v>1372</v>
      </c>
      <c r="B812" s="32"/>
      <c r="C812" s="50" t="str">
        <f>IF(B812="","",VLOOKUP(B812,'Product Master'!$B:$G,2,FALSE))</f>
        <v/>
      </c>
      <c r="D812" s="50" t="str">
        <f>IF(B812="","",VLOOKUP(B812,'Product Master'!$B:$G,3,FALSE))</f>
        <v/>
      </c>
      <c r="E812" s="50"/>
      <c r="F812" s="50">
        <f>SUMIF('Stock Purchase'!$D:$D,B812,'Stock Purchase'!$F:$F)</f>
        <v>0</v>
      </c>
      <c r="G812" s="50">
        <f>SUMIFS('Stock Adjustment'!$E:$E,'Stock Adjustment'!$B:$B,$A812,'Stock Adjustment'!$D:$D,"Customer Returned")</f>
        <v>0</v>
      </c>
      <c r="H812" s="50">
        <f>SUMIF('Daily Sales Entry'!$D:$D,B812,'Daily Sales Entry'!$G:$G)</f>
        <v>0</v>
      </c>
      <c r="I812" s="50">
        <f>SUMIFS('Stock Adjustment'!$E:$E,'Stock Adjustment'!$B:$B,$A812,'Stock Adjustment'!$D:$D,"Staff Consumption")</f>
        <v>0</v>
      </c>
      <c r="J812" s="50">
        <f>SUMIFS('Stock Adjustment'!$E:$E,'Stock Adjustment'!$B:$B,$A812,'Stock Adjustment'!$D:$D,"Damaged")</f>
        <v>0</v>
      </c>
      <c r="K812" s="50">
        <f>SUMIFS('Stock Adjustment'!$E:$E,'Stock Adjustment'!$B:$B,$A812,'Stock Adjustment'!$D:$D,"Expired")</f>
        <v>0</v>
      </c>
      <c r="L812" s="50">
        <f>SUMIFS('Stock Adjustment'!$E:$E,'Stock Adjustment'!$B:$B,$A812,'Stock Adjustment'!$D:$D,"Supplier Returned")</f>
        <v>0</v>
      </c>
      <c r="M8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2" s="53" t="str">
        <f>IF(B812="","",VLOOKUP(B812,'Product Master'!$B:$G,4,FALSE))</f>
        <v/>
      </c>
      <c r="O812" s="53" t="str">
        <f>IF(B812="","",VLOOKUP(B812,'Product Master'!$B:$G,5,FALSE))</f>
        <v/>
      </c>
      <c r="P812" s="50" t="str">
        <f>IF(B812="","",VLOOKUP(B812,'Product Master'!$B:$I,7,FALSE))</f>
        <v/>
      </c>
      <c r="Q812" s="158"/>
      <c r="R812" s="58" t="str">
        <f t="shared" si="12"/>
        <v/>
      </c>
      <c r="S812" s="25"/>
      <c r="T812" s="25"/>
      <c r="U812" s="25"/>
      <c r="V812" s="25"/>
      <c r="W812" s="25"/>
      <c r="X812" s="25"/>
    </row>
    <row r="813" spans="1:24" x14ac:dyDescent="0.25">
      <c r="A813" s="31" t="s">
        <v>1373</v>
      </c>
      <c r="B813" s="32"/>
      <c r="C813" s="50" t="str">
        <f>IF(B813="","",VLOOKUP(B813,'Product Master'!$B:$G,2,FALSE))</f>
        <v/>
      </c>
      <c r="D813" s="50" t="str">
        <f>IF(B813="","",VLOOKUP(B813,'Product Master'!$B:$G,3,FALSE))</f>
        <v/>
      </c>
      <c r="E813" s="50"/>
      <c r="F813" s="50">
        <f>SUMIF('Stock Purchase'!$D:$D,B813,'Stock Purchase'!$F:$F)</f>
        <v>0</v>
      </c>
      <c r="G813" s="50">
        <f>SUMIFS('Stock Adjustment'!$E:$E,'Stock Adjustment'!$B:$B,$A813,'Stock Adjustment'!$D:$D,"Customer Returned")</f>
        <v>0</v>
      </c>
      <c r="H813" s="50">
        <f>SUMIF('Daily Sales Entry'!$D:$D,B813,'Daily Sales Entry'!$G:$G)</f>
        <v>0</v>
      </c>
      <c r="I813" s="50">
        <f>SUMIFS('Stock Adjustment'!$E:$E,'Stock Adjustment'!$B:$B,$A813,'Stock Adjustment'!$D:$D,"Staff Consumption")</f>
        <v>0</v>
      </c>
      <c r="J813" s="50">
        <f>SUMIFS('Stock Adjustment'!$E:$E,'Stock Adjustment'!$B:$B,$A813,'Stock Adjustment'!$D:$D,"Damaged")</f>
        <v>0</v>
      </c>
      <c r="K813" s="50">
        <f>SUMIFS('Stock Adjustment'!$E:$E,'Stock Adjustment'!$B:$B,$A813,'Stock Adjustment'!$D:$D,"Expired")</f>
        <v>0</v>
      </c>
      <c r="L813" s="50">
        <f>SUMIFS('Stock Adjustment'!$E:$E,'Stock Adjustment'!$B:$B,$A813,'Stock Adjustment'!$D:$D,"Supplier Returned")</f>
        <v>0</v>
      </c>
      <c r="M8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3" s="53" t="str">
        <f>IF(B813="","",VLOOKUP(B813,'Product Master'!$B:$G,4,FALSE))</f>
        <v/>
      </c>
      <c r="O813" s="53" t="str">
        <f>IF(B813="","",VLOOKUP(B813,'Product Master'!$B:$G,5,FALSE))</f>
        <v/>
      </c>
      <c r="P813" s="50" t="str">
        <f>IF(B813="","",VLOOKUP(B813,'Product Master'!$B:$I,7,FALSE))</f>
        <v/>
      </c>
      <c r="Q813" s="158"/>
      <c r="R813" s="58" t="str">
        <f t="shared" si="12"/>
        <v/>
      </c>
      <c r="S813" s="25"/>
      <c r="T813" s="25"/>
      <c r="U813" s="25"/>
      <c r="V813" s="25"/>
      <c r="W813" s="25"/>
      <c r="X813" s="25"/>
    </row>
    <row r="814" spans="1:24" x14ac:dyDescent="0.25">
      <c r="A814" s="31" t="s">
        <v>1374</v>
      </c>
      <c r="B814" s="32"/>
      <c r="C814" s="50" t="str">
        <f>IF(B814="","",VLOOKUP(B814,'Product Master'!$B:$G,2,FALSE))</f>
        <v/>
      </c>
      <c r="D814" s="50" t="str">
        <f>IF(B814="","",VLOOKUP(B814,'Product Master'!$B:$G,3,FALSE))</f>
        <v/>
      </c>
      <c r="E814" s="50"/>
      <c r="F814" s="50">
        <f>SUMIF('Stock Purchase'!$D:$D,B814,'Stock Purchase'!$F:$F)</f>
        <v>0</v>
      </c>
      <c r="G814" s="50">
        <f>SUMIFS('Stock Adjustment'!$E:$E,'Stock Adjustment'!$B:$B,$A814,'Stock Adjustment'!$D:$D,"Customer Returned")</f>
        <v>0</v>
      </c>
      <c r="H814" s="50">
        <f>SUMIF('Daily Sales Entry'!$D:$D,B814,'Daily Sales Entry'!$G:$G)</f>
        <v>0</v>
      </c>
      <c r="I814" s="50">
        <f>SUMIFS('Stock Adjustment'!$E:$E,'Stock Adjustment'!$B:$B,$A814,'Stock Adjustment'!$D:$D,"Staff Consumption")</f>
        <v>0</v>
      </c>
      <c r="J814" s="50">
        <f>SUMIFS('Stock Adjustment'!$E:$E,'Stock Adjustment'!$B:$B,$A814,'Stock Adjustment'!$D:$D,"Damaged")</f>
        <v>0</v>
      </c>
      <c r="K814" s="50">
        <f>SUMIFS('Stock Adjustment'!$E:$E,'Stock Adjustment'!$B:$B,$A814,'Stock Adjustment'!$D:$D,"Expired")</f>
        <v>0</v>
      </c>
      <c r="L814" s="50">
        <f>SUMIFS('Stock Adjustment'!$E:$E,'Stock Adjustment'!$B:$B,$A814,'Stock Adjustment'!$D:$D,"Supplier Returned")</f>
        <v>0</v>
      </c>
      <c r="M8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4" s="53" t="str">
        <f>IF(B814="","",VLOOKUP(B814,'Product Master'!$B:$G,4,FALSE))</f>
        <v/>
      </c>
      <c r="O814" s="53" t="str">
        <f>IF(B814="","",VLOOKUP(B814,'Product Master'!$B:$G,5,FALSE))</f>
        <v/>
      </c>
      <c r="P814" s="50" t="str">
        <f>IF(B814="","",VLOOKUP(B814,'Product Master'!$B:$I,7,FALSE))</f>
        <v/>
      </c>
      <c r="Q814" s="158"/>
      <c r="R814" s="58" t="str">
        <f t="shared" si="12"/>
        <v/>
      </c>
      <c r="S814" s="25"/>
      <c r="T814" s="25"/>
      <c r="U814" s="25"/>
      <c r="V814" s="25"/>
      <c r="W814" s="25"/>
      <c r="X814" s="25"/>
    </row>
    <row r="815" spans="1:24" x14ac:dyDescent="0.25">
      <c r="A815" s="31" t="s">
        <v>1375</v>
      </c>
      <c r="B815" s="32"/>
      <c r="C815" s="50" t="str">
        <f>IF(B815="","",VLOOKUP(B815,'Product Master'!$B:$G,2,FALSE))</f>
        <v/>
      </c>
      <c r="D815" s="50" t="str">
        <f>IF(B815="","",VLOOKUP(B815,'Product Master'!$B:$G,3,FALSE))</f>
        <v/>
      </c>
      <c r="E815" s="50"/>
      <c r="F815" s="50">
        <f>SUMIF('Stock Purchase'!$D:$D,B815,'Stock Purchase'!$F:$F)</f>
        <v>0</v>
      </c>
      <c r="G815" s="50">
        <f>SUMIFS('Stock Adjustment'!$E:$E,'Stock Adjustment'!$B:$B,$A815,'Stock Adjustment'!$D:$D,"Customer Returned")</f>
        <v>0</v>
      </c>
      <c r="H815" s="50">
        <f>SUMIF('Daily Sales Entry'!$D:$D,B815,'Daily Sales Entry'!$G:$G)</f>
        <v>0</v>
      </c>
      <c r="I815" s="50">
        <f>SUMIFS('Stock Adjustment'!$E:$E,'Stock Adjustment'!$B:$B,$A815,'Stock Adjustment'!$D:$D,"Staff Consumption")</f>
        <v>0</v>
      </c>
      <c r="J815" s="50">
        <f>SUMIFS('Stock Adjustment'!$E:$E,'Stock Adjustment'!$B:$B,$A815,'Stock Adjustment'!$D:$D,"Damaged")</f>
        <v>0</v>
      </c>
      <c r="K815" s="50">
        <f>SUMIFS('Stock Adjustment'!$E:$E,'Stock Adjustment'!$B:$B,$A815,'Stock Adjustment'!$D:$D,"Expired")</f>
        <v>0</v>
      </c>
      <c r="L815" s="50">
        <f>SUMIFS('Stock Adjustment'!$E:$E,'Stock Adjustment'!$B:$B,$A815,'Stock Adjustment'!$D:$D,"Supplier Returned")</f>
        <v>0</v>
      </c>
      <c r="M8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5" s="53" t="str">
        <f>IF(B815="","",VLOOKUP(B815,'Product Master'!$B:$G,4,FALSE))</f>
        <v/>
      </c>
      <c r="O815" s="53" t="str">
        <f>IF(B815="","",VLOOKUP(B815,'Product Master'!$B:$G,5,FALSE))</f>
        <v/>
      </c>
      <c r="P815" s="50" t="str">
        <f>IF(B815="","",VLOOKUP(B815,'Product Master'!$B:$I,7,FALSE))</f>
        <v/>
      </c>
      <c r="Q815" s="158"/>
      <c r="R815" s="58" t="str">
        <f t="shared" si="12"/>
        <v/>
      </c>
      <c r="S815" s="25"/>
      <c r="T815" s="25"/>
      <c r="U815" s="25"/>
      <c r="V815" s="25"/>
      <c r="W815" s="25"/>
      <c r="X815" s="25"/>
    </row>
    <row r="816" spans="1:24" x14ac:dyDescent="0.25">
      <c r="A816" s="31" t="s">
        <v>1376</v>
      </c>
      <c r="B816" s="32"/>
      <c r="C816" s="50" t="str">
        <f>IF(B816="","",VLOOKUP(B816,'Product Master'!$B:$G,2,FALSE))</f>
        <v/>
      </c>
      <c r="D816" s="50" t="str">
        <f>IF(B816="","",VLOOKUP(B816,'Product Master'!$B:$G,3,FALSE))</f>
        <v/>
      </c>
      <c r="E816" s="50"/>
      <c r="F816" s="50">
        <f>SUMIF('Stock Purchase'!$D:$D,B816,'Stock Purchase'!$F:$F)</f>
        <v>0</v>
      </c>
      <c r="G816" s="50">
        <f>SUMIFS('Stock Adjustment'!$E:$E,'Stock Adjustment'!$B:$B,$A816,'Stock Adjustment'!$D:$D,"Customer Returned")</f>
        <v>0</v>
      </c>
      <c r="H816" s="50">
        <f>SUMIF('Daily Sales Entry'!$D:$D,B816,'Daily Sales Entry'!$G:$G)</f>
        <v>0</v>
      </c>
      <c r="I816" s="50">
        <f>SUMIFS('Stock Adjustment'!$E:$E,'Stock Adjustment'!$B:$B,$A816,'Stock Adjustment'!$D:$D,"Staff Consumption")</f>
        <v>0</v>
      </c>
      <c r="J816" s="50">
        <f>SUMIFS('Stock Adjustment'!$E:$E,'Stock Adjustment'!$B:$B,$A816,'Stock Adjustment'!$D:$D,"Damaged")</f>
        <v>0</v>
      </c>
      <c r="K816" s="50">
        <f>SUMIFS('Stock Adjustment'!$E:$E,'Stock Adjustment'!$B:$B,$A816,'Stock Adjustment'!$D:$D,"Expired")</f>
        <v>0</v>
      </c>
      <c r="L816" s="50">
        <f>SUMIFS('Stock Adjustment'!$E:$E,'Stock Adjustment'!$B:$B,$A816,'Stock Adjustment'!$D:$D,"Supplier Returned")</f>
        <v>0</v>
      </c>
      <c r="M8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6" s="53" t="str">
        <f>IF(B816="","",VLOOKUP(B816,'Product Master'!$B:$G,4,FALSE))</f>
        <v/>
      </c>
      <c r="O816" s="53" t="str">
        <f>IF(B816="","",VLOOKUP(B816,'Product Master'!$B:$G,5,FALSE))</f>
        <v/>
      </c>
      <c r="P816" s="50" t="str">
        <f>IF(B816="","",VLOOKUP(B816,'Product Master'!$B:$I,7,FALSE))</f>
        <v/>
      </c>
      <c r="Q816" s="158"/>
      <c r="R816" s="58" t="str">
        <f t="shared" si="12"/>
        <v/>
      </c>
      <c r="S816" s="25"/>
      <c r="T816" s="25"/>
      <c r="U816" s="25"/>
      <c r="V816" s="25"/>
      <c r="W816" s="25"/>
      <c r="X816" s="25"/>
    </row>
    <row r="817" spans="1:24" x14ac:dyDescent="0.25">
      <c r="A817" s="31" t="s">
        <v>1377</v>
      </c>
      <c r="B817" s="32"/>
      <c r="C817" s="50" t="str">
        <f>IF(B817="","",VLOOKUP(B817,'Product Master'!$B:$G,2,FALSE))</f>
        <v/>
      </c>
      <c r="D817" s="50" t="str">
        <f>IF(B817="","",VLOOKUP(B817,'Product Master'!$B:$G,3,FALSE))</f>
        <v/>
      </c>
      <c r="E817" s="50"/>
      <c r="F817" s="50">
        <f>SUMIF('Stock Purchase'!$D:$D,B817,'Stock Purchase'!$F:$F)</f>
        <v>0</v>
      </c>
      <c r="G817" s="50">
        <f>SUMIFS('Stock Adjustment'!$E:$E,'Stock Adjustment'!$B:$B,$A817,'Stock Adjustment'!$D:$D,"Customer Returned")</f>
        <v>0</v>
      </c>
      <c r="H817" s="50">
        <f>SUMIF('Daily Sales Entry'!$D:$D,B817,'Daily Sales Entry'!$G:$G)</f>
        <v>0</v>
      </c>
      <c r="I817" s="50">
        <f>SUMIFS('Stock Adjustment'!$E:$E,'Stock Adjustment'!$B:$B,$A817,'Stock Adjustment'!$D:$D,"Staff Consumption")</f>
        <v>0</v>
      </c>
      <c r="J817" s="50">
        <f>SUMIFS('Stock Adjustment'!$E:$E,'Stock Adjustment'!$B:$B,$A817,'Stock Adjustment'!$D:$D,"Damaged")</f>
        <v>0</v>
      </c>
      <c r="K817" s="50">
        <f>SUMIFS('Stock Adjustment'!$E:$E,'Stock Adjustment'!$B:$B,$A817,'Stock Adjustment'!$D:$D,"Expired")</f>
        <v>0</v>
      </c>
      <c r="L817" s="50">
        <f>SUMIFS('Stock Adjustment'!$E:$E,'Stock Adjustment'!$B:$B,$A817,'Stock Adjustment'!$D:$D,"Supplier Returned")</f>
        <v>0</v>
      </c>
      <c r="M8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7" s="53" t="str">
        <f>IF(B817="","",VLOOKUP(B817,'Product Master'!$B:$G,4,FALSE))</f>
        <v/>
      </c>
      <c r="O817" s="53" t="str">
        <f>IF(B817="","",VLOOKUP(B817,'Product Master'!$B:$G,5,FALSE))</f>
        <v/>
      </c>
      <c r="P817" s="50" t="str">
        <f>IF(B817="","",VLOOKUP(B817,'Product Master'!$B:$I,7,FALSE))</f>
        <v/>
      </c>
      <c r="Q817" s="158"/>
      <c r="R817" s="58" t="str">
        <f t="shared" si="12"/>
        <v/>
      </c>
      <c r="S817" s="25"/>
      <c r="T817" s="25"/>
      <c r="U817" s="25"/>
      <c r="V817" s="25"/>
      <c r="W817" s="25"/>
      <c r="X817" s="25"/>
    </row>
    <row r="818" spans="1:24" x14ac:dyDescent="0.25">
      <c r="A818" s="31" t="s">
        <v>1378</v>
      </c>
      <c r="B818" s="32"/>
      <c r="C818" s="50" t="str">
        <f>IF(B818="","",VLOOKUP(B818,'Product Master'!$B:$G,2,FALSE))</f>
        <v/>
      </c>
      <c r="D818" s="50" t="str">
        <f>IF(B818="","",VLOOKUP(B818,'Product Master'!$B:$G,3,FALSE))</f>
        <v/>
      </c>
      <c r="E818" s="50"/>
      <c r="F818" s="50">
        <f>SUMIF('Stock Purchase'!$D:$D,B818,'Stock Purchase'!$F:$F)</f>
        <v>0</v>
      </c>
      <c r="G818" s="50">
        <f>SUMIFS('Stock Adjustment'!$E:$E,'Stock Adjustment'!$B:$B,$A818,'Stock Adjustment'!$D:$D,"Customer Returned")</f>
        <v>0</v>
      </c>
      <c r="H818" s="50">
        <f>SUMIF('Daily Sales Entry'!$D:$D,B818,'Daily Sales Entry'!$G:$G)</f>
        <v>0</v>
      </c>
      <c r="I818" s="50">
        <f>SUMIFS('Stock Adjustment'!$E:$E,'Stock Adjustment'!$B:$B,$A818,'Stock Adjustment'!$D:$D,"Staff Consumption")</f>
        <v>0</v>
      </c>
      <c r="J818" s="50">
        <f>SUMIFS('Stock Adjustment'!$E:$E,'Stock Adjustment'!$B:$B,$A818,'Stock Adjustment'!$D:$D,"Damaged")</f>
        <v>0</v>
      </c>
      <c r="K818" s="50">
        <f>SUMIFS('Stock Adjustment'!$E:$E,'Stock Adjustment'!$B:$B,$A818,'Stock Adjustment'!$D:$D,"Expired")</f>
        <v>0</v>
      </c>
      <c r="L818" s="50">
        <f>SUMIFS('Stock Adjustment'!$E:$E,'Stock Adjustment'!$B:$B,$A818,'Stock Adjustment'!$D:$D,"Supplier Returned")</f>
        <v>0</v>
      </c>
      <c r="M8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8" s="53" t="str">
        <f>IF(B818="","",VLOOKUP(B818,'Product Master'!$B:$G,4,FALSE))</f>
        <v/>
      </c>
      <c r="O818" s="53" t="str">
        <f>IF(B818="","",VLOOKUP(B818,'Product Master'!$B:$G,5,FALSE))</f>
        <v/>
      </c>
      <c r="P818" s="50" t="str">
        <f>IF(B818="","",VLOOKUP(B818,'Product Master'!$B:$I,7,FALSE))</f>
        <v/>
      </c>
      <c r="Q818" s="158"/>
      <c r="R818" s="58" t="str">
        <f t="shared" si="12"/>
        <v/>
      </c>
      <c r="S818" s="25"/>
      <c r="T818" s="25"/>
      <c r="U818" s="25"/>
      <c r="V818" s="25"/>
      <c r="W818" s="25"/>
      <c r="X818" s="25"/>
    </row>
    <row r="819" spans="1:24" x14ac:dyDescent="0.25">
      <c r="A819" s="31" t="s">
        <v>1379</v>
      </c>
      <c r="B819" s="32"/>
      <c r="C819" s="50" t="str">
        <f>IF(B819="","",VLOOKUP(B819,'Product Master'!$B:$G,2,FALSE))</f>
        <v/>
      </c>
      <c r="D819" s="50" t="str">
        <f>IF(B819="","",VLOOKUP(B819,'Product Master'!$B:$G,3,FALSE))</f>
        <v/>
      </c>
      <c r="E819" s="50"/>
      <c r="F819" s="50">
        <f>SUMIF('Stock Purchase'!$D:$D,B819,'Stock Purchase'!$F:$F)</f>
        <v>0</v>
      </c>
      <c r="G819" s="50">
        <f>SUMIFS('Stock Adjustment'!$E:$E,'Stock Adjustment'!$B:$B,$A819,'Stock Adjustment'!$D:$D,"Customer Returned")</f>
        <v>0</v>
      </c>
      <c r="H819" s="50">
        <f>SUMIF('Daily Sales Entry'!$D:$D,B819,'Daily Sales Entry'!$G:$G)</f>
        <v>0</v>
      </c>
      <c r="I819" s="50">
        <f>SUMIFS('Stock Adjustment'!$E:$E,'Stock Adjustment'!$B:$B,$A819,'Stock Adjustment'!$D:$D,"Staff Consumption")</f>
        <v>0</v>
      </c>
      <c r="J819" s="50">
        <f>SUMIFS('Stock Adjustment'!$E:$E,'Stock Adjustment'!$B:$B,$A819,'Stock Adjustment'!$D:$D,"Damaged")</f>
        <v>0</v>
      </c>
      <c r="K819" s="50">
        <f>SUMIFS('Stock Adjustment'!$E:$E,'Stock Adjustment'!$B:$B,$A819,'Stock Adjustment'!$D:$D,"Expired")</f>
        <v>0</v>
      </c>
      <c r="L819" s="50">
        <f>SUMIFS('Stock Adjustment'!$E:$E,'Stock Adjustment'!$B:$B,$A819,'Stock Adjustment'!$D:$D,"Supplier Returned")</f>
        <v>0</v>
      </c>
      <c r="M8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19" s="53" t="str">
        <f>IF(B819="","",VLOOKUP(B819,'Product Master'!$B:$G,4,FALSE))</f>
        <v/>
      </c>
      <c r="O819" s="53" t="str">
        <f>IF(B819="","",VLOOKUP(B819,'Product Master'!$B:$G,5,FALSE))</f>
        <v/>
      </c>
      <c r="P819" s="50" t="str">
        <f>IF(B819="","",VLOOKUP(B819,'Product Master'!$B:$I,7,FALSE))</f>
        <v/>
      </c>
      <c r="Q819" s="158"/>
      <c r="R819" s="58" t="str">
        <f t="shared" si="12"/>
        <v/>
      </c>
      <c r="S819" s="25"/>
      <c r="T819" s="25"/>
      <c r="U819" s="25"/>
      <c r="V819" s="25"/>
      <c r="W819" s="25"/>
      <c r="X819" s="25"/>
    </row>
    <row r="820" spans="1:24" x14ac:dyDescent="0.25">
      <c r="A820" s="31" t="s">
        <v>1380</v>
      </c>
      <c r="B820" s="32"/>
      <c r="C820" s="50" t="str">
        <f>IF(B820="","",VLOOKUP(B820,'Product Master'!$B:$G,2,FALSE))</f>
        <v/>
      </c>
      <c r="D820" s="50" t="str">
        <f>IF(B820="","",VLOOKUP(B820,'Product Master'!$B:$G,3,FALSE))</f>
        <v/>
      </c>
      <c r="E820" s="50"/>
      <c r="F820" s="50">
        <f>SUMIF('Stock Purchase'!$D:$D,B820,'Stock Purchase'!$F:$F)</f>
        <v>0</v>
      </c>
      <c r="G820" s="50">
        <f>SUMIFS('Stock Adjustment'!$E:$E,'Stock Adjustment'!$B:$B,$A820,'Stock Adjustment'!$D:$D,"Customer Returned")</f>
        <v>0</v>
      </c>
      <c r="H820" s="50">
        <f>SUMIF('Daily Sales Entry'!$D:$D,B820,'Daily Sales Entry'!$G:$G)</f>
        <v>0</v>
      </c>
      <c r="I820" s="50">
        <f>SUMIFS('Stock Adjustment'!$E:$E,'Stock Adjustment'!$B:$B,$A820,'Stock Adjustment'!$D:$D,"Staff Consumption")</f>
        <v>0</v>
      </c>
      <c r="J820" s="50">
        <f>SUMIFS('Stock Adjustment'!$E:$E,'Stock Adjustment'!$B:$B,$A820,'Stock Adjustment'!$D:$D,"Damaged")</f>
        <v>0</v>
      </c>
      <c r="K820" s="50">
        <f>SUMIFS('Stock Adjustment'!$E:$E,'Stock Adjustment'!$B:$B,$A820,'Stock Adjustment'!$D:$D,"Expired")</f>
        <v>0</v>
      </c>
      <c r="L820" s="50">
        <f>SUMIFS('Stock Adjustment'!$E:$E,'Stock Adjustment'!$B:$B,$A820,'Stock Adjustment'!$D:$D,"Supplier Returned")</f>
        <v>0</v>
      </c>
      <c r="M8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0" s="53" t="str">
        <f>IF(B820="","",VLOOKUP(B820,'Product Master'!$B:$G,4,FALSE))</f>
        <v/>
      </c>
      <c r="O820" s="53" t="str">
        <f>IF(B820="","",VLOOKUP(B820,'Product Master'!$B:$G,5,FALSE))</f>
        <v/>
      </c>
      <c r="P820" s="50" t="str">
        <f>IF(B820="","",VLOOKUP(B820,'Product Master'!$B:$I,7,FALSE))</f>
        <v/>
      </c>
      <c r="Q820" s="158"/>
      <c r="R820" s="58" t="str">
        <f t="shared" si="12"/>
        <v/>
      </c>
      <c r="S820" s="25"/>
      <c r="T820" s="25"/>
      <c r="U820" s="25"/>
      <c r="V820" s="25"/>
      <c r="W820" s="25"/>
      <c r="X820" s="25"/>
    </row>
    <row r="821" spans="1:24" x14ac:dyDescent="0.25">
      <c r="A821" s="31" t="s">
        <v>1381</v>
      </c>
      <c r="B821" s="32"/>
      <c r="C821" s="50" t="str">
        <f>IF(B821="","",VLOOKUP(B821,'Product Master'!$B:$G,2,FALSE))</f>
        <v/>
      </c>
      <c r="D821" s="50" t="str">
        <f>IF(B821="","",VLOOKUP(B821,'Product Master'!$B:$G,3,FALSE))</f>
        <v/>
      </c>
      <c r="E821" s="50"/>
      <c r="F821" s="50">
        <f>SUMIF('Stock Purchase'!$D:$D,B821,'Stock Purchase'!$F:$F)</f>
        <v>0</v>
      </c>
      <c r="G821" s="50">
        <f>SUMIFS('Stock Adjustment'!$E:$E,'Stock Adjustment'!$B:$B,$A821,'Stock Adjustment'!$D:$D,"Customer Returned")</f>
        <v>0</v>
      </c>
      <c r="H821" s="50">
        <f>SUMIF('Daily Sales Entry'!$D:$D,B821,'Daily Sales Entry'!$G:$G)</f>
        <v>0</v>
      </c>
      <c r="I821" s="50">
        <f>SUMIFS('Stock Adjustment'!$E:$E,'Stock Adjustment'!$B:$B,$A821,'Stock Adjustment'!$D:$D,"Staff Consumption")</f>
        <v>0</v>
      </c>
      <c r="J821" s="50">
        <f>SUMIFS('Stock Adjustment'!$E:$E,'Stock Adjustment'!$B:$B,$A821,'Stock Adjustment'!$D:$D,"Damaged")</f>
        <v>0</v>
      </c>
      <c r="K821" s="50">
        <f>SUMIFS('Stock Adjustment'!$E:$E,'Stock Adjustment'!$B:$B,$A821,'Stock Adjustment'!$D:$D,"Expired")</f>
        <v>0</v>
      </c>
      <c r="L821" s="50">
        <f>SUMIFS('Stock Adjustment'!$E:$E,'Stock Adjustment'!$B:$B,$A821,'Stock Adjustment'!$D:$D,"Supplier Returned")</f>
        <v>0</v>
      </c>
      <c r="M8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1" s="53" t="str">
        <f>IF(B821="","",VLOOKUP(B821,'Product Master'!$B:$G,4,FALSE))</f>
        <v/>
      </c>
      <c r="O821" s="53" t="str">
        <f>IF(B821="","",VLOOKUP(B821,'Product Master'!$B:$G,5,FALSE))</f>
        <v/>
      </c>
      <c r="P821" s="50" t="str">
        <f>IF(B821="","",VLOOKUP(B821,'Product Master'!$B:$I,7,FALSE))</f>
        <v/>
      </c>
      <c r="Q821" s="158"/>
      <c r="R821" s="58" t="str">
        <f t="shared" si="12"/>
        <v/>
      </c>
      <c r="S821" s="25"/>
      <c r="T821" s="25"/>
      <c r="U821" s="25"/>
      <c r="V821" s="25"/>
      <c r="W821" s="25"/>
      <c r="X821" s="25"/>
    </row>
    <row r="822" spans="1:24" x14ac:dyDescent="0.25">
      <c r="A822" s="31" t="s">
        <v>1382</v>
      </c>
      <c r="B822" s="32"/>
      <c r="C822" s="50" t="str">
        <f>IF(B822="","",VLOOKUP(B822,'Product Master'!$B:$G,2,FALSE))</f>
        <v/>
      </c>
      <c r="D822" s="50" t="str">
        <f>IF(B822="","",VLOOKUP(B822,'Product Master'!$B:$G,3,FALSE))</f>
        <v/>
      </c>
      <c r="E822" s="50"/>
      <c r="F822" s="50">
        <f>SUMIF('Stock Purchase'!$D:$D,B822,'Stock Purchase'!$F:$F)</f>
        <v>0</v>
      </c>
      <c r="G822" s="50">
        <f>SUMIFS('Stock Adjustment'!$E:$E,'Stock Adjustment'!$B:$B,$A822,'Stock Adjustment'!$D:$D,"Customer Returned")</f>
        <v>0</v>
      </c>
      <c r="H822" s="50">
        <f>SUMIF('Daily Sales Entry'!$D:$D,B822,'Daily Sales Entry'!$G:$G)</f>
        <v>0</v>
      </c>
      <c r="I822" s="50">
        <f>SUMIFS('Stock Adjustment'!$E:$E,'Stock Adjustment'!$B:$B,$A822,'Stock Adjustment'!$D:$D,"Staff Consumption")</f>
        <v>0</v>
      </c>
      <c r="J822" s="50">
        <f>SUMIFS('Stock Adjustment'!$E:$E,'Stock Adjustment'!$B:$B,$A822,'Stock Adjustment'!$D:$D,"Damaged")</f>
        <v>0</v>
      </c>
      <c r="K822" s="50">
        <f>SUMIFS('Stock Adjustment'!$E:$E,'Stock Adjustment'!$B:$B,$A822,'Stock Adjustment'!$D:$D,"Expired")</f>
        <v>0</v>
      </c>
      <c r="L822" s="50">
        <f>SUMIFS('Stock Adjustment'!$E:$E,'Stock Adjustment'!$B:$B,$A822,'Stock Adjustment'!$D:$D,"Supplier Returned")</f>
        <v>0</v>
      </c>
      <c r="M8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2" s="53" t="str">
        <f>IF(B822="","",VLOOKUP(B822,'Product Master'!$B:$G,4,FALSE))</f>
        <v/>
      </c>
      <c r="O822" s="53" t="str">
        <f>IF(B822="","",VLOOKUP(B822,'Product Master'!$B:$G,5,FALSE))</f>
        <v/>
      </c>
      <c r="P822" s="50" t="str">
        <f>IF(B822="","",VLOOKUP(B822,'Product Master'!$B:$I,7,FALSE))</f>
        <v/>
      </c>
      <c r="Q822" s="158"/>
      <c r="R822" s="58" t="str">
        <f t="shared" si="12"/>
        <v/>
      </c>
      <c r="S822" s="25"/>
      <c r="T822" s="25"/>
      <c r="U822" s="25"/>
      <c r="V822" s="25"/>
      <c r="W822" s="25"/>
      <c r="X822" s="25"/>
    </row>
    <row r="823" spans="1:24" x14ac:dyDescent="0.25">
      <c r="A823" s="31" t="s">
        <v>1383</v>
      </c>
      <c r="B823" s="32"/>
      <c r="C823" s="50" t="str">
        <f>IF(B823="","",VLOOKUP(B823,'Product Master'!$B:$G,2,FALSE))</f>
        <v/>
      </c>
      <c r="D823" s="50" t="str">
        <f>IF(B823="","",VLOOKUP(B823,'Product Master'!$B:$G,3,FALSE))</f>
        <v/>
      </c>
      <c r="E823" s="50"/>
      <c r="F823" s="50">
        <f>SUMIF('Stock Purchase'!$D:$D,B823,'Stock Purchase'!$F:$F)</f>
        <v>0</v>
      </c>
      <c r="G823" s="50">
        <f>SUMIFS('Stock Adjustment'!$E:$E,'Stock Adjustment'!$B:$B,$A823,'Stock Adjustment'!$D:$D,"Customer Returned")</f>
        <v>0</v>
      </c>
      <c r="H823" s="50">
        <f>SUMIF('Daily Sales Entry'!$D:$D,B823,'Daily Sales Entry'!$G:$G)</f>
        <v>0</v>
      </c>
      <c r="I823" s="50">
        <f>SUMIFS('Stock Adjustment'!$E:$E,'Stock Adjustment'!$B:$B,$A823,'Stock Adjustment'!$D:$D,"Staff Consumption")</f>
        <v>0</v>
      </c>
      <c r="J823" s="50">
        <f>SUMIFS('Stock Adjustment'!$E:$E,'Stock Adjustment'!$B:$B,$A823,'Stock Adjustment'!$D:$D,"Damaged")</f>
        <v>0</v>
      </c>
      <c r="K823" s="50">
        <f>SUMIFS('Stock Adjustment'!$E:$E,'Stock Adjustment'!$B:$B,$A823,'Stock Adjustment'!$D:$D,"Expired")</f>
        <v>0</v>
      </c>
      <c r="L823" s="50">
        <f>SUMIFS('Stock Adjustment'!$E:$E,'Stock Adjustment'!$B:$B,$A823,'Stock Adjustment'!$D:$D,"Supplier Returned")</f>
        <v>0</v>
      </c>
      <c r="M8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3" s="53" t="str">
        <f>IF(B823="","",VLOOKUP(B823,'Product Master'!$B:$G,4,FALSE))</f>
        <v/>
      </c>
      <c r="O823" s="53" t="str">
        <f>IF(B823="","",VLOOKUP(B823,'Product Master'!$B:$G,5,FALSE))</f>
        <v/>
      </c>
      <c r="P823" s="50" t="str">
        <f>IF(B823="","",VLOOKUP(B823,'Product Master'!$B:$I,7,FALSE))</f>
        <v/>
      </c>
      <c r="Q823" s="158"/>
      <c r="R823" s="58" t="str">
        <f t="shared" si="12"/>
        <v/>
      </c>
      <c r="S823" s="25"/>
      <c r="T823" s="25"/>
      <c r="U823" s="25"/>
      <c r="V823" s="25"/>
      <c r="W823" s="25"/>
      <c r="X823" s="25"/>
    </row>
    <row r="824" spans="1:24" x14ac:dyDescent="0.25">
      <c r="A824" s="31" t="s">
        <v>1384</v>
      </c>
      <c r="B824" s="32"/>
      <c r="C824" s="50" t="str">
        <f>IF(B824="","",VLOOKUP(B824,'Product Master'!$B:$G,2,FALSE))</f>
        <v/>
      </c>
      <c r="D824" s="50" t="str">
        <f>IF(B824="","",VLOOKUP(B824,'Product Master'!$B:$G,3,FALSE))</f>
        <v/>
      </c>
      <c r="E824" s="50"/>
      <c r="F824" s="50">
        <f>SUMIF('Stock Purchase'!$D:$D,B824,'Stock Purchase'!$F:$F)</f>
        <v>0</v>
      </c>
      <c r="G824" s="50">
        <f>SUMIFS('Stock Adjustment'!$E:$E,'Stock Adjustment'!$B:$B,$A824,'Stock Adjustment'!$D:$D,"Customer Returned")</f>
        <v>0</v>
      </c>
      <c r="H824" s="50">
        <f>SUMIF('Daily Sales Entry'!$D:$D,B824,'Daily Sales Entry'!$G:$G)</f>
        <v>0</v>
      </c>
      <c r="I824" s="50">
        <f>SUMIFS('Stock Adjustment'!$E:$E,'Stock Adjustment'!$B:$B,$A824,'Stock Adjustment'!$D:$D,"Staff Consumption")</f>
        <v>0</v>
      </c>
      <c r="J824" s="50">
        <f>SUMIFS('Stock Adjustment'!$E:$E,'Stock Adjustment'!$B:$B,$A824,'Stock Adjustment'!$D:$D,"Damaged")</f>
        <v>0</v>
      </c>
      <c r="K824" s="50">
        <f>SUMIFS('Stock Adjustment'!$E:$E,'Stock Adjustment'!$B:$B,$A824,'Stock Adjustment'!$D:$D,"Expired")</f>
        <v>0</v>
      </c>
      <c r="L824" s="50">
        <f>SUMIFS('Stock Adjustment'!$E:$E,'Stock Adjustment'!$B:$B,$A824,'Stock Adjustment'!$D:$D,"Supplier Returned")</f>
        <v>0</v>
      </c>
      <c r="M8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4" s="53" t="str">
        <f>IF(B824="","",VLOOKUP(B824,'Product Master'!$B:$G,4,FALSE))</f>
        <v/>
      </c>
      <c r="O824" s="53" t="str">
        <f>IF(B824="","",VLOOKUP(B824,'Product Master'!$B:$G,5,FALSE))</f>
        <v/>
      </c>
      <c r="P824" s="50" t="str">
        <f>IF(B824="","",VLOOKUP(B824,'Product Master'!$B:$I,7,FALSE))</f>
        <v/>
      </c>
      <c r="Q824" s="158"/>
      <c r="R824" s="58" t="str">
        <f t="shared" si="12"/>
        <v/>
      </c>
      <c r="S824" s="25"/>
      <c r="T824" s="25"/>
      <c r="U824" s="25"/>
      <c r="V824" s="25"/>
      <c r="W824" s="25"/>
      <c r="X824" s="25"/>
    </row>
    <row r="825" spans="1:24" x14ac:dyDescent="0.25">
      <c r="A825" s="31" t="s">
        <v>1385</v>
      </c>
      <c r="B825" s="32"/>
      <c r="C825" s="50" t="str">
        <f>IF(B825="","",VLOOKUP(B825,'Product Master'!$B:$G,2,FALSE))</f>
        <v/>
      </c>
      <c r="D825" s="50" t="str">
        <f>IF(B825="","",VLOOKUP(B825,'Product Master'!$B:$G,3,FALSE))</f>
        <v/>
      </c>
      <c r="E825" s="50"/>
      <c r="F825" s="50">
        <f>SUMIF('Stock Purchase'!$D:$D,B825,'Stock Purchase'!$F:$F)</f>
        <v>0</v>
      </c>
      <c r="G825" s="50">
        <f>SUMIFS('Stock Adjustment'!$E:$E,'Stock Adjustment'!$B:$B,$A825,'Stock Adjustment'!$D:$D,"Customer Returned")</f>
        <v>0</v>
      </c>
      <c r="H825" s="50">
        <f>SUMIF('Daily Sales Entry'!$D:$D,B825,'Daily Sales Entry'!$G:$G)</f>
        <v>0</v>
      </c>
      <c r="I825" s="50">
        <f>SUMIFS('Stock Adjustment'!$E:$E,'Stock Adjustment'!$B:$B,$A825,'Stock Adjustment'!$D:$D,"Staff Consumption")</f>
        <v>0</v>
      </c>
      <c r="J825" s="50">
        <f>SUMIFS('Stock Adjustment'!$E:$E,'Stock Adjustment'!$B:$B,$A825,'Stock Adjustment'!$D:$D,"Damaged")</f>
        <v>0</v>
      </c>
      <c r="K825" s="50">
        <f>SUMIFS('Stock Adjustment'!$E:$E,'Stock Adjustment'!$B:$B,$A825,'Stock Adjustment'!$D:$D,"Expired")</f>
        <v>0</v>
      </c>
      <c r="L825" s="50">
        <f>SUMIFS('Stock Adjustment'!$E:$E,'Stock Adjustment'!$B:$B,$A825,'Stock Adjustment'!$D:$D,"Supplier Returned")</f>
        <v>0</v>
      </c>
      <c r="M8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5" s="53" t="str">
        <f>IF(B825="","",VLOOKUP(B825,'Product Master'!$B:$G,4,FALSE))</f>
        <v/>
      </c>
      <c r="O825" s="53" t="str">
        <f>IF(B825="","",VLOOKUP(B825,'Product Master'!$B:$G,5,FALSE))</f>
        <v/>
      </c>
      <c r="P825" s="50" t="str">
        <f>IF(B825="","",VLOOKUP(B825,'Product Master'!$B:$I,7,FALSE))</f>
        <v/>
      </c>
      <c r="Q825" s="158"/>
      <c r="R825" s="58" t="str">
        <f t="shared" si="12"/>
        <v/>
      </c>
      <c r="S825" s="25"/>
      <c r="T825" s="25"/>
      <c r="U825" s="25"/>
      <c r="V825" s="25"/>
      <c r="W825" s="25"/>
      <c r="X825" s="25"/>
    </row>
    <row r="826" spans="1:24" x14ac:dyDescent="0.25">
      <c r="A826" s="31" t="s">
        <v>1386</v>
      </c>
      <c r="B826" s="32"/>
      <c r="C826" s="50" t="str">
        <f>IF(B826="","",VLOOKUP(B826,'Product Master'!$B:$G,2,FALSE))</f>
        <v/>
      </c>
      <c r="D826" s="50" t="str">
        <f>IF(B826="","",VLOOKUP(B826,'Product Master'!$B:$G,3,FALSE))</f>
        <v/>
      </c>
      <c r="E826" s="50"/>
      <c r="F826" s="50">
        <f>SUMIF('Stock Purchase'!$D:$D,B826,'Stock Purchase'!$F:$F)</f>
        <v>0</v>
      </c>
      <c r="G826" s="50">
        <f>SUMIFS('Stock Adjustment'!$E:$E,'Stock Adjustment'!$B:$B,$A826,'Stock Adjustment'!$D:$D,"Customer Returned")</f>
        <v>0</v>
      </c>
      <c r="H826" s="50">
        <f>SUMIF('Daily Sales Entry'!$D:$D,B826,'Daily Sales Entry'!$G:$G)</f>
        <v>0</v>
      </c>
      <c r="I826" s="50">
        <f>SUMIFS('Stock Adjustment'!$E:$E,'Stock Adjustment'!$B:$B,$A826,'Stock Adjustment'!$D:$D,"Staff Consumption")</f>
        <v>0</v>
      </c>
      <c r="J826" s="50">
        <f>SUMIFS('Stock Adjustment'!$E:$E,'Stock Adjustment'!$B:$B,$A826,'Stock Adjustment'!$D:$D,"Damaged")</f>
        <v>0</v>
      </c>
      <c r="K826" s="50">
        <f>SUMIFS('Stock Adjustment'!$E:$E,'Stock Adjustment'!$B:$B,$A826,'Stock Adjustment'!$D:$D,"Expired")</f>
        <v>0</v>
      </c>
      <c r="L826" s="50">
        <f>SUMIFS('Stock Adjustment'!$E:$E,'Stock Adjustment'!$B:$B,$A826,'Stock Adjustment'!$D:$D,"Supplier Returned")</f>
        <v>0</v>
      </c>
      <c r="M8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6" s="53" t="str">
        <f>IF(B826="","",VLOOKUP(B826,'Product Master'!$B:$G,4,FALSE))</f>
        <v/>
      </c>
      <c r="O826" s="53" t="str">
        <f>IF(B826="","",VLOOKUP(B826,'Product Master'!$B:$G,5,FALSE))</f>
        <v/>
      </c>
      <c r="P826" s="50" t="str">
        <f>IF(B826="","",VLOOKUP(B826,'Product Master'!$B:$I,7,FALSE))</f>
        <v/>
      </c>
      <c r="Q826" s="158"/>
      <c r="R826" s="58" t="str">
        <f t="shared" si="12"/>
        <v/>
      </c>
      <c r="S826" s="25"/>
      <c r="T826" s="25"/>
      <c r="U826" s="25"/>
      <c r="V826" s="25"/>
      <c r="W826" s="25"/>
      <c r="X826" s="25"/>
    </row>
    <row r="827" spans="1:24" x14ac:dyDescent="0.25">
      <c r="A827" s="31" t="s">
        <v>1387</v>
      </c>
      <c r="B827" s="32"/>
      <c r="C827" s="50" t="str">
        <f>IF(B827="","",VLOOKUP(B827,'Product Master'!$B:$G,2,FALSE))</f>
        <v/>
      </c>
      <c r="D827" s="50" t="str">
        <f>IF(B827="","",VLOOKUP(B827,'Product Master'!$B:$G,3,FALSE))</f>
        <v/>
      </c>
      <c r="E827" s="50"/>
      <c r="F827" s="50">
        <f>SUMIF('Stock Purchase'!$D:$D,B827,'Stock Purchase'!$F:$F)</f>
        <v>0</v>
      </c>
      <c r="G827" s="50">
        <f>SUMIFS('Stock Adjustment'!$E:$E,'Stock Adjustment'!$B:$B,$A827,'Stock Adjustment'!$D:$D,"Customer Returned")</f>
        <v>0</v>
      </c>
      <c r="H827" s="50">
        <f>SUMIF('Daily Sales Entry'!$D:$D,B827,'Daily Sales Entry'!$G:$G)</f>
        <v>0</v>
      </c>
      <c r="I827" s="50">
        <f>SUMIFS('Stock Adjustment'!$E:$E,'Stock Adjustment'!$B:$B,$A827,'Stock Adjustment'!$D:$D,"Staff Consumption")</f>
        <v>0</v>
      </c>
      <c r="J827" s="50">
        <f>SUMIFS('Stock Adjustment'!$E:$E,'Stock Adjustment'!$B:$B,$A827,'Stock Adjustment'!$D:$D,"Damaged")</f>
        <v>0</v>
      </c>
      <c r="K827" s="50">
        <f>SUMIFS('Stock Adjustment'!$E:$E,'Stock Adjustment'!$B:$B,$A827,'Stock Adjustment'!$D:$D,"Expired")</f>
        <v>0</v>
      </c>
      <c r="L827" s="50">
        <f>SUMIFS('Stock Adjustment'!$E:$E,'Stock Adjustment'!$B:$B,$A827,'Stock Adjustment'!$D:$D,"Supplier Returned")</f>
        <v>0</v>
      </c>
      <c r="M8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7" s="53" t="str">
        <f>IF(B827="","",VLOOKUP(B827,'Product Master'!$B:$G,4,FALSE))</f>
        <v/>
      </c>
      <c r="O827" s="53" t="str">
        <f>IF(B827="","",VLOOKUP(B827,'Product Master'!$B:$G,5,FALSE))</f>
        <v/>
      </c>
      <c r="P827" s="50" t="str">
        <f>IF(B827="","",VLOOKUP(B827,'Product Master'!$B:$I,7,FALSE))</f>
        <v/>
      </c>
      <c r="Q827" s="158"/>
      <c r="R827" s="58" t="str">
        <f t="shared" si="12"/>
        <v/>
      </c>
      <c r="S827" s="25"/>
      <c r="T827" s="25"/>
      <c r="U827" s="25"/>
      <c r="V827" s="25"/>
      <c r="W827" s="25"/>
      <c r="X827" s="25"/>
    </row>
    <row r="828" spans="1:24" x14ac:dyDescent="0.25">
      <c r="A828" s="31" t="s">
        <v>1388</v>
      </c>
      <c r="B828" s="32"/>
      <c r="C828" s="50" t="str">
        <f>IF(B828="","",VLOOKUP(B828,'Product Master'!$B:$G,2,FALSE))</f>
        <v/>
      </c>
      <c r="D828" s="50" t="str">
        <f>IF(B828="","",VLOOKUP(B828,'Product Master'!$B:$G,3,FALSE))</f>
        <v/>
      </c>
      <c r="E828" s="50"/>
      <c r="F828" s="50">
        <f>SUMIF('Stock Purchase'!$D:$D,B828,'Stock Purchase'!$F:$F)</f>
        <v>0</v>
      </c>
      <c r="G828" s="50">
        <f>SUMIFS('Stock Adjustment'!$E:$E,'Stock Adjustment'!$B:$B,$A828,'Stock Adjustment'!$D:$D,"Customer Returned")</f>
        <v>0</v>
      </c>
      <c r="H828" s="50">
        <f>SUMIF('Daily Sales Entry'!$D:$D,B828,'Daily Sales Entry'!$G:$G)</f>
        <v>0</v>
      </c>
      <c r="I828" s="50">
        <f>SUMIFS('Stock Adjustment'!$E:$E,'Stock Adjustment'!$B:$B,$A828,'Stock Adjustment'!$D:$D,"Staff Consumption")</f>
        <v>0</v>
      </c>
      <c r="J828" s="50">
        <f>SUMIFS('Stock Adjustment'!$E:$E,'Stock Adjustment'!$B:$B,$A828,'Stock Adjustment'!$D:$D,"Damaged")</f>
        <v>0</v>
      </c>
      <c r="K828" s="50">
        <f>SUMIFS('Stock Adjustment'!$E:$E,'Stock Adjustment'!$B:$B,$A828,'Stock Adjustment'!$D:$D,"Expired")</f>
        <v>0</v>
      </c>
      <c r="L828" s="50">
        <f>SUMIFS('Stock Adjustment'!$E:$E,'Stock Adjustment'!$B:$B,$A828,'Stock Adjustment'!$D:$D,"Supplier Returned")</f>
        <v>0</v>
      </c>
      <c r="M8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8" s="53" t="str">
        <f>IF(B828="","",VLOOKUP(B828,'Product Master'!$B:$G,4,FALSE))</f>
        <v/>
      </c>
      <c r="O828" s="53" t="str">
        <f>IF(B828="","",VLOOKUP(B828,'Product Master'!$B:$G,5,FALSE))</f>
        <v/>
      </c>
      <c r="P828" s="50" t="str">
        <f>IF(B828="","",VLOOKUP(B828,'Product Master'!$B:$I,7,FALSE))</f>
        <v/>
      </c>
      <c r="Q828" s="158"/>
      <c r="R828" s="58" t="str">
        <f t="shared" si="12"/>
        <v/>
      </c>
      <c r="S828" s="25"/>
      <c r="T828" s="25"/>
      <c r="U828" s="25"/>
      <c r="V828" s="25"/>
      <c r="W828" s="25"/>
      <c r="X828" s="25"/>
    </row>
    <row r="829" spans="1:24" x14ac:dyDescent="0.25">
      <c r="A829" s="31" t="s">
        <v>1389</v>
      </c>
      <c r="B829" s="32"/>
      <c r="C829" s="50" t="str">
        <f>IF(B829="","",VLOOKUP(B829,'Product Master'!$B:$G,2,FALSE))</f>
        <v/>
      </c>
      <c r="D829" s="50" t="str">
        <f>IF(B829="","",VLOOKUP(B829,'Product Master'!$B:$G,3,FALSE))</f>
        <v/>
      </c>
      <c r="E829" s="50"/>
      <c r="F829" s="50">
        <f>SUMIF('Stock Purchase'!$D:$D,B829,'Stock Purchase'!$F:$F)</f>
        <v>0</v>
      </c>
      <c r="G829" s="50">
        <f>SUMIFS('Stock Adjustment'!$E:$E,'Stock Adjustment'!$B:$B,$A829,'Stock Adjustment'!$D:$D,"Customer Returned")</f>
        <v>0</v>
      </c>
      <c r="H829" s="50">
        <f>SUMIF('Daily Sales Entry'!$D:$D,B829,'Daily Sales Entry'!$G:$G)</f>
        <v>0</v>
      </c>
      <c r="I829" s="50">
        <f>SUMIFS('Stock Adjustment'!$E:$E,'Stock Adjustment'!$B:$B,$A829,'Stock Adjustment'!$D:$D,"Staff Consumption")</f>
        <v>0</v>
      </c>
      <c r="J829" s="50">
        <f>SUMIFS('Stock Adjustment'!$E:$E,'Stock Adjustment'!$B:$B,$A829,'Stock Adjustment'!$D:$D,"Damaged")</f>
        <v>0</v>
      </c>
      <c r="K829" s="50">
        <f>SUMIFS('Stock Adjustment'!$E:$E,'Stock Adjustment'!$B:$B,$A829,'Stock Adjustment'!$D:$D,"Expired")</f>
        <v>0</v>
      </c>
      <c r="L829" s="50">
        <f>SUMIFS('Stock Adjustment'!$E:$E,'Stock Adjustment'!$B:$B,$A829,'Stock Adjustment'!$D:$D,"Supplier Returned")</f>
        <v>0</v>
      </c>
      <c r="M8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29" s="53" t="str">
        <f>IF(B829="","",VLOOKUP(B829,'Product Master'!$B:$G,4,FALSE))</f>
        <v/>
      </c>
      <c r="O829" s="53" t="str">
        <f>IF(B829="","",VLOOKUP(B829,'Product Master'!$B:$G,5,FALSE))</f>
        <v/>
      </c>
      <c r="P829" s="50" t="str">
        <f>IF(B829="","",VLOOKUP(B829,'Product Master'!$B:$I,7,FALSE))</f>
        <v/>
      </c>
      <c r="Q829" s="158"/>
      <c r="R829" s="58" t="str">
        <f t="shared" si="12"/>
        <v/>
      </c>
      <c r="S829" s="25"/>
      <c r="T829" s="25"/>
      <c r="U829" s="25"/>
      <c r="V829" s="25"/>
      <c r="W829" s="25"/>
      <c r="X829" s="25"/>
    </row>
    <row r="830" spans="1:24" x14ac:dyDescent="0.25">
      <c r="A830" s="31" t="s">
        <v>1390</v>
      </c>
      <c r="B830" s="32"/>
      <c r="C830" s="50" t="str">
        <f>IF(B830="","",VLOOKUP(B830,'Product Master'!$B:$G,2,FALSE))</f>
        <v/>
      </c>
      <c r="D830" s="50" t="str">
        <f>IF(B830="","",VLOOKUP(B830,'Product Master'!$B:$G,3,FALSE))</f>
        <v/>
      </c>
      <c r="E830" s="50"/>
      <c r="F830" s="50">
        <f>SUMIF('Stock Purchase'!$D:$D,B830,'Stock Purchase'!$F:$F)</f>
        <v>0</v>
      </c>
      <c r="G830" s="50">
        <f>SUMIFS('Stock Adjustment'!$E:$E,'Stock Adjustment'!$B:$B,$A830,'Stock Adjustment'!$D:$D,"Customer Returned")</f>
        <v>0</v>
      </c>
      <c r="H830" s="50">
        <f>SUMIF('Daily Sales Entry'!$D:$D,B830,'Daily Sales Entry'!$G:$G)</f>
        <v>0</v>
      </c>
      <c r="I830" s="50">
        <f>SUMIFS('Stock Adjustment'!$E:$E,'Stock Adjustment'!$B:$B,$A830,'Stock Adjustment'!$D:$D,"Staff Consumption")</f>
        <v>0</v>
      </c>
      <c r="J830" s="50">
        <f>SUMIFS('Stock Adjustment'!$E:$E,'Stock Adjustment'!$B:$B,$A830,'Stock Adjustment'!$D:$D,"Damaged")</f>
        <v>0</v>
      </c>
      <c r="K830" s="50">
        <f>SUMIFS('Stock Adjustment'!$E:$E,'Stock Adjustment'!$B:$B,$A830,'Stock Adjustment'!$D:$D,"Expired")</f>
        <v>0</v>
      </c>
      <c r="L830" s="50">
        <f>SUMIFS('Stock Adjustment'!$E:$E,'Stock Adjustment'!$B:$B,$A830,'Stock Adjustment'!$D:$D,"Supplier Returned")</f>
        <v>0</v>
      </c>
      <c r="M8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0" s="53" t="str">
        <f>IF(B830="","",VLOOKUP(B830,'Product Master'!$B:$G,4,FALSE))</f>
        <v/>
      </c>
      <c r="O830" s="53" t="str">
        <f>IF(B830="","",VLOOKUP(B830,'Product Master'!$B:$G,5,FALSE))</f>
        <v/>
      </c>
      <c r="P830" s="50" t="str">
        <f>IF(B830="","",VLOOKUP(B830,'Product Master'!$B:$I,7,FALSE))</f>
        <v/>
      </c>
      <c r="Q830" s="158"/>
      <c r="R830" s="58" t="str">
        <f t="shared" si="12"/>
        <v/>
      </c>
      <c r="S830" s="25"/>
      <c r="T830" s="25"/>
      <c r="U830" s="25"/>
      <c r="V830" s="25"/>
      <c r="W830" s="25"/>
      <c r="X830" s="25"/>
    </row>
    <row r="831" spans="1:24" x14ac:dyDescent="0.25">
      <c r="A831" s="31" t="s">
        <v>1391</v>
      </c>
      <c r="B831" s="32"/>
      <c r="C831" s="50" t="str">
        <f>IF(B831="","",VLOOKUP(B831,'Product Master'!$B:$G,2,FALSE))</f>
        <v/>
      </c>
      <c r="D831" s="50" t="str">
        <f>IF(B831="","",VLOOKUP(B831,'Product Master'!$B:$G,3,FALSE))</f>
        <v/>
      </c>
      <c r="E831" s="50"/>
      <c r="F831" s="50">
        <f>SUMIF('Stock Purchase'!$D:$D,B831,'Stock Purchase'!$F:$F)</f>
        <v>0</v>
      </c>
      <c r="G831" s="50">
        <f>SUMIFS('Stock Adjustment'!$E:$E,'Stock Adjustment'!$B:$B,$A831,'Stock Adjustment'!$D:$D,"Customer Returned")</f>
        <v>0</v>
      </c>
      <c r="H831" s="50">
        <f>SUMIF('Daily Sales Entry'!$D:$D,B831,'Daily Sales Entry'!$G:$G)</f>
        <v>0</v>
      </c>
      <c r="I831" s="50">
        <f>SUMIFS('Stock Adjustment'!$E:$E,'Stock Adjustment'!$B:$B,$A831,'Stock Adjustment'!$D:$D,"Staff Consumption")</f>
        <v>0</v>
      </c>
      <c r="J831" s="50">
        <f>SUMIFS('Stock Adjustment'!$E:$E,'Stock Adjustment'!$B:$B,$A831,'Stock Adjustment'!$D:$D,"Damaged")</f>
        <v>0</v>
      </c>
      <c r="K831" s="50">
        <f>SUMIFS('Stock Adjustment'!$E:$E,'Stock Adjustment'!$B:$B,$A831,'Stock Adjustment'!$D:$D,"Expired")</f>
        <v>0</v>
      </c>
      <c r="L831" s="50">
        <f>SUMIFS('Stock Adjustment'!$E:$E,'Stock Adjustment'!$B:$B,$A831,'Stock Adjustment'!$D:$D,"Supplier Returned")</f>
        <v>0</v>
      </c>
      <c r="M8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1" s="53" t="str">
        <f>IF(B831="","",VLOOKUP(B831,'Product Master'!$B:$G,4,FALSE))</f>
        <v/>
      </c>
      <c r="O831" s="53" t="str">
        <f>IF(B831="","",VLOOKUP(B831,'Product Master'!$B:$G,5,FALSE))</f>
        <v/>
      </c>
      <c r="P831" s="50" t="str">
        <f>IF(B831="","",VLOOKUP(B831,'Product Master'!$B:$I,7,FALSE))</f>
        <v/>
      </c>
      <c r="Q831" s="158"/>
      <c r="R831" s="58" t="str">
        <f t="shared" si="12"/>
        <v/>
      </c>
      <c r="S831" s="25"/>
      <c r="T831" s="25"/>
      <c r="U831" s="25"/>
      <c r="V831" s="25"/>
      <c r="W831" s="25"/>
      <c r="X831" s="25"/>
    </row>
    <row r="832" spans="1:24" x14ac:dyDescent="0.25">
      <c r="A832" s="31" t="s">
        <v>1392</v>
      </c>
      <c r="B832" s="32"/>
      <c r="C832" s="50" t="str">
        <f>IF(B832="","",VLOOKUP(B832,'Product Master'!$B:$G,2,FALSE))</f>
        <v/>
      </c>
      <c r="D832" s="50" t="str">
        <f>IF(B832="","",VLOOKUP(B832,'Product Master'!$B:$G,3,FALSE))</f>
        <v/>
      </c>
      <c r="E832" s="50"/>
      <c r="F832" s="50">
        <f>SUMIF('Stock Purchase'!$D:$D,B832,'Stock Purchase'!$F:$F)</f>
        <v>0</v>
      </c>
      <c r="G832" s="50">
        <f>SUMIFS('Stock Adjustment'!$E:$E,'Stock Adjustment'!$B:$B,$A832,'Stock Adjustment'!$D:$D,"Customer Returned")</f>
        <v>0</v>
      </c>
      <c r="H832" s="50">
        <f>SUMIF('Daily Sales Entry'!$D:$D,B832,'Daily Sales Entry'!$G:$G)</f>
        <v>0</v>
      </c>
      <c r="I832" s="50">
        <f>SUMIFS('Stock Adjustment'!$E:$E,'Stock Adjustment'!$B:$B,$A832,'Stock Adjustment'!$D:$D,"Staff Consumption")</f>
        <v>0</v>
      </c>
      <c r="J832" s="50">
        <f>SUMIFS('Stock Adjustment'!$E:$E,'Stock Adjustment'!$B:$B,$A832,'Stock Adjustment'!$D:$D,"Damaged")</f>
        <v>0</v>
      </c>
      <c r="K832" s="50">
        <f>SUMIFS('Stock Adjustment'!$E:$E,'Stock Adjustment'!$B:$B,$A832,'Stock Adjustment'!$D:$D,"Expired")</f>
        <v>0</v>
      </c>
      <c r="L832" s="50">
        <f>SUMIFS('Stock Adjustment'!$E:$E,'Stock Adjustment'!$B:$B,$A832,'Stock Adjustment'!$D:$D,"Supplier Returned")</f>
        <v>0</v>
      </c>
      <c r="M8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2" s="53" t="str">
        <f>IF(B832="","",VLOOKUP(B832,'Product Master'!$B:$G,4,FALSE))</f>
        <v/>
      </c>
      <c r="O832" s="53" t="str">
        <f>IF(B832="","",VLOOKUP(B832,'Product Master'!$B:$G,5,FALSE))</f>
        <v/>
      </c>
      <c r="P832" s="50" t="str">
        <f>IF(B832="","",VLOOKUP(B832,'Product Master'!$B:$I,7,FALSE))</f>
        <v/>
      </c>
      <c r="Q832" s="158"/>
      <c r="R832" s="58" t="str">
        <f t="shared" si="12"/>
        <v/>
      </c>
      <c r="S832" s="25"/>
      <c r="T832" s="25"/>
      <c r="U832" s="25"/>
      <c r="V832" s="25"/>
      <c r="W832" s="25"/>
      <c r="X832" s="25"/>
    </row>
    <row r="833" spans="1:24" x14ac:dyDescent="0.25">
      <c r="A833" s="31" t="s">
        <v>1393</v>
      </c>
      <c r="B833" s="32"/>
      <c r="C833" s="50" t="str">
        <f>IF(B833="","",VLOOKUP(B833,'Product Master'!$B:$G,2,FALSE))</f>
        <v/>
      </c>
      <c r="D833" s="50" t="str">
        <f>IF(B833="","",VLOOKUP(B833,'Product Master'!$B:$G,3,FALSE))</f>
        <v/>
      </c>
      <c r="E833" s="50"/>
      <c r="F833" s="50">
        <f>SUMIF('Stock Purchase'!$D:$D,B833,'Stock Purchase'!$F:$F)</f>
        <v>0</v>
      </c>
      <c r="G833" s="50">
        <f>SUMIFS('Stock Adjustment'!$E:$E,'Stock Adjustment'!$B:$B,$A833,'Stock Adjustment'!$D:$D,"Customer Returned")</f>
        <v>0</v>
      </c>
      <c r="H833" s="50">
        <f>SUMIF('Daily Sales Entry'!$D:$D,B833,'Daily Sales Entry'!$G:$G)</f>
        <v>0</v>
      </c>
      <c r="I833" s="50">
        <f>SUMIFS('Stock Adjustment'!$E:$E,'Stock Adjustment'!$B:$B,$A833,'Stock Adjustment'!$D:$D,"Staff Consumption")</f>
        <v>0</v>
      </c>
      <c r="J833" s="50">
        <f>SUMIFS('Stock Adjustment'!$E:$E,'Stock Adjustment'!$B:$B,$A833,'Stock Adjustment'!$D:$D,"Damaged")</f>
        <v>0</v>
      </c>
      <c r="K833" s="50">
        <f>SUMIFS('Stock Adjustment'!$E:$E,'Stock Adjustment'!$B:$B,$A833,'Stock Adjustment'!$D:$D,"Expired")</f>
        <v>0</v>
      </c>
      <c r="L833" s="50">
        <f>SUMIFS('Stock Adjustment'!$E:$E,'Stock Adjustment'!$B:$B,$A833,'Stock Adjustment'!$D:$D,"Supplier Returned")</f>
        <v>0</v>
      </c>
      <c r="M8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3" s="53" t="str">
        <f>IF(B833="","",VLOOKUP(B833,'Product Master'!$B:$G,4,FALSE))</f>
        <v/>
      </c>
      <c r="O833" s="53" t="str">
        <f>IF(B833="","",VLOOKUP(B833,'Product Master'!$B:$G,5,FALSE))</f>
        <v/>
      </c>
      <c r="P833" s="50" t="str">
        <f>IF(B833="","",VLOOKUP(B833,'Product Master'!$B:$I,7,FALSE))</f>
        <v/>
      </c>
      <c r="Q833" s="158"/>
      <c r="R833" s="58" t="str">
        <f t="shared" si="12"/>
        <v/>
      </c>
      <c r="S833" s="25"/>
      <c r="T833" s="25"/>
      <c r="U833" s="25"/>
      <c r="V833" s="25"/>
      <c r="W833" s="25"/>
      <c r="X833" s="25"/>
    </row>
    <row r="834" spans="1:24" x14ac:dyDescent="0.25">
      <c r="A834" s="31" t="s">
        <v>1394</v>
      </c>
      <c r="B834" s="32"/>
      <c r="C834" s="50" t="str">
        <f>IF(B834="","",VLOOKUP(B834,'Product Master'!$B:$G,2,FALSE))</f>
        <v/>
      </c>
      <c r="D834" s="50" t="str">
        <f>IF(B834="","",VLOOKUP(B834,'Product Master'!$B:$G,3,FALSE))</f>
        <v/>
      </c>
      <c r="E834" s="50"/>
      <c r="F834" s="50">
        <f>SUMIF('Stock Purchase'!$D:$D,B834,'Stock Purchase'!$F:$F)</f>
        <v>0</v>
      </c>
      <c r="G834" s="50">
        <f>SUMIFS('Stock Adjustment'!$E:$E,'Stock Adjustment'!$B:$B,$A834,'Stock Adjustment'!$D:$D,"Customer Returned")</f>
        <v>0</v>
      </c>
      <c r="H834" s="50">
        <f>SUMIF('Daily Sales Entry'!$D:$D,B834,'Daily Sales Entry'!$G:$G)</f>
        <v>0</v>
      </c>
      <c r="I834" s="50">
        <f>SUMIFS('Stock Adjustment'!$E:$E,'Stock Adjustment'!$B:$B,$A834,'Stock Adjustment'!$D:$D,"Staff Consumption")</f>
        <v>0</v>
      </c>
      <c r="J834" s="50">
        <f>SUMIFS('Stock Adjustment'!$E:$E,'Stock Adjustment'!$B:$B,$A834,'Stock Adjustment'!$D:$D,"Damaged")</f>
        <v>0</v>
      </c>
      <c r="K834" s="50">
        <f>SUMIFS('Stock Adjustment'!$E:$E,'Stock Adjustment'!$B:$B,$A834,'Stock Adjustment'!$D:$D,"Expired")</f>
        <v>0</v>
      </c>
      <c r="L834" s="50">
        <f>SUMIFS('Stock Adjustment'!$E:$E,'Stock Adjustment'!$B:$B,$A834,'Stock Adjustment'!$D:$D,"Supplier Returned")</f>
        <v>0</v>
      </c>
      <c r="M8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4" s="53" t="str">
        <f>IF(B834="","",VLOOKUP(B834,'Product Master'!$B:$G,4,FALSE))</f>
        <v/>
      </c>
      <c r="O834" s="53" t="str">
        <f>IF(B834="","",VLOOKUP(B834,'Product Master'!$B:$G,5,FALSE))</f>
        <v/>
      </c>
      <c r="P834" s="50" t="str">
        <f>IF(B834="","",VLOOKUP(B834,'Product Master'!$B:$I,7,FALSE))</f>
        <v/>
      </c>
      <c r="Q834" s="158"/>
      <c r="R834" s="58" t="str">
        <f t="shared" ref="R834:R897" si="13">IF(B834="","",IF(M834=0,"Out of Stock",IF(M834&lt;=10,"Low Stock","In Stock")))</f>
        <v/>
      </c>
      <c r="S834" s="25"/>
      <c r="T834" s="25"/>
      <c r="U834" s="25"/>
      <c r="V834" s="25"/>
      <c r="W834" s="25"/>
      <c r="X834" s="25"/>
    </row>
    <row r="835" spans="1:24" x14ac:dyDescent="0.25">
      <c r="A835" s="31" t="s">
        <v>1395</v>
      </c>
      <c r="B835" s="32"/>
      <c r="C835" s="50" t="str">
        <f>IF(B835="","",VLOOKUP(B835,'Product Master'!$B:$G,2,FALSE))</f>
        <v/>
      </c>
      <c r="D835" s="50" t="str">
        <f>IF(B835="","",VLOOKUP(B835,'Product Master'!$B:$G,3,FALSE))</f>
        <v/>
      </c>
      <c r="E835" s="50"/>
      <c r="F835" s="50">
        <f>SUMIF('Stock Purchase'!$D:$D,B835,'Stock Purchase'!$F:$F)</f>
        <v>0</v>
      </c>
      <c r="G835" s="50">
        <f>SUMIFS('Stock Adjustment'!$E:$E,'Stock Adjustment'!$B:$B,$A835,'Stock Adjustment'!$D:$D,"Customer Returned")</f>
        <v>0</v>
      </c>
      <c r="H835" s="50">
        <f>SUMIF('Daily Sales Entry'!$D:$D,B835,'Daily Sales Entry'!$G:$G)</f>
        <v>0</v>
      </c>
      <c r="I835" s="50">
        <f>SUMIFS('Stock Adjustment'!$E:$E,'Stock Adjustment'!$B:$B,$A835,'Stock Adjustment'!$D:$D,"Staff Consumption")</f>
        <v>0</v>
      </c>
      <c r="J835" s="50">
        <f>SUMIFS('Stock Adjustment'!$E:$E,'Stock Adjustment'!$B:$B,$A835,'Stock Adjustment'!$D:$D,"Damaged")</f>
        <v>0</v>
      </c>
      <c r="K835" s="50">
        <f>SUMIFS('Stock Adjustment'!$E:$E,'Stock Adjustment'!$B:$B,$A835,'Stock Adjustment'!$D:$D,"Expired")</f>
        <v>0</v>
      </c>
      <c r="L835" s="50">
        <f>SUMIFS('Stock Adjustment'!$E:$E,'Stock Adjustment'!$B:$B,$A835,'Stock Adjustment'!$D:$D,"Supplier Returned")</f>
        <v>0</v>
      </c>
      <c r="M8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5" s="53" t="str">
        <f>IF(B835="","",VLOOKUP(B835,'Product Master'!$B:$G,4,FALSE))</f>
        <v/>
      </c>
      <c r="O835" s="53" t="str">
        <f>IF(B835="","",VLOOKUP(B835,'Product Master'!$B:$G,5,FALSE))</f>
        <v/>
      </c>
      <c r="P835" s="50" t="str">
        <f>IF(B835="","",VLOOKUP(B835,'Product Master'!$B:$I,7,FALSE))</f>
        <v/>
      </c>
      <c r="Q835" s="158"/>
      <c r="R835" s="58" t="str">
        <f t="shared" si="13"/>
        <v/>
      </c>
      <c r="S835" s="25"/>
      <c r="T835" s="25"/>
      <c r="U835" s="25"/>
      <c r="V835" s="25"/>
      <c r="W835" s="25"/>
      <c r="X835" s="25"/>
    </row>
    <row r="836" spans="1:24" x14ac:dyDescent="0.25">
      <c r="A836" s="31" t="s">
        <v>1396</v>
      </c>
      <c r="B836" s="32"/>
      <c r="C836" s="50" t="str">
        <f>IF(B836="","",VLOOKUP(B836,'Product Master'!$B:$G,2,FALSE))</f>
        <v/>
      </c>
      <c r="D836" s="50" t="str">
        <f>IF(B836="","",VLOOKUP(B836,'Product Master'!$B:$G,3,FALSE))</f>
        <v/>
      </c>
      <c r="E836" s="50"/>
      <c r="F836" s="50">
        <f>SUMIF('Stock Purchase'!$D:$D,B836,'Stock Purchase'!$F:$F)</f>
        <v>0</v>
      </c>
      <c r="G836" s="50">
        <f>SUMIFS('Stock Adjustment'!$E:$E,'Stock Adjustment'!$B:$B,$A836,'Stock Adjustment'!$D:$D,"Customer Returned")</f>
        <v>0</v>
      </c>
      <c r="H836" s="50">
        <f>SUMIF('Daily Sales Entry'!$D:$D,B836,'Daily Sales Entry'!$G:$G)</f>
        <v>0</v>
      </c>
      <c r="I836" s="50">
        <f>SUMIFS('Stock Adjustment'!$E:$E,'Stock Adjustment'!$B:$B,$A836,'Stock Adjustment'!$D:$D,"Staff Consumption")</f>
        <v>0</v>
      </c>
      <c r="J836" s="50">
        <f>SUMIFS('Stock Adjustment'!$E:$E,'Stock Adjustment'!$B:$B,$A836,'Stock Adjustment'!$D:$D,"Damaged")</f>
        <v>0</v>
      </c>
      <c r="K836" s="50">
        <f>SUMIFS('Stock Adjustment'!$E:$E,'Stock Adjustment'!$B:$B,$A836,'Stock Adjustment'!$D:$D,"Expired")</f>
        <v>0</v>
      </c>
      <c r="L836" s="50">
        <f>SUMIFS('Stock Adjustment'!$E:$E,'Stock Adjustment'!$B:$B,$A836,'Stock Adjustment'!$D:$D,"Supplier Returned")</f>
        <v>0</v>
      </c>
      <c r="M8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6" s="53" t="str">
        <f>IF(B836="","",VLOOKUP(B836,'Product Master'!$B:$G,4,FALSE))</f>
        <v/>
      </c>
      <c r="O836" s="53" t="str">
        <f>IF(B836="","",VLOOKUP(B836,'Product Master'!$B:$G,5,FALSE))</f>
        <v/>
      </c>
      <c r="P836" s="50" t="str">
        <f>IF(B836="","",VLOOKUP(B836,'Product Master'!$B:$I,7,FALSE))</f>
        <v/>
      </c>
      <c r="Q836" s="158"/>
      <c r="R836" s="58" t="str">
        <f t="shared" si="13"/>
        <v/>
      </c>
      <c r="S836" s="25"/>
      <c r="T836" s="25"/>
      <c r="U836" s="25"/>
      <c r="V836" s="25"/>
      <c r="W836" s="25"/>
      <c r="X836" s="25"/>
    </row>
    <row r="837" spans="1:24" x14ac:dyDescent="0.25">
      <c r="A837" s="31" t="s">
        <v>1397</v>
      </c>
      <c r="B837" s="32"/>
      <c r="C837" s="50" t="str">
        <f>IF(B837="","",VLOOKUP(B837,'Product Master'!$B:$G,2,FALSE))</f>
        <v/>
      </c>
      <c r="D837" s="50" t="str">
        <f>IF(B837="","",VLOOKUP(B837,'Product Master'!$B:$G,3,FALSE))</f>
        <v/>
      </c>
      <c r="E837" s="50"/>
      <c r="F837" s="50">
        <f>SUMIF('Stock Purchase'!$D:$D,B837,'Stock Purchase'!$F:$F)</f>
        <v>0</v>
      </c>
      <c r="G837" s="50">
        <f>SUMIFS('Stock Adjustment'!$E:$E,'Stock Adjustment'!$B:$B,$A837,'Stock Adjustment'!$D:$D,"Customer Returned")</f>
        <v>0</v>
      </c>
      <c r="H837" s="50">
        <f>SUMIF('Daily Sales Entry'!$D:$D,B837,'Daily Sales Entry'!$G:$G)</f>
        <v>0</v>
      </c>
      <c r="I837" s="50">
        <f>SUMIFS('Stock Adjustment'!$E:$E,'Stock Adjustment'!$B:$B,$A837,'Stock Adjustment'!$D:$D,"Staff Consumption")</f>
        <v>0</v>
      </c>
      <c r="J837" s="50">
        <f>SUMIFS('Stock Adjustment'!$E:$E,'Stock Adjustment'!$B:$B,$A837,'Stock Adjustment'!$D:$D,"Damaged")</f>
        <v>0</v>
      </c>
      <c r="K837" s="50">
        <f>SUMIFS('Stock Adjustment'!$E:$E,'Stock Adjustment'!$B:$B,$A837,'Stock Adjustment'!$D:$D,"Expired")</f>
        <v>0</v>
      </c>
      <c r="L837" s="50">
        <f>SUMIFS('Stock Adjustment'!$E:$E,'Stock Adjustment'!$B:$B,$A837,'Stock Adjustment'!$D:$D,"Supplier Returned")</f>
        <v>0</v>
      </c>
      <c r="M8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7" s="53" t="str">
        <f>IF(B837="","",VLOOKUP(B837,'Product Master'!$B:$G,4,FALSE))</f>
        <v/>
      </c>
      <c r="O837" s="53" t="str">
        <f>IF(B837="","",VLOOKUP(B837,'Product Master'!$B:$G,5,FALSE))</f>
        <v/>
      </c>
      <c r="P837" s="50" t="str">
        <f>IF(B837="","",VLOOKUP(B837,'Product Master'!$B:$I,7,FALSE))</f>
        <v/>
      </c>
      <c r="Q837" s="158"/>
      <c r="R837" s="58" t="str">
        <f t="shared" si="13"/>
        <v/>
      </c>
      <c r="S837" s="25"/>
      <c r="T837" s="25"/>
      <c r="U837" s="25"/>
      <c r="V837" s="25"/>
      <c r="W837" s="25"/>
      <c r="X837" s="25"/>
    </row>
    <row r="838" spans="1:24" x14ac:dyDescent="0.25">
      <c r="A838" s="31" t="s">
        <v>1398</v>
      </c>
      <c r="B838" s="32"/>
      <c r="C838" s="50" t="str">
        <f>IF(B838="","",VLOOKUP(B838,'Product Master'!$B:$G,2,FALSE))</f>
        <v/>
      </c>
      <c r="D838" s="50" t="str">
        <f>IF(B838="","",VLOOKUP(B838,'Product Master'!$B:$G,3,FALSE))</f>
        <v/>
      </c>
      <c r="E838" s="50"/>
      <c r="F838" s="50">
        <f>SUMIF('Stock Purchase'!$D:$D,B838,'Stock Purchase'!$F:$F)</f>
        <v>0</v>
      </c>
      <c r="G838" s="50">
        <f>SUMIFS('Stock Adjustment'!$E:$E,'Stock Adjustment'!$B:$B,$A838,'Stock Adjustment'!$D:$D,"Customer Returned")</f>
        <v>0</v>
      </c>
      <c r="H838" s="50">
        <f>SUMIF('Daily Sales Entry'!$D:$D,B838,'Daily Sales Entry'!$G:$G)</f>
        <v>0</v>
      </c>
      <c r="I838" s="50">
        <f>SUMIFS('Stock Adjustment'!$E:$E,'Stock Adjustment'!$B:$B,$A838,'Stock Adjustment'!$D:$D,"Staff Consumption")</f>
        <v>0</v>
      </c>
      <c r="J838" s="50">
        <f>SUMIFS('Stock Adjustment'!$E:$E,'Stock Adjustment'!$B:$B,$A838,'Stock Adjustment'!$D:$D,"Damaged")</f>
        <v>0</v>
      </c>
      <c r="K838" s="50">
        <f>SUMIFS('Stock Adjustment'!$E:$E,'Stock Adjustment'!$B:$B,$A838,'Stock Adjustment'!$D:$D,"Expired")</f>
        <v>0</v>
      </c>
      <c r="L838" s="50">
        <f>SUMIFS('Stock Adjustment'!$E:$E,'Stock Adjustment'!$B:$B,$A838,'Stock Adjustment'!$D:$D,"Supplier Returned")</f>
        <v>0</v>
      </c>
      <c r="M8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8" s="53" t="str">
        <f>IF(B838="","",VLOOKUP(B838,'Product Master'!$B:$G,4,FALSE))</f>
        <v/>
      </c>
      <c r="O838" s="53" t="str">
        <f>IF(B838="","",VLOOKUP(B838,'Product Master'!$B:$G,5,FALSE))</f>
        <v/>
      </c>
      <c r="P838" s="50" t="str">
        <f>IF(B838="","",VLOOKUP(B838,'Product Master'!$B:$I,7,FALSE))</f>
        <v/>
      </c>
      <c r="Q838" s="158"/>
      <c r="R838" s="58" t="str">
        <f t="shared" si="13"/>
        <v/>
      </c>
      <c r="S838" s="25"/>
      <c r="T838" s="25"/>
      <c r="U838" s="25"/>
      <c r="V838" s="25"/>
      <c r="W838" s="25"/>
      <c r="X838" s="25"/>
    </row>
    <row r="839" spans="1:24" x14ac:dyDescent="0.25">
      <c r="A839" s="31" t="s">
        <v>1399</v>
      </c>
      <c r="B839" s="32"/>
      <c r="C839" s="50" t="str">
        <f>IF(B839="","",VLOOKUP(B839,'Product Master'!$B:$G,2,FALSE))</f>
        <v/>
      </c>
      <c r="D839" s="50" t="str">
        <f>IF(B839="","",VLOOKUP(B839,'Product Master'!$B:$G,3,FALSE))</f>
        <v/>
      </c>
      <c r="E839" s="50"/>
      <c r="F839" s="50">
        <f>SUMIF('Stock Purchase'!$D:$D,B839,'Stock Purchase'!$F:$F)</f>
        <v>0</v>
      </c>
      <c r="G839" s="50">
        <f>SUMIFS('Stock Adjustment'!$E:$E,'Stock Adjustment'!$B:$B,$A839,'Stock Adjustment'!$D:$D,"Customer Returned")</f>
        <v>0</v>
      </c>
      <c r="H839" s="50">
        <f>SUMIF('Daily Sales Entry'!$D:$D,B839,'Daily Sales Entry'!$G:$G)</f>
        <v>0</v>
      </c>
      <c r="I839" s="50">
        <f>SUMIFS('Stock Adjustment'!$E:$E,'Stock Adjustment'!$B:$B,$A839,'Stock Adjustment'!$D:$D,"Staff Consumption")</f>
        <v>0</v>
      </c>
      <c r="J839" s="50">
        <f>SUMIFS('Stock Adjustment'!$E:$E,'Stock Adjustment'!$B:$B,$A839,'Stock Adjustment'!$D:$D,"Damaged")</f>
        <v>0</v>
      </c>
      <c r="K839" s="50">
        <f>SUMIFS('Stock Adjustment'!$E:$E,'Stock Adjustment'!$B:$B,$A839,'Stock Adjustment'!$D:$D,"Expired")</f>
        <v>0</v>
      </c>
      <c r="L839" s="50">
        <f>SUMIFS('Stock Adjustment'!$E:$E,'Stock Adjustment'!$B:$B,$A839,'Stock Adjustment'!$D:$D,"Supplier Returned")</f>
        <v>0</v>
      </c>
      <c r="M8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39" s="53" t="str">
        <f>IF(B839="","",VLOOKUP(B839,'Product Master'!$B:$G,4,FALSE))</f>
        <v/>
      </c>
      <c r="O839" s="53" t="str">
        <f>IF(B839="","",VLOOKUP(B839,'Product Master'!$B:$G,5,FALSE))</f>
        <v/>
      </c>
      <c r="P839" s="50" t="str">
        <f>IF(B839="","",VLOOKUP(B839,'Product Master'!$B:$I,7,FALSE))</f>
        <v/>
      </c>
      <c r="Q839" s="158"/>
      <c r="R839" s="58" t="str">
        <f t="shared" si="13"/>
        <v/>
      </c>
      <c r="S839" s="25"/>
      <c r="T839" s="25"/>
      <c r="U839" s="25"/>
      <c r="V839" s="25"/>
      <c r="W839" s="25"/>
      <c r="X839" s="25"/>
    </row>
    <row r="840" spans="1:24" x14ac:dyDescent="0.25">
      <c r="A840" s="31" t="s">
        <v>1400</v>
      </c>
      <c r="B840" s="32"/>
      <c r="C840" s="50" t="str">
        <f>IF(B840="","",VLOOKUP(B840,'Product Master'!$B:$G,2,FALSE))</f>
        <v/>
      </c>
      <c r="D840" s="50" t="str">
        <f>IF(B840="","",VLOOKUP(B840,'Product Master'!$B:$G,3,FALSE))</f>
        <v/>
      </c>
      <c r="E840" s="50"/>
      <c r="F840" s="50">
        <f>SUMIF('Stock Purchase'!$D:$D,B840,'Stock Purchase'!$F:$F)</f>
        <v>0</v>
      </c>
      <c r="G840" s="50">
        <f>SUMIFS('Stock Adjustment'!$E:$E,'Stock Adjustment'!$B:$B,$A840,'Stock Adjustment'!$D:$D,"Customer Returned")</f>
        <v>0</v>
      </c>
      <c r="H840" s="50">
        <f>SUMIF('Daily Sales Entry'!$D:$D,B840,'Daily Sales Entry'!$G:$G)</f>
        <v>0</v>
      </c>
      <c r="I840" s="50">
        <f>SUMIFS('Stock Adjustment'!$E:$E,'Stock Adjustment'!$B:$B,$A840,'Stock Adjustment'!$D:$D,"Staff Consumption")</f>
        <v>0</v>
      </c>
      <c r="J840" s="50">
        <f>SUMIFS('Stock Adjustment'!$E:$E,'Stock Adjustment'!$B:$B,$A840,'Stock Adjustment'!$D:$D,"Damaged")</f>
        <v>0</v>
      </c>
      <c r="K840" s="50">
        <f>SUMIFS('Stock Adjustment'!$E:$E,'Stock Adjustment'!$B:$B,$A840,'Stock Adjustment'!$D:$D,"Expired")</f>
        <v>0</v>
      </c>
      <c r="L840" s="50">
        <f>SUMIFS('Stock Adjustment'!$E:$E,'Stock Adjustment'!$B:$B,$A840,'Stock Adjustment'!$D:$D,"Supplier Returned")</f>
        <v>0</v>
      </c>
      <c r="M8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0" s="53" t="str">
        <f>IF(B840="","",VLOOKUP(B840,'Product Master'!$B:$G,4,FALSE))</f>
        <v/>
      </c>
      <c r="O840" s="53" t="str">
        <f>IF(B840="","",VLOOKUP(B840,'Product Master'!$B:$G,5,FALSE))</f>
        <v/>
      </c>
      <c r="P840" s="50" t="str">
        <f>IF(B840="","",VLOOKUP(B840,'Product Master'!$B:$I,7,FALSE))</f>
        <v/>
      </c>
      <c r="Q840" s="158"/>
      <c r="R840" s="58" t="str">
        <f t="shared" si="13"/>
        <v/>
      </c>
      <c r="S840" s="25"/>
      <c r="T840" s="25"/>
      <c r="U840" s="25"/>
      <c r="V840" s="25"/>
      <c r="W840" s="25"/>
      <c r="X840" s="25"/>
    </row>
    <row r="841" spans="1:24" x14ac:dyDescent="0.25">
      <c r="A841" s="31" t="s">
        <v>1401</v>
      </c>
      <c r="B841" s="32"/>
      <c r="C841" s="50" t="str">
        <f>IF(B841="","",VLOOKUP(B841,'Product Master'!$B:$G,2,FALSE))</f>
        <v/>
      </c>
      <c r="D841" s="50" t="str">
        <f>IF(B841="","",VLOOKUP(B841,'Product Master'!$B:$G,3,FALSE))</f>
        <v/>
      </c>
      <c r="E841" s="50"/>
      <c r="F841" s="50">
        <f>SUMIF('Stock Purchase'!$D:$D,B841,'Stock Purchase'!$F:$F)</f>
        <v>0</v>
      </c>
      <c r="G841" s="50">
        <f>SUMIFS('Stock Adjustment'!$E:$E,'Stock Adjustment'!$B:$B,$A841,'Stock Adjustment'!$D:$D,"Customer Returned")</f>
        <v>0</v>
      </c>
      <c r="H841" s="50">
        <f>SUMIF('Daily Sales Entry'!$D:$D,B841,'Daily Sales Entry'!$G:$G)</f>
        <v>0</v>
      </c>
      <c r="I841" s="50">
        <f>SUMIFS('Stock Adjustment'!$E:$E,'Stock Adjustment'!$B:$B,$A841,'Stock Adjustment'!$D:$D,"Staff Consumption")</f>
        <v>0</v>
      </c>
      <c r="J841" s="50">
        <f>SUMIFS('Stock Adjustment'!$E:$E,'Stock Adjustment'!$B:$B,$A841,'Stock Adjustment'!$D:$D,"Damaged")</f>
        <v>0</v>
      </c>
      <c r="K841" s="50">
        <f>SUMIFS('Stock Adjustment'!$E:$E,'Stock Adjustment'!$B:$B,$A841,'Stock Adjustment'!$D:$D,"Expired")</f>
        <v>0</v>
      </c>
      <c r="L841" s="50">
        <f>SUMIFS('Stock Adjustment'!$E:$E,'Stock Adjustment'!$B:$B,$A841,'Stock Adjustment'!$D:$D,"Supplier Returned")</f>
        <v>0</v>
      </c>
      <c r="M8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1" s="53" t="str">
        <f>IF(B841="","",VLOOKUP(B841,'Product Master'!$B:$G,4,FALSE))</f>
        <v/>
      </c>
      <c r="O841" s="53" t="str">
        <f>IF(B841="","",VLOOKUP(B841,'Product Master'!$B:$G,5,FALSE))</f>
        <v/>
      </c>
      <c r="P841" s="50" t="str">
        <f>IF(B841="","",VLOOKUP(B841,'Product Master'!$B:$I,7,FALSE))</f>
        <v/>
      </c>
      <c r="Q841" s="158"/>
      <c r="R841" s="58" t="str">
        <f t="shared" si="13"/>
        <v/>
      </c>
      <c r="S841" s="25"/>
      <c r="T841" s="25"/>
      <c r="U841" s="25"/>
      <c r="V841" s="25"/>
      <c r="W841" s="25"/>
      <c r="X841" s="25"/>
    </row>
    <row r="842" spans="1:24" x14ac:dyDescent="0.25">
      <c r="A842" s="31" t="s">
        <v>1402</v>
      </c>
      <c r="B842" s="32"/>
      <c r="C842" s="50" t="str">
        <f>IF(B842="","",VLOOKUP(B842,'Product Master'!$B:$G,2,FALSE))</f>
        <v/>
      </c>
      <c r="D842" s="50" t="str">
        <f>IF(B842="","",VLOOKUP(B842,'Product Master'!$B:$G,3,FALSE))</f>
        <v/>
      </c>
      <c r="E842" s="50"/>
      <c r="F842" s="50">
        <f>SUMIF('Stock Purchase'!$D:$D,B842,'Stock Purchase'!$F:$F)</f>
        <v>0</v>
      </c>
      <c r="G842" s="50">
        <f>SUMIFS('Stock Adjustment'!$E:$E,'Stock Adjustment'!$B:$B,$A842,'Stock Adjustment'!$D:$D,"Customer Returned")</f>
        <v>0</v>
      </c>
      <c r="H842" s="50">
        <f>SUMIF('Daily Sales Entry'!$D:$D,B842,'Daily Sales Entry'!$G:$G)</f>
        <v>0</v>
      </c>
      <c r="I842" s="50">
        <f>SUMIFS('Stock Adjustment'!$E:$E,'Stock Adjustment'!$B:$B,$A842,'Stock Adjustment'!$D:$D,"Staff Consumption")</f>
        <v>0</v>
      </c>
      <c r="J842" s="50">
        <f>SUMIFS('Stock Adjustment'!$E:$E,'Stock Adjustment'!$B:$B,$A842,'Stock Adjustment'!$D:$D,"Damaged")</f>
        <v>0</v>
      </c>
      <c r="K842" s="50">
        <f>SUMIFS('Stock Adjustment'!$E:$E,'Stock Adjustment'!$B:$B,$A842,'Stock Adjustment'!$D:$D,"Expired")</f>
        <v>0</v>
      </c>
      <c r="L842" s="50">
        <f>SUMIFS('Stock Adjustment'!$E:$E,'Stock Adjustment'!$B:$B,$A842,'Stock Adjustment'!$D:$D,"Supplier Returned")</f>
        <v>0</v>
      </c>
      <c r="M8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2" s="53" t="str">
        <f>IF(B842="","",VLOOKUP(B842,'Product Master'!$B:$G,4,FALSE))</f>
        <v/>
      </c>
      <c r="O842" s="53" t="str">
        <f>IF(B842="","",VLOOKUP(B842,'Product Master'!$B:$G,5,FALSE))</f>
        <v/>
      </c>
      <c r="P842" s="50" t="str">
        <f>IF(B842="","",VLOOKUP(B842,'Product Master'!$B:$I,7,FALSE))</f>
        <v/>
      </c>
      <c r="Q842" s="158"/>
      <c r="R842" s="58" t="str">
        <f t="shared" si="13"/>
        <v/>
      </c>
      <c r="S842" s="25"/>
      <c r="T842" s="25"/>
      <c r="U842" s="25"/>
      <c r="V842" s="25"/>
      <c r="W842" s="25"/>
      <c r="X842" s="25"/>
    </row>
    <row r="843" spans="1:24" x14ac:dyDescent="0.25">
      <c r="A843" s="31" t="s">
        <v>1403</v>
      </c>
      <c r="B843" s="32"/>
      <c r="C843" s="50" t="str">
        <f>IF(B843="","",VLOOKUP(B843,'Product Master'!$B:$G,2,FALSE))</f>
        <v/>
      </c>
      <c r="D843" s="50" t="str">
        <f>IF(B843="","",VLOOKUP(B843,'Product Master'!$B:$G,3,FALSE))</f>
        <v/>
      </c>
      <c r="E843" s="50"/>
      <c r="F843" s="50">
        <f>SUMIF('Stock Purchase'!$D:$D,B843,'Stock Purchase'!$F:$F)</f>
        <v>0</v>
      </c>
      <c r="G843" s="50">
        <f>SUMIFS('Stock Adjustment'!$E:$E,'Stock Adjustment'!$B:$B,$A843,'Stock Adjustment'!$D:$D,"Customer Returned")</f>
        <v>0</v>
      </c>
      <c r="H843" s="50">
        <f>SUMIF('Daily Sales Entry'!$D:$D,B843,'Daily Sales Entry'!$G:$G)</f>
        <v>0</v>
      </c>
      <c r="I843" s="50">
        <f>SUMIFS('Stock Adjustment'!$E:$E,'Stock Adjustment'!$B:$B,$A843,'Stock Adjustment'!$D:$D,"Staff Consumption")</f>
        <v>0</v>
      </c>
      <c r="J843" s="50">
        <f>SUMIFS('Stock Adjustment'!$E:$E,'Stock Adjustment'!$B:$B,$A843,'Stock Adjustment'!$D:$D,"Damaged")</f>
        <v>0</v>
      </c>
      <c r="K843" s="50">
        <f>SUMIFS('Stock Adjustment'!$E:$E,'Stock Adjustment'!$B:$B,$A843,'Stock Adjustment'!$D:$D,"Expired")</f>
        <v>0</v>
      </c>
      <c r="L843" s="50">
        <f>SUMIFS('Stock Adjustment'!$E:$E,'Stock Adjustment'!$B:$B,$A843,'Stock Adjustment'!$D:$D,"Supplier Returned")</f>
        <v>0</v>
      </c>
      <c r="M8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3" s="53" t="str">
        <f>IF(B843="","",VLOOKUP(B843,'Product Master'!$B:$G,4,FALSE))</f>
        <v/>
      </c>
      <c r="O843" s="53" t="str">
        <f>IF(B843="","",VLOOKUP(B843,'Product Master'!$B:$G,5,FALSE))</f>
        <v/>
      </c>
      <c r="P843" s="50" t="str">
        <f>IF(B843="","",VLOOKUP(B843,'Product Master'!$B:$I,7,FALSE))</f>
        <v/>
      </c>
      <c r="Q843" s="158"/>
      <c r="R843" s="58" t="str">
        <f t="shared" si="13"/>
        <v/>
      </c>
      <c r="S843" s="25"/>
      <c r="T843" s="25"/>
      <c r="U843" s="25"/>
      <c r="V843" s="25"/>
      <c r="W843" s="25"/>
      <c r="X843" s="25"/>
    </row>
    <row r="844" spans="1:24" x14ac:dyDescent="0.25">
      <c r="A844" s="31" t="s">
        <v>1404</v>
      </c>
      <c r="B844" s="32"/>
      <c r="C844" s="50" t="str">
        <f>IF(B844="","",VLOOKUP(B844,'Product Master'!$B:$G,2,FALSE))</f>
        <v/>
      </c>
      <c r="D844" s="50" t="str">
        <f>IF(B844="","",VLOOKUP(B844,'Product Master'!$B:$G,3,FALSE))</f>
        <v/>
      </c>
      <c r="E844" s="50"/>
      <c r="F844" s="50">
        <f>SUMIF('Stock Purchase'!$D:$D,B844,'Stock Purchase'!$F:$F)</f>
        <v>0</v>
      </c>
      <c r="G844" s="50">
        <f>SUMIFS('Stock Adjustment'!$E:$E,'Stock Adjustment'!$B:$B,$A844,'Stock Adjustment'!$D:$D,"Customer Returned")</f>
        <v>0</v>
      </c>
      <c r="H844" s="50">
        <f>SUMIF('Daily Sales Entry'!$D:$D,B844,'Daily Sales Entry'!$G:$G)</f>
        <v>0</v>
      </c>
      <c r="I844" s="50">
        <f>SUMIFS('Stock Adjustment'!$E:$E,'Stock Adjustment'!$B:$B,$A844,'Stock Adjustment'!$D:$D,"Staff Consumption")</f>
        <v>0</v>
      </c>
      <c r="J844" s="50">
        <f>SUMIFS('Stock Adjustment'!$E:$E,'Stock Adjustment'!$B:$B,$A844,'Stock Adjustment'!$D:$D,"Damaged")</f>
        <v>0</v>
      </c>
      <c r="K844" s="50">
        <f>SUMIFS('Stock Adjustment'!$E:$E,'Stock Adjustment'!$B:$B,$A844,'Stock Adjustment'!$D:$D,"Expired")</f>
        <v>0</v>
      </c>
      <c r="L844" s="50">
        <f>SUMIFS('Stock Adjustment'!$E:$E,'Stock Adjustment'!$B:$B,$A844,'Stock Adjustment'!$D:$D,"Supplier Returned")</f>
        <v>0</v>
      </c>
      <c r="M8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4" s="53" t="str">
        <f>IF(B844="","",VLOOKUP(B844,'Product Master'!$B:$G,4,FALSE))</f>
        <v/>
      </c>
      <c r="O844" s="53" t="str">
        <f>IF(B844="","",VLOOKUP(B844,'Product Master'!$B:$G,5,FALSE))</f>
        <v/>
      </c>
      <c r="P844" s="50" t="str">
        <f>IF(B844="","",VLOOKUP(B844,'Product Master'!$B:$I,7,FALSE))</f>
        <v/>
      </c>
      <c r="Q844" s="158"/>
      <c r="R844" s="58" t="str">
        <f t="shared" si="13"/>
        <v/>
      </c>
      <c r="S844" s="25"/>
      <c r="T844" s="25"/>
      <c r="U844" s="25"/>
      <c r="V844" s="25"/>
      <c r="W844" s="25"/>
      <c r="X844" s="25"/>
    </row>
    <row r="845" spans="1:24" x14ac:dyDescent="0.25">
      <c r="A845" s="31" t="s">
        <v>1405</v>
      </c>
      <c r="B845" s="32"/>
      <c r="C845" s="50" t="str">
        <f>IF(B845="","",VLOOKUP(B845,'Product Master'!$B:$G,2,FALSE))</f>
        <v/>
      </c>
      <c r="D845" s="50" t="str">
        <f>IF(B845="","",VLOOKUP(B845,'Product Master'!$B:$G,3,FALSE))</f>
        <v/>
      </c>
      <c r="E845" s="50"/>
      <c r="F845" s="50">
        <f>SUMIF('Stock Purchase'!$D:$D,B845,'Stock Purchase'!$F:$F)</f>
        <v>0</v>
      </c>
      <c r="G845" s="50">
        <f>SUMIFS('Stock Adjustment'!$E:$E,'Stock Adjustment'!$B:$B,$A845,'Stock Adjustment'!$D:$D,"Customer Returned")</f>
        <v>0</v>
      </c>
      <c r="H845" s="50">
        <f>SUMIF('Daily Sales Entry'!$D:$D,B845,'Daily Sales Entry'!$G:$G)</f>
        <v>0</v>
      </c>
      <c r="I845" s="50">
        <f>SUMIFS('Stock Adjustment'!$E:$E,'Stock Adjustment'!$B:$B,$A845,'Stock Adjustment'!$D:$D,"Staff Consumption")</f>
        <v>0</v>
      </c>
      <c r="J845" s="50">
        <f>SUMIFS('Stock Adjustment'!$E:$E,'Stock Adjustment'!$B:$B,$A845,'Stock Adjustment'!$D:$D,"Damaged")</f>
        <v>0</v>
      </c>
      <c r="K845" s="50">
        <f>SUMIFS('Stock Adjustment'!$E:$E,'Stock Adjustment'!$B:$B,$A845,'Stock Adjustment'!$D:$D,"Expired")</f>
        <v>0</v>
      </c>
      <c r="L845" s="50">
        <f>SUMIFS('Stock Adjustment'!$E:$E,'Stock Adjustment'!$B:$B,$A845,'Stock Adjustment'!$D:$D,"Supplier Returned")</f>
        <v>0</v>
      </c>
      <c r="M8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5" s="53" t="str">
        <f>IF(B845="","",VLOOKUP(B845,'Product Master'!$B:$G,4,FALSE))</f>
        <v/>
      </c>
      <c r="O845" s="53" t="str">
        <f>IF(B845="","",VLOOKUP(B845,'Product Master'!$B:$G,5,FALSE))</f>
        <v/>
      </c>
      <c r="P845" s="50" t="str">
        <f>IF(B845="","",VLOOKUP(B845,'Product Master'!$B:$I,7,FALSE))</f>
        <v/>
      </c>
      <c r="Q845" s="158"/>
      <c r="R845" s="58" t="str">
        <f t="shared" si="13"/>
        <v/>
      </c>
      <c r="S845" s="25"/>
      <c r="T845" s="25"/>
      <c r="U845" s="25"/>
      <c r="V845" s="25"/>
      <c r="W845" s="25"/>
      <c r="X845" s="25"/>
    </row>
    <row r="846" spans="1:24" x14ac:dyDescent="0.25">
      <c r="A846" s="31" t="s">
        <v>1406</v>
      </c>
      <c r="B846" s="32"/>
      <c r="C846" s="50" t="str">
        <f>IF(B846="","",VLOOKUP(B846,'Product Master'!$B:$G,2,FALSE))</f>
        <v/>
      </c>
      <c r="D846" s="50" t="str">
        <f>IF(B846="","",VLOOKUP(B846,'Product Master'!$B:$G,3,FALSE))</f>
        <v/>
      </c>
      <c r="E846" s="50"/>
      <c r="F846" s="50">
        <f>SUMIF('Stock Purchase'!$D:$D,B846,'Stock Purchase'!$F:$F)</f>
        <v>0</v>
      </c>
      <c r="G846" s="50">
        <f>SUMIFS('Stock Adjustment'!$E:$E,'Stock Adjustment'!$B:$B,$A846,'Stock Adjustment'!$D:$D,"Customer Returned")</f>
        <v>0</v>
      </c>
      <c r="H846" s="50">
        <f>SUMIF('Daily Sales Entry'!$D:$D,B846,'Daily Sales Entry'!$G:$G)</f>
        <v>0</v>
      </c>
      <c r="I846" s="50">
        <f>SUMIFS('Stock Adjustment'!$E:$E,'Stock Adjustment'!$B:$B,$A846,'Stock Adjustment'!$D:$D,"Staff Consumption")</f>
        <v>0</v>
      </c>
      <c r="J846" s="50">
        <f>SUMIFS('Stock Adjustment'!$E:$E,'Stock Adjustment'!$B:$B,$A846,'Stock Adjustment'!$D:$D,"Damaged")</f>
        <v>0</v>
      </c>
      <c r="K846" s="50">
        <f>SUMIFS('Stock Adjustment'!$E:$E,'Stock Adjustment'!$B:$B,$A846,'Stock Adjustment'!$D:$D,"Expired")</f>
        <v>0</v>
      </c>
      <c r="L846" s="50">
        <f>SUMIFS('Stock Adjustment'!$E:$E,'Stock Adjustment'!$B:$B,$A846,'Stock Adjustment'!$D:$D,"Supplier Returned")</f>
        <v>0</v>
      </c>
      <c r="M8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6" s="53" t="str">
        <f>IF(B846="","",VLOOKUP(B846,'Product Master'!$B:$G,4,FALSE))</f>
        <v/>
      </c>
      <c r="O846" s="53" t="str">
        <f>IF(B846="","",VLOOKUP(B846,'Product Master'!$B:$G,5,FALSE))</f>
        <v/>
      </c>
      <c r="P846" s="50" t="str">
        <f>IF(B846="","",VLOOKUP(B846,'Product Master'!$B:$I,7,FALSE))</f>
        <v/>
      </c>
      <c r="Q846" s="158"/>
      <c r="R846" s="58" t="str">
        <f t="shared" si="13"/>
        <v/>
      </c>
      <c r="S846" s="25"/>
      <c r="T846" s="25"/>
      <c r="U846" s="25"/>
      <c r="V846" s="25"/>
      <c r="W846" s="25"/>
      <c r="X846" s="25"/>
    </row>
    <row r="847" spans="1:24" x14ac:dyDescent="0.25">
      <c r="A847" s="31" t="s">
        <v>1407</v>
      </c>
      <c r="B847" s="32"/>
      <c r="C847" s="50" t="str">
        <f>IF(B847="","",VLOOKUP(B847,'Product Master'!$B:$G,2,FALSE))</f>
        <v/>
      </c>
      <c r="D847" s="50" t="str">
        <f>IF(B847="","",VLOOKUP(B847,'Product Master'!$B:$G,3,FALSE))</f>
        <v/>
      </c>
      <c r="E847" s="50"/>
      <c r="F847" s="50">
        <f>SUMIF('Stock Purchase'!$D:$D,B847,'Stock Purchase'!$F:$F)</f>
        <v>0</v>
      </c>
      <c r="G847" s="50">
        <f>SUMIFS('Stock Adjustment'!$E:$E,'Stock Adjustment'!$B:$B,$A847,'Stock Adjustment'!$D:$D,"Customer Returned")</f>
        <v>0</v>
      </c>
      <c r="H847" s="50">
        <f>SUMIF('Daily Sales Entry'!$D:$D,B847,'Daily Sales Entry'!$G:$G)</f>
        <v>0</v>
      </c>
      <c r="I847" s="50">
        <f>SUMIFS('Stock Adjustment'!$E:$E,'Stock Adjustment'!$B:$B,$A847,'Stock Adjustment'!$D:$D,"Staff Consumption")</f>
        <v>0</v>
      </c>
      <c r="J847" s="50">
        <f>SUMIFS('Stock Adjustment'!$E:$E,'Stock Adjustment'!$B:$B,$A847,'Stock Adjustment'!$D:$D,"Damaged")</f>
        <v>0</v>
      </c>
      <c r="K847" s="50">
        <f>SUMIFS('Stock Adjustment'!$E:$E,'Stock Adjustment'!$B:$B,$A847,'Stock Adjustment'!$D:$D,"Expired")</f>
        <v>0</v>
      </c>
      <c r="L847" s="50">
        <f>SUMIFS('Stock Adjustment'!$E:$E,'Stock Adjustment'!$B:$B,$A847,'Stock Adjustment'!$D:$D,"Supplier Returned")</f>
        <v>0</v>
      </c>
      <c r="M8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7" s="53" t="str">
        <f>IF(B847="","",VLOOKUP(B847,'Product Master'!$B:$G,4,FALSE))</f>
        <v/>
      </c>
      <c r="O847" s="53" t="str">
        <f>IF(B847="","",VLOOKUP(B847,'Product Master'!$B:$G,5,FALSE))</f>
        <v/>
      </c>
      <c r="P847" s="50" t="str">
        <f>IF(B847="","",VLOOKUP(B847,'Product Master'!$B:$I,7,FALSE))</f>
        <v/>
      </c>
      <c r="Q847" s="158"/>
      <c r="R847" s="58" t="str">
        <f t="shared" si="13"/>
        <v/>
      </c>
      <c r="S847" s="25"/>
      <c r="T847" s="25"/>
      <c r="U847" s="25"/>
      <c r="V847" s="25"/>
      <c r="W847" s="25"/>
      <c r="X847" s="25"/>
    </row>
    <row r="848" spans="1:24" x14ac:dyDescent="0.25">
      <c r="A848" s="31" t="s">
        <v>1408</v>
      </c>
      <c r="B848" s="32"/>
      <c r="C848" s="50" t="str">
        <f>IF(B848="","",VLOOKUP(B848,'Product Master'!$B:$G,2,FALSE))</f>
        <v/>
      </c>
      <c r="D848" s="50" t="str">
        <f>IF(B848="","",VLOOKUP(B848,'Product Master'!$B:$G,3,FALSE))</f>
        <v/>
      </c>
      <c r="E848" s="50"/>
      <c r="F848" s="50">
        <f>SUMIF('Stock Purchase'!$D:$D,B848,'Stock Purchase'!$F:$F)</f>
        <v>0</v>
      </c>
      <c r="G848" s="50">
        <f>SUMIFS('Stock Adjustment'!$E:$E,'Stock Adjustment'!$B:$B,$A848,'Stock Adjustment'!$D:$D,"Customer Returned")</f>
        <v>0</v>
      </c>
      <c r="H848" s="50">
        <f>SUMIF('Daily Sales Entry'!$D:$D,B848,'Daily Sales Entry'!$G:$G)</f>
        <v>0</v>
      </c>
      <c r="I848" s="50">
        <f>SUMIFS('Stock Adjustment'!$E:$E,'Stock Adjustment'!$B:$B,$A848,'Stock Adjustment'!$D:$D,"Staff Consumption")</f>
        <v>0</v>
      </c>
      <c r="J848" s="50">
        <f>SUMIFS('Stock Adjustment'!$E:$E,'Stock Adjustment'!$B:$B,$A848,'Stock Adjustment'!$D:$D,"Damaged")</f>
        <v>0</v>
      </c>
      <c r="K848" s="50">
        <f>SUMIFS('Stock Adjustment'!$E:$E,'Stock Adjustment'!$B:$B,$A848,'Stock Adjustment'!$D:$D,"Expired")</f>
        <v>0</v>
      </c>
      <c r="L848" s="50">
        <f>SUMIFS('Stock Adjustment'!$E:$E,'Stock Adjustment'!$B:$B,$A848,'Stock Adjustment'!$D:$D,"Supplier Returned")</f>
        <v>0</v>
      </c>
      <c r="M8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8" s="53" t="str">
        <f>IF(B848="","",VLOOKUP(B848,'Product Master'!$B:$G,4,FALSE))</f>
        <v/>
      </c>
      <c r="O848" s="53" t="str">
        <f>IF(B848="","",VLOOKUP(B848,'Product Master'!$B:$G,5,FALSE))</f>
        <v/>
      </c>
      <c r="P848" s="50" t="str">
        <f>IF(B848="","",VLOOKUP(B848,'Product Master'!$B:$I,7,FALSE))</f>
        <v/>
      </c>
      <c r="Q848" s="158"/>
      <c r="R848" s="58" t="str">
        <f t="shared" si="13"/>
        <v/>
      </c>
      <c r="S848" s="25"/>
      <c r="T848" s="25"/>
      <c r="U848" s="25"/>
      <c r="V848" s="25"/>
      <c r="W848" s="25"/>
      <c r="X848" s="25"/>
    </row>
    <row r="849" spans="1:24" x14ac:dyDescent="0.25">
      <c r="A849" s="31" t="s">
        <v>1409</v>
      </c>
      <c r="B849" s="32"/>
      <c r="C849" s="50" t="str">
        <f>IF(B849="","",VLOOKUP(B849,'Product Master'!$B:$G,2,FALSE))</f>
        <v/>
      </c>
      <c r="D849" s="50" t="str">
        <f>IF(B849="","",VLOOKUP(B849,'Product Master'!$B:$G,3,FALSE))</f>
        <v/>
      </c>
      <c r="E849" s="50"/>
      <c r="F849" s="50">
        <f>SUMIF('Stock Purchase'!$D:$D,B849,'Stock Purchase'!$F:$F)</f>
        <v>0</v>
      </c>
      <c r="G849" s="50">
        <f>SUMIFS('Stock Adjustment'!$E:$E,'Stock Adjustment'!$B:$B,$A849,'Stock Adjustment'!$D:$D,"Customer Returned")</f>
        <v>0</v>
      </c>
      <c r="H849" s="50">
        <f>SUMIF('Daily Sales Entry'!$D:$D,B849,'Daily Sales Entry'!$G:$G)</f>
        <v>0</v>
      </c>
      <c r="I849" s="50">
        <f>SUMIFS('Stock Adjustment'!$E:$E,'Stock Adjustment'!$B:$B,$A849,'Stock Adjustment'!$D:$D,"Staff Consumption")</f>
        <v>0</v>
      </c>
      <c r="J849" s="50">
        <f>SUMIFS('Stock Adjustment'!$E:$E,'Stock Adjustment'!$B:$B,$A849,'Stock Adjustment'!$D:$D,"Damaged")</f>
        <v>0</v>
      </c>
      <c r="K849" s="50">
        <f>SUMIFS('Stock Adjustment'!$E:$E,'Stock Adjustment'!$B:$B,$A849,'Stock Adjustment'!$D:$D,"Expired")</f>
        <v>0</v>
      </c>
      <c r="L849" s="50">
        <f>SUMIFS('Stock Adjustment'!$E:$E,'Stock Adjustment'!$B:$B,$A849,'Stock Adjustment'!$D:$D,"Supplier Returned")</f>
        <v>0</v>
      </c>
      <c r="M8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49" s="53" t="str">
        <f>IF(B849="","",VLOOKUP(B849,'Product Master'!$B:$G,4,FALSE))</f>
        <v/>
      </c>
      <c r="O849" s="53" t="str">
        <f>IF(B849="","",VLOOKUP(B849,'Product Master'!$B:$G,5,FALSE))</f>
        <v/>
      </c>
      <c r="P849" s="50" t="str">
        <f>IF(B849="","",VLOOKUP(B849,'Product Master'!$B:$I,7,FALSE))</f>
        <v/>
      </c>
      <c r="Q849" s="158"/>
      <c r="R849" s="58" t="str">
        <f t="shared" si="13"/>
        <v/>
      </c>
      <c r="S849" s="25"/>
      <c r="T849" s="25"/>
      <c r="U849" s="25"/>
      <c r="V849" s="25"/>
      <c r="W849" s="25"/>
      <c r="X849" s="25"/>
    </row>
    <row r="850" spans="1:24" x14ac:dyDescent="0.25">
      <c r="A850" s="31" t="s">
        <v>1410</v>
      </c>
      <c r="B850" s="32"/>
      <c r="C850" s="50" t="str">
        <f>IF(B850="","",VLOOKUP(B850,'Product Master'!$B:$G,2,FALSE))</f>
        <v/>
      </c>
      <c r="D850" s="50" t="str">
        <f>IF(B850="","",VLOOKUP(B850,'Product Master'!$B:$G,3,FALSE))</f>
        <v/>
      </c>
      <c r="E850" s="50"/>
      <c r="F850" s="50">
        <f>SUMIF('Stock Purchase'!$D:$D,B850,'Stock Purchase'!$F:$F)</f>
        <v>0</v>
      </c>
      <c r="G850" s="50">
        <f>SUMIFS('Stock Adjustment'!$E:$E,'Stock Adjustment'!$B:$B,$A850,'Stock Adjustment'!$D:$D,"Customer Returned")</f>
        <v>0</v>
      </c>
      <c r="H850" s="50">
        <f>SUMIF('Daily Sales Entry'!$D:$D,B850,'Daily Sales Entry'!$G:$G)</f>
        <v>0</v>
      </c>
      <c r="I850" s="50">
        <f>SUMIFS('Stock Adjustment'!$E:$E,'Stock Adjustment'!$B:$B,$A850,'Stock Adjustment'!$D:$D,"Staff Consumption")</f>
        <v>0</v>
      </c>
      <c r="J850" s="50">
        <f>SUMIFS('Stock Adjustment'!$E:$E,'Stock Adjustment'!$B:$B,$A850,'Stock Adjustment'!$D:$D,"Damaged")</f>
        <v>0</v>
      </c>
      <c r="K850" s="50">
        <f>SUMIFS('Stock Adjustment'!$E:$E,'Stock Adjustment'!$B:$B,$A850,'Stock Adjustment'!$D:$D,"Expired")</f>
        <v>0</v>
      </c>
      <c r="L850" s="50">
        <f>SUMIFS('Stock Adjustment'!$E:$E,'Stock Adjustment'!$B:$B,$A850,'Stock Adjustment'!$D:$D,"Supplier Returned")</f>
        <v>0</v>
      </c>
      <c r="M8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0" s="53" t="str">
        <f>IF(B850="","",VLOOKUP(B850,'Product Master'!$B:$G,4,FALSE))</f>
        <v/>
      </c>
      <c r="O850" s="53" t="str">
        <f>IF(B850="","",VLOOKUP(B850,'Product Master'!$B:$G,5,FALSE))</f>
        <v/>
      </c>
      <c r="P850" s="50" t="str">
        <f>IF(B850="","",VLOOKUP(B850,'Product Master'!$B:$I,7,FALSE))</f>
        <v/>
      </c>
      <c r="Q850" s="158"/>
      <c r="R850" s="58" t="str">
        <f t="shared" si="13"/>
        <v/>
      </c>
      <c r="S850" s="25"/>
      <c r="T850" s="25"/>
      <c r="U850" s="25"/>
      <c r="V850" s="25"/>
      <c r="W850" s="25"/>
      <c r="X850" s="25"/>
    </row>
    <row r="851" spans="1:24" x14ac:dyDescent="0.25">
      <c r="A851" s="31" t="s">
        <v>1411</v>
      </c>
      <c r="B851" s="32"/>
      <c r="C851" s="50" t="str">
        <f>IF(B851="","",VLOOKUP(B851,'Product Master'!$B:$G,2,FALSE))</f>
        <v/>
      </c>
      <c r="D851" s="50" t="str">
        <f>IF(B851="","",VLOOKUP(B851,'Product Master'!$B:$G,3,FALSE))</f>
        <v/>
      </c>
      <c r="E851" s="50"/>
      <c r="F851" s="50">
        <f>SUMIF('Stock Purchase'!$D:$D,B851,'Stock Purchase'!$F:$F)</f>
        <v>0</v>
      </c>
      <c r="G851" s="50">
        <f>SUMIFS('Stock Adjustment'!$E:$E,'Stock Adjustment'!$B:$B,$A851,'Stock Adjustment'!$D:$D,"Customer Returned")</f>
        <v>0</v>
      </c>
      <c r="H851" s="50">
        <f>SUMIF('Daily Sales Entry'!$D:$D,B851,'Daily Sales Entry'!$G:$G)</f>
        <v>0</v>
      </c>
      <c r="I851" s="50">
        <f>SUMIFS('Stock Adjustment'!$E:$E,'Stock Adjustment'!$B:$B,$A851,'Stock Adjustment'!$D:$D,"Staff Consumption")</f>
        <v>0</v>
      </c>
      <c r="J851" s="50">
        <f>SUMIFS('Stock Adjustment'!$E:$E,'Stock Adjustment'!$B:$B,$A851,'Stock Adjustment'!$D:$D,"Damaged")</f>
        <v>0</v>
      </c>
      <c r="K851" s="50">
        <f>SUMIFS('Stock Adjustment'!$E:$E,'Stock Adjustment'!$B:$B,$A851,'Stock Adjustment'!$D:$D,"Expired")</f>
        <v>0</v>
      </c>
      <c r="L851" s="50">
        <f>SUMIFS('Stock Adjustment'!$E:$E,'Stock Adjustment'!$B:$B,$A851,'Stock Adjustment'!$D:$D,"Supplier Returned")</f>
        <v>0</v>
      </c>
      <c r="M8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1" s="53" t="str">
        <f>IF(B851="","",VLOOKUP(B851,'Product Master'!$B:$G,4,FALSE))</f>
        <v/>
      </c>
      <c r="O851" s="53" t="str">
        <f>IF(B851="","",VLOOKUP(B851,'Product Master'!$B:$G,5,FALSE))</f>
        <v/>
      </c>
      <c r="P851" s="50" t="str">
        <f>IF(B851="","",VLOOKUP(B851,'Product Master'!$B:$I,7,FALSE))</f>
        <v/>
      </c>
      <c r="Q851" s="158"/>
      <c r="R851" s="58" t="str">
        <f t="shared" si="13"/>
        <v/>
      </c>
      <c r="S851" s="25"/>
      <c r="T851" s="25"/>
      <c r="U851" s="25"/>
      <c r="V851" s="25"/>
      <c r="W851" s="25"/>
      <c r="X851" s="25"/>
    </row>
    <row r="852" spans="1:24" x14ac:dyDescent="0.25">
      <c r="A852" s="31" t="s">
        <v>1412</v>
      </c>
      <c r="B852" s="32"/>
      <c r="C852" s="50" t="str">
        <f>IF(B852="","",VLOOKUP(B852,'Product Master'!$B:$G,2,FALSE))</f>
        <v/>
      </c>
      <c r="D852" s="50" t="str">
        <f>IF(B852="","",VLOOKUP(B852,'Product Master'!$B:$G,3,FALSE))</f>
        <v/>
      </c>
      <c r="E852" s="50"/>
      <c r="F852" s="50">
        <f>SUMIF('Stock Purchase'!$D:$D,B852,'Stock Purchase'!$F:$F)</f>
        <v>0</v>
      </c>
      <c r="G852" s="50">
        <f>SUMIFS('Stock Adjustment'!$E:$E,'Stock Adjustment'!$B:$B,$A852,'Stock Adjustment'!$D:$D,"Customer Returned")</f>
        <v>0</v>
      </c>
      <c r="H852" s="50">
        <f>SUMIF('Daily Sales Entry'!$D:$D,B852,'Daily Sales Entry'!$G:$G)</f>
        <v>0</v>
      </c>
      <c r="I852" s="50">
        <f>SUMIFS('Stock Adjustment'!$E:$E,'Stock Adjustment'!$B:$B,$A852,'Stock Adjustment'!$D:$D,"Staff Consumption")</f>
        <v>0</v>
      </c>
      <c r="J852" s="50">
        <f>SUMIFS('Stock Adjustment'!$E:$E,'Stock Adjustment'!$B:$B,$A852,'Stock Adjustment'!$D:$D,"Damaged")</f>
        <v>0</v>
      </c>
      <c r="K852" s="50">
        <f>SUMIFS('Stock Adjustment'!$E:$E,'Stock Adjustment'!$B:$B,$A852,'Stock Adjustment'!$D:$D,"Expired")</f>
        <v>0</v>
      </c>
      <c r="L852" s="50">
        <f>SUMIFS('Stock Adjustment'!$E:$E,'Stock Adjustment'!$B:$B,$A852,'Stock Adjustment'!$D:$D,"Supplier Returned")</f>
        <v>0</v>
      </c>
      <c r="M8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2" s="53" t="str">
        <f>IF(B852="","",VLOOKUP(B852,'Product Master'!$B:$G,4,FALSE))</f>
        <v/>
      </c>
      <c r="O852" s="53" t="str">
        <f>IF(B852="","",VLOOKUP(B852,'Product Master'!$B:$G,5,FALSE))</f>
        <v/>
      </c>
      <c r="P852" s="50" t="str">
        <f>IF(B852="","",VLOOKUP(B852,'Product Master'!$B:$I,7,FALSE))</f>
        <v/>
      </c>
      <c r="Q852" s="158"/>
      <c r="R852" s="58" t="str">
        <f t="shared" si="13"/>
        <v/>
      </c>
      <c r="S852" s="25"/>
      <c r="T852" s="25"/>
      <c r="U852" s="25"/>
      <c r="V852" s="25"/>
      <c r="W852" s="25"/>
      <c r="X852" s="25"/>
    </row>
    <row r="853" spans="1:24" x14ac:dyDescent="0.25">
      <c r="A853" s="31" t="s">
        <v>1413</v>
      </c>
      <c r="B853" s="32"/>
      <c r="C853" s="50" t="str">
        <f>IF(B853="","",VLOOKUP(B853,'Product Master'!$B:$G,2,FALSE))</f>
        <v/>
      </c>
      <c r="D853" s="50" t="str">
        <f>IF(B853="","",VLOOKUP(B853,'Product Master'!$B:$G,3,FALSE))</f>
        <v/>
      </c>
      <c r="E853" s="50"/>
      <c r="F853" s="50">
        <f>SUMIF('Stock Purchase'!$D:$D,B853,'Stock Purchase'!$F:$F)</f>
        <v>0</v>
      </c>
      <c r="G853" s="50">
        <f>SUMIFS('Stock Adjustment'!$E:$E,'Stock Adjustment'!$B:$B,$A853,'Stock Adjustment'!$D:$D,"Customer Returned")</f>
        <v>0</v>
      </c>
      <c r="H853" s="50">
        <f>SUMIF('Daily Sales Entry'!$D:$D,B853,'Daily Sales Entry'!$G:$G)</f>
        <v>0</v>
      </c>
      <c r="I853" s="50">
        <f>SUMIFS('Stock Adjustment'!$E:$E,'Stock Adjustment'!$B:$B,$A853,'Stock Adjustment'!$D:$D,"Staff Consumption")</f>
        <v>0</v>
      </c>
      <c r="J853" s="50">
        <f>SUMIFS('Stock Adjustment'!$E:$E,'Stock Adjustment'!$B:$B,$A853,'Stock Adjustment'!$D:$D,"Damaged")</f>
        <v>0</v>
      </c>
      <c r="K853" s="50">
        <f>SUMIFS('Stock Adjustment'!$E:$E,'Stock Adjustment'!$B:$B,$A853,'Stock Adjustment'!$D:$D,"Expired")</f>
        <v>0</v>
      </c>
      <c r="L853" s="50">
        <f>SUMIFS('Stock Adjustment'!$E:$E,'Stock Adjustment'!$B:$B,$A853,'Stock Adjustment'!$D:$D,"Supplier Returned")</f>
        <v>0</v>
      </c>
      <c r="M8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3" s="53" t="str">
        <f>IF(B853="","",VLOOKUP(B853,'Product Master'!$B:$G,4,FALSE))</f>
        <v/>
      </c>
      <c r="O853" s="53" t="str">
        <f>IF(B853="","",VLOOKUP(B853,'Product Master'!$B:$G,5,FALSE))</f>
        <v/>
      </c>
      <c r="P853" s="50" t="str">
        <f>IF(B853="","",VLOOKUP(B853,'Product Master'!$B:$I,7,FALSE))</f>
        <v/>
      </c>
      <c r="Q853" s="158"/>
      <c r="R853" s="58" t="str">
        <f t="shared" si="13"/>
        <v/>
      </c>
      <c r="S853" s="25"/>
      <c r="T853" s="25"/>
      <c r="U853" s="25"/>
      <c r="V853" s="25"/>
      <c r="W853" s="25"/>
      <c r="X853" s="25"/>
    </row>
    <row r="854" spans="1:24" x14ac:dyDescent="0.25">
      <c r="A854" s="31" t="s">
        <v>1414</v>
      </c>
      <c r="B854" s="32"/>
      <c r="C854" s="50" t="str">
        <f>IF(B854="","",VLOOKUP(B854,'Product Master'!$B:$G,2,FALSE))</f>
        <v/>
      </c>
      <c r="D854" s="50" t="str">
        <f>IF(B854="","",VLOOKUP(B854,'Product Master'!$B:$G,3,FALSE))</f>
        <v/>
      </c>
      <c r="E854" s="50"/>
      <c r="F854" s="50">
        <f>SUMIF('Stock Purchase'!$D:$D,B854,'Stock Purchase'!$F:$F)</f>
        <v>0</v>
      </c>
      <c r="G854" s="50">
        <f>SUMIFS('Stock Adjustment'!$E:$E,'Stock Adjustment'!$B:$B,$A854,'Stock Adjustment'!$D:$D,"Customer Returned")</f>
        <v>0</v>
      </c>
      <c r="H854" s="50">
        <f>SUMIF('Daily Sales Entry'!$D:$D,B854,'Daily Sales Entry'!$G:$G)</f>
        <v>0</v>
      </c>
      <c r="I854" s="50">
        <f>SUMIFS('Stock Adjustment'!$E:$E,'Stock Adjustment'!$B:$B,$A854,'Stock Adjustment'!$D:$D,"Staff Consumption")</f>
        <v>0</v>
      </c>
      <c r="J854" s="50">
        <f>SUMIFS('Stock Adjustment'!$E:$E,'Stock Adjustment'!$B:$B,$A854,'Stock Adjustment'!$D:$D,"Damaged")</f>
        <v>0</v>
      </c>
      <c r="K854" s="50">
        <f>SUMIFS('Stock Adjustment'!$E:$E,'Stock Adjustment'!$B:$B,$A854,'Stock Adjustment'!$D:$D,"Expired")</f>
        <v>0</v>
      </c>
      <c r="L854" s="50">
        <f>SUMIFS('Stock Adjustment'!$E:$E,'Stock Adjustment'!$B:$B,$A854,'Stock Adjustment'!$D:$D,"Supplier Returned")</f>
        <v>0</v>
      </c>
      <c r="M8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4" s="53" t="str">
        <f>IF(B854="","",VLOOKUP(B854,'Product Master'!$B:$G,4,FALSE))</f>
        <v/>
      </c>
      <c r="O854" s="53" t="str">
        <f>IF(B854="","",VLOOKUP(B854,'Product Master'!$B:$G,5,FALSE))</f>
        <v/>
      </c>
      <c r="P854" s="50" t="str">
        <f>IF(B854="","",VLOOKUP(B854,'Product Master'!$B:$I,7,FALSE))</f>
        <v/>
      </c>
      <c r="Q854" s="158"/>
      <c r="R854" s="58" t="str">
        <f t="shared" si="13"/>
        <v/>
      </c>
      <c r="S854" s="25"/>
      <c r="T854" s="25"/>
      <c r="U854" s="25"/>
      <c r="V854" s="25"/>
      <c r="W854" s="25"/>
      <c r="X854" s="25"/>
    </row>
    <row r="855" spans="1:24" x14ac:dyDescent="0.25">
      <c r="A855" s="31" t="s">
        <v>1415</v>
      </c>
      <c r="B855" s="32"/>
      <c r="C855" s="50" t="str">
        <f>IF(B855="","",VLOOKUP(B855,'Product Master'!$B:$G,2,FALSE))</f>
        <v/>
      </c>
      <c r="D855" s="50" t="str">
        <f>IF(B855="","",VLOOKUP(B855,'Product Master'!$B:$G,3,FALSE))</f>
        <v/>
      </c>
      <c r="E855" s="50"/>
      <c r="F855" s="50">
        <f>SUMIF('Stock Purchase'!$D:$D,B855,'Stock Purchase'!$F:$F)</f>
        <v>0</v>
      </c>
      <c r="G855" s="50">
        <f>SUMIFS('Stock Adjustment'!$E:$E,'Stock Adjustment'!$B:$B,$A855,'Stock Adjustment'!$D:$D,"Customer Returned")</f>
        <v>0</v>
      </c>
      <c r="H855" s="50">
        <f>SUMIF('Daily Sales Entry'!$D:$D,B855,'Daily Sales Entry'!$G:$G)</f>
        <v>0</v>
      </c>
      <c r="I855" s="50">
        <f>SUMIFS('Stock Adjustment'!$E:$E,'Stock Adjustment'!$B:$B,$A855,'Stock Adjustment'!$D:$D,"Staff Consumption")</f>
        <v>0</v>
      </c>
      <c r="J855" s="50">
        <f>SUMIFS('Stock Adjustment'!$E:$E,'Stock Adjustment'!$B:$B,$A855,'Stock Adjustment'!$D:$D,"Damaged")</f>
        <v>0</v>
      </c>
      <c r="K855" s="50">
        <f>SUMIFS('Stock Adjustment'!$E:$E,'Stock Adjustment'!$B:$B,$A855,'Stock Adjustment'!$D:$D,"Expired")</f>
        <v>0</v>
      </c>
      <c r="L855" s="50">
        <f>SUMIFS('Stock Adjustment'!$E:$E,'Stock Adjustment'!$B:$B,$A855,'Stock Adjustment'!$D:$D,"Supplier Returned")</f>
        <v>0</v>
      </c>
      <c r="M8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5" s="53" t="str">
        <f>IF(B855="","",VLOOKUP(B855,'Product Master'!$B:$G,4,FALSE))</f>
        <v/>
      </c>
      <c r="O855" s="53" t="str">
        <f>IF(B855="","",VLOOKUP(B855,'Product Master'!$B:$G,5,FALSE))</f>
        <v/>
      </c>
      <c r="P855" s="50" t="str">
        <f>IF(B855="","",VLOOKUP(B855,'Product Master'!$B:$I,7,FALSE))</f>
        <v/>
      </c>
      <c r="Q855" s="158"/>
      <c r="R855" s="58" t="str">
        <f t="shared" si="13"/>
        <v/>
      </c>
      <c r="S855" s="25"/>
      <c r="T855" s="25"/>
      <c r="U855" s="25"/>
      <c r="V855" s="25"/>
      <c r="W855" s="25"/>
      <c r="X855" s="25"/>
    </row>
    <row r="856" spans="1:24" x14ac:dyDescent="0.25">
      <c r="A856" s="31" t="s">
        <v>1416</v>
      </c>
      <c r="B856" s="32"/>
      <c r="C856" s="50" t="str">
        <f>IF(B856="","",VLOOKUP(B856,'Product Master'!$B:$G,2,FALSE))</f>
        <v/>
      </c>
      <c r="D856" s="50" t="str">
        <f>IF(B856="","",VLOOKUP(B856,'Product Master'!$B:$G,3,FALSE))</f>
        <v/>
      </c>
      <c r="E856" s="50"/>
      <c r="F856" s="50">
        <f>SUMIF('Stock Purchase'!$D:$D,B856,'Stock Purchase'!$F:$F)</f>
        <v>0</v>
      </c>
      <c r="G856" s="50">
        <f>SUMIFS('Stock Adjustment'!$E:$E,'Stock Adjustment'!$B:$B,$A856,'Stock Adjustment'!$D:$D,"Customer Returned")</f>
        <v>0</v>
      </c>
      <c r="H856" s="50">
        <f>SUMIF('Daily Sales Entry'!$D:$D,B856,'Daily Sales Entry'!$G:$G)</f>
        <v>0</v>
      </c>
      <c r="I856" s="50">
        <f>SUMIFS('Stock Adjustment'!$E:$E,'Stock Adjustment'!$B:$B,$A856,'Stock Adjustment'!$D:$D,"Staff Consumption")</f>
        <v>0</v>
      </c>
      <c r="J856" s="50">
        <f>SUMIFS('Stock Adjustment'!$E:$E,'Stock Adjustment'!$B:$B,$A856,'Stock Adjustment'!$D:$D,"Damaged")</f>
        <v>0</v>
      </c>
      <c r="K856" s="50">
        <f>SUMIFS('Stock Adjustment'!$E:$E,'Stock Adjustment'!$B:$B,$A856,'Stock Adjustment'!$D:$D,"Expired")</f>
        <v>0</v>
      </c>
      <c r="L856" s="50">
        <f>SUMIFS('Stock Adjustment'!$E:$E,'Stock Adjustment'!$B:$B,$A856,'Stock Adjustment'!$D:$D,"Supplier Returned")</f>
        <v>0</v>
      </c>
      <c r="M8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6" s="53" t="str">
        <f>IF(B856="","",VLOOKUP(B856,'Product Master'!$B:$G,4,FALSE))</f>
        <v/>
      </c>
      <c r="O856" s="53" t="str">
        <f>IF(B856="","",VLOOKUP(B856,'Product Master'!$B:$G,5,FALSE))</f>
        <v/>
      </c>
      <c r="P856" s="50" t="str">
        <f>IF(B856="","",VLOOKUP(B856,'Product Master'!$B:$I,7,FALSE))</f>
        <v/>
      </c>
      <c r="Q856" s="158"/>
      <c r="R856" s="58" t="str">
        <f t="shared" si="13"/>
        <v/>
      </c>
      <c r="S856" s="25"/>
      <c r="T856" s="25"/>
      <c r="U856" s="25"/>
      <c r="V856" s="25"/>
      <c r="W856" s="25"/>
      <c r="X856" s="25"/>
    </row>
    <row r="857" spans="1:24" x14ac:dyDescent="0.25">
      <c r="A857" s="31" t="s">
        <v>1417</v>
      </c>
      <c r="B857" s="32"/>
      <c r="C857" s="50" t="str">
        <f>IF(B857="","",VLOOKUP(B857,'Product Master'!$B:$G,2,FALSE))</f>
        <v/>
      </c>
      <c r="D857" s="50" t="str">
        <f>IF(B857="","",VLOOKUP(B857,'Product Master'!$B:$G,3,FALSE))</f>
        <v/>
      </c>
      <c r="E857" s="50"/>
      <c r="F857" s="50">
        <f>SUMIF('Stock Purchase'!$D:$D,B857,'Stock Purchase'!$F:$F)</f>
        <v>0</v>
      </c>
      <c r="G857" s="50">
        <f>SUMIFS('Stock Adjustment'!$E:$E,'Stock Adjustment'!$B:$B,$A857,'Stock Adjustment'!$D:$D,"Customer Returned")</f>
        <v>0</v>
      </c>
      <c r="H857" s="50">
        <f>SUMIF('Daily Sales Entry'!$D:$D,B857,'Daily Sales Entry'!$G:$G)</f>
        <v>0</v>
      </c>
      <c r="I857" s="50">
        <f>SUMIFS('Stock Adjustment'!$E:$E,'Stock Adjustment'!$B:$B,$A857,'Stock Adjustment'!$D:$D,"Staff Consumption")</f>
        <v>0</v>
      </c>
      <c r="J857" s="50">
        <f>SUMIFS('Stock Adjustment'!$E:$E,'Stock Adjustment'!$B:$B,$A857,'Stock Adjustment'!$D:$D,"Damaged")</f>
        <v>0</v>
      </c>
      <c r="K857" s="50">
        <f>SUMIFS('Stock Adjustment'!$E:$E,'Stock Adjustment'!$B:$B,$A857,'Stock Adjustment'!$D:$D,"Expired")</f>
        <v>0</v>
      </c>
      <c r="L857" s="50">
        <f>SUMIFS('Stock Adjustment'!$E:$E,'Stock Adjustment'!$B:$B,$A857,'Stock Adjustment'!$D:$D,"Supplier Returned")</f>
        <v>0</v>
      </c>
      <c r="M8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7" s="53" t="str">
        <f>IF(B857="","",VLOOKUP(B857,'Product Master'!$B:$G,4,FALSE))</f>
        <v/>
      </c>
      <c r="O857" s="53" t="str">
        <f>IF(B857="","",VLOOKUP(B857,'Product Master'!$B:$G,5,FALSE))</f>
        <v/>
      </c>
      <c r="P857" s="50" t="str">
        <f>IF(B857="","",VLOOKUP(B857,'Product Master'!$B:$I,7,FALSE))</f>
        <v/>
      </c>
      <c r="Q857" s="158"/>
      <c r="R857" s="58" t="str">
        <f t="shared" si="13"/>
        <v/>
      </c>
      <c r="S857" s="25"/>
      <c r="T857" s="25"/>
      <c r="U857" s="25"/>
      <c r="V857" s="25"/>
      <c r="W857" s="25"/>
      <c r="X857" s="25"/>
    </row>
    <row r="858" spans="1:24" x14ac:dyDescent="0.25">
      <c r="A858" s="31" t="s">
        <v>1418</v>
      </c>
      <c r="B858" s="32"/>
      <c r="C858" s="50" t="str">
        <f>IF(B858="","",VLOOKUP(B858,'Product Master'!$B:$G,2,FALSE))</f>
        <v/>
      </c>
      <c r="D858" s="50" t="str">
        <f>IF(B858="","",VLOOKUP(B858,'Product Master'!$B:$G,3,FALSE))</f>
        <v/>
      </c>
      <c r="E858" s="50"/>
      <c r="F858" s="50">
        <f>SUMIF('Stock Purchase'!$D:$D,B858,'Stock Purchase'!$F:$F)</f>
        <v>0</v>
      </c>
      <c r="G858" s="50">
        <f>SUMIFS('Stock Adjustment'!$E:$E,'Stock Adjustment'!$B:$B,$A858,'Stock Adjustment'!$D:$D,"Customer Returned")</f>
        <v>0</v>
      </c>
      <c r="H858" s="50">
        <f>SUMIF('Daily Sales Entry'!$D:$D,B858,'Daily Sales Entry'!$G:$G)</f>
        <v>0</v>
      </c>
      <c r="I858" s="50">
        <f>SUMIFS('Stock Adjustment'!$E:$E,'Stock Adjustment'!$B:$B,$A858,'Stock Adjustment'!$D:$D,"Staff Consumption")</f>
        <v>0</v>
      </c>
      <c r="J858" s="50">
        <f>SUMIFS('Stock Adjustment'!$E:$E,'Stock Adjustment'!$B:$B,$A858,'Stock Adjustment'!$D:$D,"Damaged")</f>
        <v>0</v>
      </c>
      <c r="K858" s="50">
        <f>SUMIFS('Stock Adjustment'!$E:$E,'Stock Adjustment'!$B:$B,$A858,'Stock Adjustment'!$D:$D,"Expired")</f>
        <v>0</v>
      </c>
      <c r="L858" s="50">
        <f>SUMIFS('Stock Adjustment'!$E:$E,'Stock Adjustment'!$B:$B,$A858,'Stock Adjustment'!$D:$D,"Supplier Returned")</f>
        <v>0</v>
      </c>
      <c r="M8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8" s="53" t="str">
        <f>IF(B858="","",VLOOKUP(B858,'Product Master'!$B:$G,4,FALSE))</f>
        <v/>
      </c>
      <c r="O858" s="53" t="str">
        <f>IF(B858="","",VLOOKUP(B858,'Product Master'!$B:$G,5,FALSE))</f>
        <v/>
      </c>
      <c r="P858" s="50" t="str">
        <f>IF(B858="","",VLOOKUP(B858,'Product Master'!$B:$I,7,FALSE))</f>
        <v/>
      </c>
      <c r="Q858" s="158"/>
      <c r="R858" s="58" t="str">
        <f t="shared" si="13"/>
        <v/>
      </c>
      <c r="S858" s="25"/>
      <c r="T858" s="25"/>
      <c r="U858" s="25"/>
      <c r="V858" s="25"/>
      <c r="W858" s="25"/>
      <c r="X858" s="25"/>
    </row>
    <row r="859" spans="1:24" x14ac:dyDescent="0.25">
      <c r="A859" s="31" t="s">
        <v>1419</v>
      </c>
      <c r="B859" s="32"/>
      <c r="C859" s="50" t="str">
        <f>IF(B859="","",VLOOKUP(B859,'Product Master'!$B:$G,2,FALSE))</f>
        <v/>
      </c>
      <c r="D859" s="50" t="str">
        <f>IF(B859="","",VLOOKUP(B859,'Product Master'!$B:$G,3,FALSE))</f>
        <v/>
      </c>
      <c r="E859" s="50"/>
      <c r="F859" s="50">
        <f>SUMIF('Stock Purchase'!$D:$D,B859,'Stock Purchase'!$F:$F)</f>
        <v>0</v>
      </c>
      <c r="G859" s="50">
        <f>SUMIFS('Stock Adjustment'!$E:$E,'Stock Adjustment'!$B:$B,$A859,'Stock Adjustment'!$D:$D,"Customer Returned")</f>
        <v>0</v>
      </c>
      <c r="H859" s="50">
        <f>SUMIF('Daily Sales Entry'!$D:$D,B859,'Daily Sales Entry'!$G:$G)</f>
        <v>0</v>
      </c>
      <c r="I859" s="50">
        <f>SUMIFS('Stock Adjustment'!$E:$E,'Stock Adjustment'!$B:$B,$A859,'Stock Adjustment'!$D:$D,"Staff Consumption")</f>
        <v>0</v>
      </c>
      <c r="J859" s="50">
        <f>SUMIFS('Stock Adjustment'!$E:$E,'Stock Adjustment'!$B:$B,$A859,'Stock Adjustment'!$D:$D,"Damaged")</f>
        <v>0</v>
      </c>
      <c r="K859" s="50">
        <f>SUMIFS('Stock Adjustment'!$E:$E,'Stock Adjustment'!$B:$B,$A859,'Stock Adjustment'!$D:$D,"Expired")</f>
        <v>0</v>
      </c>
      <c r="L859" s="50">
        <f>SUMIFS('Stock Adjustment'!$E:$E,'Stock Adjustment'!$B:$B,$A859,'Stock Adjustment'!$D:$D,"Supplier Returned")</f>
        <v>0</v>
      </c>
      <c r="M8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59" s="53" t="str">
        <f>IF(B859="","",VLOOKUP(B859,'Product Master'!$B:$G,4,FALSE))</f>
        <v/>
      </c>
      <c r="O859" s="53" t="str">
        <f>IF(B859="","",VLOOKUP(B859,'Product Master'!$B:$G,5,FALSE))</f>
        <v/>
      </c>
      <c r="P859" s="50" t="str">
        <f>IF(B859="","",VLOOKUP(B859,'Product Master'!$B:$I,7,FALSE))</f>
        <v/>
      </c>
      <c r="Q859" s="158"/>
      <c r="R859" s="58" t="str">
        <f t="shared" si="13"/>
        <v/>
      </c>
      <c r="S859" s="25"/>
      <c r="T859" s="25"/>
      <c r="U859" s="25"/>
      <c r="V859" s="25"/>
      <c r="W859" s="25"/>
      <c r="X859" s="25"/>
    </row>
    <row r="860" spans="1:24" x14ac:dyDescent="0.25">
      <c r="A860" s="31" t="s">
        <v>1420</v>
      </c>
      <c r="B860" s="32"/>
      <c r="C860" s="50" t="str">
        <f>IF(B860="","",VLOOKUP(B860,'Product Master'!$B:$G,2,FALSE))</f>
        <v/>
      </c>
      <c r="D860" s="50" t="str">
        <f>IF(B860="","",VLOOKUP(B860,'Product Master'!$B:$G,3,FALSE))</f>
        <v/>
      </c>
      <c r="E860" s="50"/>
      <c r="F860" s="50">
        <f>SUMIF('Stock Purchase'!$D:$D,B860,'Stock Purchase'!$F:$F)</f>
        <v>0</v>
      </c>
      <c r="G860" s="50">
        <f>SUMIFS('Stock Adjustment'!$E:$E,'Stock Adjustment'!$B:$B,$A860,'Stock Adjustment'!$D:$D,"Customer Returned")</f>
        <v>0</v>
      </c>
      <c r="H860" s="50">
        <f>SUMIF('Daily Sales Entry'!$D:$D,B860,'Daily Sales Entry'!$G:$G)</f>
        <v>0</v>
      </c>
      <c r="I860" s="50">
        <f>SUMIFS('Stock Adjustment'!$E:$E,'Stock Adjustment'!$B:$B,$A860,'Stock Adjustment'!$D:$D,"Staff Consumption")</f>
        <v>0</v>
      </c>
      <c r="J860" s="50">
        <f>SUMIFS('Stock Adjustment'!$E:$E,'Stock Adjustment'!$B:$B,$A860,'Stock Adjustment'!$D:$D,"Damaged")</f>
        <v>0</v>
      </c>
      <c r="K860" s="50">
        <f>SUMIFS('Stock Adjustment'!$E:$E,'Stock Adjustment'!$B:$B,$A860,'Stock Adjustment'!$D:$D,"Expired")</f>
        <v>0</v>
      </c>
      <c r="L860" s="50">
        <f>SUMIFS('Stock Adjustment'!$E:$E,'Stock Adjustment'!$B:$B,$A860,'Stock Adjustment'!$D:$D,"Supplier Returned")</f>
        <v>0</v>
      </c>
      <c r="M8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0" s="53" t="str">
        <f>IF(B860="","",VLOOKUP(B860,'Product Master'!$B:$G,4,FALSE))</f>
        <v/>
      </c>
      <c r="O860" s="53" t="str">
        <f>IF(B860="","",VLOOKUP(B860,'Product Master'!$B:$G,5,FALSE))</f>
        <v/>
      </c>
      <c r="P860" s="50" t="str">
        <f>IF(B860="","",VLOOKUP(B860,'Product Master'!$B:$I,7,FALSE))</f>
        <v/>
      </c>
      <c r="Q860" s="158"/>
      <c r="R860" s="58" t="str">
        <f t="shared" si="13"/>
        <v/>
      </c>
      <c r="S860" s="25"/>
      <c r="T860" s="25"/>
      <c r="U860" s="25"/>
      <c r="V860" s="25"/>
      <c r="W860" s="25"/>
      <c r="X860" s="25"/>
    </row>
    <row r="861" spans="1:24" x14ac:dyDescent="0.25">
      <c r="A861" s="31" t="s">
        <v>1421</v>
      </c>
      <c r="B861" s="32"/>
      <c r="C861" s="50" t="str">
        <f>IF(B861="","",VLOOKUP(B861,'Product Master'!$B:$G,2,FALSE))</f>
        <v/>
      </c>
      <c r="D861" s="50" t="str">
        <f>IF(B861="","",VLOOKUP(B861,'Product Master'!$B:$G,3,FALSE))</f>
        <v/>
      </c>
      <c r="E861" s="50"/>
      <c r="F861" s="50">
        <f>SUMIF('Stock Purchase'!$D:$D,B861,'Stock Purchase'!$F:$F)</f>
        <v>0</v>
      </c>
      <c r="G861" s="50">
        <f>SUMIFS('Stock Adjustment'!$E:$E,'Stock Adjustment'!$B:$B,$A861,'Stock Adjustment'!$D:$D,"Customer Returned")</f>
        <v>0</v>
      </c>
      <c r="H861" s="50">
        <f>SUMIF('Daily Sales Entry'!$D:$D,B861,'Daily Sales Entry'!$G:$G)</f>
        <v>0</v>
      </c>
      <c r="I861" s="50">
        <f>SUMIFS('Stock Adjustment'!$E:$E,'Stock Adjustment'!$B:$B,$A861,'Stock Adjustment'!$D:$D,"Staff Consumption")</f>
        <v>0</v>
      </c>
      <c r="J861" s="50">
        <f>SUMIFS('Stock Adjustment'!$E:$E,'Stock Adjustment'!$B:$B,$A861,'Stock Adjustment'!$D:$D,"Damaged")</f>
        <v>0</v>
      </c>
      <c r="K861" s="50">
        <f>SUMIFS('Stock Adjustment'!$E:$E,'Stock Adjustment'!$B:$B,$A861,'Stock Adjustment'!$D:$D,"Expired")</f>
        <v>0</v>
      </c>
      <c r="L861" s="50">
        <f>SUMIFS('Stock Adjustment'!$E:$E,'Stock Adjustment'!$B:$B,$A861,'Stock Adjustment'!$D:$D,"Supplier Returned")</f>
        <v>0</v>
      </c>
      <c r="M8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1" s="53" t="str">
        <f>IF(B861="","",VLOOKUP(B861,'Product Master'!$B:$G,4,FALSE))</f>
        <v/>
      </c>
      <c r="O861" s="53" t="str">
        <f>IF(B861="","",VLOOKUP(B861,'Product Master'!$B:$G,5,FALSE))</f>
        <v/>
      </c>
      <c r="P861" s="50" t="str">
        <f>IF(B861="","",VLOOKUP(B861,'Product Master'!$B:$I,7,FALSE))</f>
        <v/>
      </c>
      <c r="Q861" s="158"/>
      <c r="R861" s="58" t="str">
        <f t="shared" si="13"/>
        <v/>
      </c>
      <c r="S861" s="25"/>
      <c r="T861" s="25"/>
      <c r="U861" s="25"/>
      <c r="V861" s="25"/>
      <c r="W861" s="25"/>
      <c r="X861" s="25"/>
    </row>
    <row r="862" spans="1:24" x14ac:dyDescent="0.25">
      <c r="A862" s="31" t="s">
        <v>1422</v>
      </c>
      <c r="B862" s="32"/>
      <c r="C862" s="50" t="str">
        <f>IF(B862="","",VLOOKUP(B862,'Product Master'!$B:$G,2,FALSE))</f>
        <v/>
      </c>
      <c r="D862" s="50" t="str">
        <f>IF(B862="","",VLOOKUP(B862,'Product Master'!$B:$G,3,FALSE))</f>
        <v/>
      </c>
      <c r="E862" s="50"/>
      <c r="F862" s="50">
        <f>SUMIF('Stock Purchase'!$D:$D,B862,'Stock Purchase'!$F:$F)</f>
        <v>0</v>
      </c>
      <c r="G862" s="50">
        <f>SUMIFS('Stock Adjustment'!$E:$E,'Stock Adjustment'!$B:$B,$A862,'Stock Adjustment'!$D:$D,"Customer Returned")</f>
        <v>0</v>
      </c>
      <c r="H862" s="50">
        <f>SUMIF('Daily Sales Entry'!$D:$D,B862,'Daily Sales Entry'!$G:$G)</f>
        <v>0</v>
      </c>
      <c r="I862" s="50">
        <f>SUMIFS('Stock Adjustment'!$E:$E,'Stock Adjustment'!$B:$B,$A862,'Stock Adjustment'!$D:$D,"Staff Consumption")</f>
        <v>0</v>
      </c>
      <c r="J862" s="50">
        <f>SUMIFS('Stock Adjustment'!$E:$E,'Stock Adjustment'!$B:$B,$A862,'Stock Adjustment'!$D:$D,"Damaged")</f>
        <v>0</v>
      </c>
      <c r="K862" s="50">
        <f>SUMIFS('Stock Adjustment'!$E:$E,'Stock Adjustment'!$B:$B,$A862,'Stock Adjustment'!$D:$D,"Expired")</f>
        <v>0</v>
      </c>
      <c r="L862" s="50">
        <f>SUMIFS('Stock Adjustment'!$E:$E,'Stock Adjustment'!$B:$B,$A862,'Stock Adjustment'!$D:$D,"Supplier Returned")</f>
        <v>0</v>
      </c>
      <c r="M8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2" s="53" t="str">
        <f>IF(B862="","",VLOOKUP(B862,'Product Master'!$B:$G,4,FALSE))</f>
        <v/>
      </c>
      <c r="O862" s="53" t="str">
        <f>IF(B862="","",VLOOKUP(B862,'Product Master'!$B:$G,5,FALSE))</f>
        <v/>
      </c>
      <c r="P862" s="50" t="str">
        <f>IF(B862="","",VLOOKUP(B862,'Product Master'!$B:$I,7,FALSE))</f>
        <v/>
      </c>
      <c r="Q862" s="158"/>
      <c r="R862" s="58" t="str">
        <f t="shared" si="13"/>
        <v/>
      </c>
      <c r="S862" s="25"/>
      <c r="T862" s="25"/>
      <c r="U862" s="25"/>
      <c r="V862" s="25"/>
      <c r="W862" s="25"/>
      <c r="X862" s="25"/>
    </row>
    <row r="863" spans="1:24" x14ac:dyDescent="0.25">
      <c r="A863" s="31" t="s">
        <v>1423</v>
      </c>
      <c r="B863" s="32"/>
      <c r="C863" s="50" t="str">
        <f>IF(B863="","",VLOOKUP(B863,'Product Master'!$B:$G,2,FALSE))</f>
        <v/>
      </c>
      <c r="D863" s="50" t="str">
        <f>IF(B863="","",VLOOKUP(B863,'Product Master'!$B:$G,3,FALSE))</f>
        <v/>
      </c>
      <c r="E863" s="50"/>
      <c r="F863" s="50">
        <f>SUMIF('Stock Purchase'!$D:$D,B863,'Stock Purchase'!$F:$F)</f>
        <v>0</v>
      </c>
      <c r="G863" s="50">
        <f>SUMIFS('Stock Adjustment'!$E:$E,'Stock Adjustment'!$B:$B,$A863,'Stock Adjustment'!$D:$D,"Customer Returned")</f>
        <v>0</v>
      </c>
      <c r="H863" s="50">
        <f>SUMIF('Daily Sales Entry'!$D:$D,B863,'Daily Sales Entry'!$G:$G)</f>
        <v>0</v>
      </c>
      <c r="I863" s="50">
        <f>SUMIFS('Stock Adjustment'!$E:$E,'Stock Adjustment'!$B:$B,$A863,'Stock Adjustment'!$D:$D,"Staff Consumption")</f>
        <v>0</v>
      </c>
      <c r="J863" s="50">
        <f>SUMIFS('Stock Adjustment'!$E:$E,'Stock Adjustment'!$B:$B,$A863,'Stock Adjustment'!$D:$D,"Damaged")</f>
        <v>0</v>
      </c>
      <c r="K863" s="50">
        <f>SUMIFS('Stock Adjustment'!$E:$E,'Stock Adjustment'!$B:$B,$A863,'Stock Adjustment'!$D:$D,"Expired")</f>
        <v>0</v>
      </c>
      <c r="L863" s="50">
        <f>SUMIFS('Stock Adjustment'!$E:$E,'Stock Adjustment'!$B:$B,$A863,'Stock Adjustment'!$D:$D,"Supplier Returned")</f>
        <v>0</v>
      </c>
      <c r="M8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3" s="53" t="str">
        <f>IF(B863="","",VLOOKUP(B863,'Product Master'!$B:$G,4,FALSE))</f>
        <v/>
      </c>
      <c r="O863" s="53" t="str">
        <f>IF(B863="","",VLOOKUP(B863,'Product Master'!$B:$G,5,FALSE))</f>
        <v/>
      </c>
      <c r="P863" s="50" t="str">
        <f>IF(B863="","",VLOOKUP(B863,'Product Master'!$B:$I,7,FALSE))</f>
        <v/>
      </c>
      <c r="Q863" s="158"/>
      <c r="R863" s="58" t="str">
        <f t="shared" si="13"/>
        <v/>
      </c>
      <c r="S863" s="25"/>
      <c r="T863" s="25"/>
      <c r="U863" s="25"/>
      <c r="V863" s="25"/>
      <c r="W863" s="25"/>
      <c r="X863" s="25"/>
    </row>
    <row r="864" spans="1:24" x14ac:dyDescent="0.25">
      <c r="A864" s="31" t="s">
        <v>1424</v>
      </c>
      <c r="B864" s="32"/>
      <c r="C864" s="50" t="str">
        <f>IF(B864="","",VLOOKUP(B864,'Product Master'!$B:$G,2,FALSE))</f>
        <v/>
      </c>
      <c r="D864" s="50" t="str">
        <f>IF(B864="","",VLOOKUP(B864,'Product Master'!$B:$G,3,FALSE))</f>
        <v/>
      </c>
      <c r="E864" s="50"/>
      <c r="F864" s="50">
        <f>SUMIF('Stock Purchase'!$D:$D,B864,'Stock Purchase'!$F:$F)</f>
        <v>0</v>
      </c>
      <c r="G864" s="50">
        <f>SUMIFS('Stock Adjustment'!$E:$E,'Stock Adjustment'!$B:$B,$A864,'Stock Adjustment'!$D:$D,"Customer Returned")</f>
        <v>0</v>
      </c>
      <c r="H864" s="50">
        <f>SUMIF('Daily Sales Entry'!$D:$D,B864,'Daily Sales Entry'!$G:$G)</f>
        <v>0</v>
      </c>
      <c r="I864" s="50">
        <f>SUMIFS('Stock Adjustment'!$E:$E,'Stock Adjustment'!$B:$B,$A864,'Stock Adjustment'!$D:$D,"Staff Consumption")</f>
        <v>0</v>
      </c>
      <c r="J864" s="50">
        <f>SUMIFS('Stock Adjustment'!$E:$E,'Stock Adjustment'!$B:$B,$A864,'Stock Adjustment'!$D:$D,"Damaged")</f>
        <v>0</v>
      </c>
      <c r="K864" s="50">
        <f>SUMIFS('Stock Adjustment'!$E:$E,'Stock Adjustment'!$B:$B,$A864,'Stock Adjustment'!$D:$D,"Expired")</f>
        <v>0</v>
      </c>
      <c r="L864" s="50">
        <f>SUMIFS('Stock Adjustment'!$E:$E,'Stock Adjustment'!$B:$B,$A864,'Stock Adjustment'!$D:$D,"Supplier Returned")</f>
        <v>0</v>
      </c>
      <c r="M8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4" s="53" t="str">
        <f>IF(B864="","",VLOOKUP(B864,'Product Master'!$B:$G,4,FALSE))</f>
        <v/>
      </c>
      <c r="O864" s="53" t="str">
        <f>IF(B864="","",VLOOKUP(B864,'Product Master'!$B:$G,5,FALSE))</f>
        <v/>
      </c>
      <c r="P864" s="50" t="str">
        <f>IF(B864="","",VLOOKUP(B864,'Product Master'!$B:$I,7,FALSE))</f>
        <v/>
      </c>
      <c r="Q864" s="158"/>
      <c r="R864" s="58" t="str">
        <f t="shared" si="13"/>
        <v/>
      </c>
      <c r="S864" s="25"/>
      <c r="T864" s="25"/>
      <c r="U864" s="25"/>
      <c r="V864" s="25"/>
      <c r="W864" s="25"/>
      <c r="X864" s="25"/>
    </row>
    <row r="865" spans="1:24" x14ac:dyDescent="0.25">
      <c r="A865" s="31" t="s">
        <v>1425</v>
      </c>
      <c r="B865" s="32"/>
      <c r="C865" s="50" t="str">
        <f>IF(B865="","",VLOOKUP(B865,'Product Master'!$B:$G,2,FALSE))</f>
        <v/>
      </c>
      <c r="D865" s="50" t="str">
        <f>IF(B865="","",VLOOKUP(B865,'Product Master'!$B:$G,3,FALSE))</f>
        <v/>
      </c>
      <c r="E865" s="50"/>
      <c r="F865" s="50">
        <f>SUMIF('Stock Purchase'!$D:$D,B865,'Stock Purchase'!$F:$F)</f>
        <v>0</v>
      </c>
      <c r="G865" s="50">
        <f>SUMIFS('Stock Adjustment'!$E:$E,'Stock Adjustment'!$B:$B,$A865,'Stock Adjustment'!$D:$D,"Customer Returned")</f>
        <v>0</v>
      </c>
      <c r="H865" s="50">
        <f>SUMIF('Daily Sales Entry'!$D:$D,B865,'Daily Sales Entry'!$G:$G)</f>
        <v>0</v>
      </c>
      <c r="I865" s="50">
        <f>SUMIFS('Stock Adjustment'!$E:$E,'Stock Adjustment'!$B:$B,$A865,'Stock Adjustment'!$D:$D,"Staff Consumption")</f>
        <v>0</v>
      </c>
      <c r="J865" s="50">
        <f>SUMIFS('Stock Adjustment'!$E:$E,'Stock Adjustment'!$B:$B,$A865,'Stock Adjustment'!$D:$D,"Damaged")</f>
        <v>0</v>
      </c>
      <c r="K865" s="50">
        <f>SUMIFS('Stock Adjustment'!$E:$E,'Stock Adjustment'!$B:$B,$A865,'Stock Adjustment'!$D:$D,"Expired")</f>
        <v>0</v>
      </c>
      <c r="L865" s="50">
        <f>SUMIFS('Stock Adjustment'!$E:$E,'Stock Adjustment'!$B:$B,$A865,'Stock Adjustment'!$D:$D,"Supplier Returned")</f>
        <v>0</v>
      </c>
      <c r="M8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5" s="53" t="str">
        <f>IF(B865="","",VLOOKUP(B865,'Product Master'!$B:$G,4,FALSE))</f>
        <v/>
      </c>
      <c r="O865" s="53" t="str">
        <f>IF(B865="","",VLOOKUP(B865,'Product Master'!$B:$G,5,FALSE))</f>
        <v/>
      </c>
      <c r="P865" s="50" t="str">
        <f>IF(B865="","",VLOOKUP(B865,'Product Master'!$B:$I,7,FALSE))</f>
        <v/>
      </c>
      <c r="Q865" s="158"/>
      <c r="R865" s="58" t="str">
        <f t="shared" si="13"/>
        <v/>
      </c>
      <c r="S865" s="25"/>
      <c r="T865" s="25"/>
      <c r="U865" s="25"/>
      <c r="V865" s="25"/>
      <c r="W865" s="25"/>
      <c r="X865" s="25"/>
    </row>
    <row r="866" spans="1:24" x14ac:dyDescent="0.25">
      <c r="A866" s="31" t="s">
        <v>1426</v>
      </c>
      <c r="B866" s="32"/>
      <c r="C866" s="50" t="str">
        <f>IF(B866="","",VLOOKUP(B866,'Product Master'!$B:$G,2,FALSE))</f>
        <v/>
      </c>
      <c r="D866" s="50" t="str">
        <f>IF(B866="","",VLOOKUP(B866,'Product Master'!$B:$G,3,FALSE))</f>
        <v/>
      </c>
      <c r="E866" s="50"/>
      <c r="F866" s="50">
        <f>SUMIF('Stock Purchase'!$D:$D,B866,'Stock Purchase'!$F:$F)</f>
        <v>0</v>
      </c>
      <c r="G866" s="50">
        <f>SUMIFS('Stock Adjustment'!$E:$E,'Stock Adjustment'!$B:$B,$A866,'Stock Adjustment'!$D:$D,"Customer Returned")</f>
        <v>0</v>
      </c>
      <c r="H866" s="50">
        <f>SUMIF('Daily Sales Entry'!$D:$D,B866,'Daily Sales Entry'!$G:$G)</f>
        <v>0</v>
      </c>
      <c r="I866" s="50">
        <f>SUMIFS('Stock Adjustment'!$E:$E,'Stock Adjustment'!$B:$B,$A866,'Stock Adjustment'!$D:$D,"Staff Consumption")</f>
        <v>0</v>
      </c>
      <c r="J866" s="50">
        <f>SUMIFS('Stock Adjustment'!$E:$E,'Stock Adjustment'!$B:$B,$A866,'Stock Adjustment'!$D:$D,"Damaged")</f>
        <v>0</v>
      </c>
      <c r="K866" s="50">
        <f>SUMIFS('Stock Adjustment'!$E:$E,'Stock Adjustment'!$B:$B,$A866,'Stock Adjustment'!$D:$D,"Expired")</f>
        <v>0</v>
      </c>
      <c r="L866" s="50">
        <f>SUMIFS('Stock Adjustment'!$E:$E,'Stock Adjustment'!$B:$B,$A866,'Stock Adjustment'!$D:$D,"Supplier Returned")</f>
        <v>0</v>
      </c>
      <c r="M8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6" s="53" t="str">
        <f>IF(B866="","",VLOOKUP(B866,'Product Master'!$B:$G,4,FALSE))</f>
        <v/>
      </c>
      <c r="O866" s="53" t="str">
        <f>IF(B866="","",VLOOKUP(B866,'Product Master'!$B:$G,5,FALSE))</f>
        <v/>
      </c>
      <c r="P866" s="50" t="str">
        <f>IF(B866="","",VLOOKUP(B866,'Product Master'!$B:$I,7,FALSE))</f>
        <v/>
      </c>
      <c r="Q866" s="158"/>
      <c r="R866" s="58" t="str">
        <f t="shared" si="13"/>
        <v/>
      </c>
      <c r="S866" s="25"/>
      <c r="T866" s="25"/>
      <c r="U866" s="25"/>
      <c r="V866" s="25"/>
      <c r="W866" s="25"/>
      <c r="X866" s="25"/>
    </row>
    <row r="867" spans="1:24" x14ac:dyDescent="0.25">
      <c r="A867" s="31" t="s">
        <v>1427</v>
      </c>
      <c r="B867" s="32"/>
      <c r="C867" s="50" t="str">
        <f>IF(B867="","",VLOOKUP(B867,'Product Master'!$B:$G,2,FALSE))</f>
        <v/>
      </c>
      <c r="D867" s="50" t="str">
        <f>IF(B867="","",VLOOKUP(B867,'Product Master'!$B:$G,3,FALSE))</f>
        <v/>
      </c>
      <c r="E867" s="50"/>
      <c r="F867" s="50">
        <f>SUMIF('Stock Purchase'!$D:$D,B867,'Stock Purchase'!$F:$F)</f>
        <v>0</v>
      </c>
      <c r="G867" s="50">
        <f>SUMIFS('Stock Adjustment'!$E:$E,'Stock Adjustment'!$B:$B,$A867,'Stock Adjustment'!$D:$D,"Customer Returned")</f>
        <v>0</v>
      </c>
      <c r="H867" s="50">
        <f>SUMIF('Daily Sales Entry'!$D:$D,B867,'Daily Sales Entry'!$G:$G)</f>
        <v>0</v>
      </c>
      <c r="I867" s="50">
        <f>SUMIFS('Stock Adjustment'!$E:$E,'Stock Adjustment'!$B:$B,$A867,'Stock Adjustment'!$D:$D,"Staff Consumption")</f>
        <v>0</v>
      </c>
      <c r="J867" s="50">
        <f>SUMIFS('Stock Adjustment'!$E:$E,'Stock Adjustment'!$B:$B,$A867,'Stock Adjustment'!$D:$D,"Damaged")</f>
        <v>0</v>
      </c>
      <c r="K867" s="50">
        <f>SUMIFS('Stock Adjustment'!$E:$E,'Stock Adjustment'!$B:$B,$A867,'Stock Adjustment'!$D:$D,"Expired")</f>
        <v>0</v>
      </c>
      <c r="L867" s="50">
        <f>SUMIFS('Stock Adjustment'!$E:$E,'Stock Adjustment'!$B:$B,$A867,'Stock Adjustment'!$D:$D,"Supplier Returned")</f>
        <v>0</v>
      </c>
      <c r="M8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7" s="53" t="str">
        <f>IF(B867="","",VLOOKUP(B867,'Product Master'!$B:$G,4,FALSE))</f>
        <v/>
      </c>
      <c r="O867" s="53" t="str">
        <f>IF(B867="","",VLOOKUP(B867,'Product Master'!$B:$G,5,FALSE))</f>
        <v/>
      </c>
      <c r="P867" s="50" t="str">
        <f>IF(B867="","",VLOOKUP(B867,'Product Master'!$B:$I,7,FALSE))</f>
        <v/>
      </c>
      <c r="Q867" s="158"/>
      <c r="R867" s="58" t="str">
        <f t="shared" si="13"/>
        <v/>
      </c>
      <c r="S867" s="25"/>
      <c r="T867" s="25"/>
      <c r="U867" s="25"/>
      <c r="V867" s="25"/>
      <c r="W867" s="25"/>
      <c r="X867" s="25"/>
    </row>
    <row r="868" spans="1:24" x14ac:dyDescent="0.25">
      <c r="A868" s="31" t="s">
        <v>1428</v>
      </c>
      <c r="B868" s="32"/>
      <c r="C868" s="50" t="str">
        <f>IF(B868="","",VLOOKUP(B868,'Product Master'!$B:$G,2,FALSE))</f>
        <v/>
      </c>
      <c r="D868" s="50" t="str">
        <f>IF(B868="","",VLOOKUP(B868,'Product Master'!$B:$G,3,FALSE))</f>
        <v/>
      </c>
      <c r="E868" s="50"/>
      <c r="F868" s="50">
        <f>SUMIF('Stock Purchase'!$D:$D,B868,'Stock Purchase'!$F:$F)</f>
        <v>0</v>
      </c>
      <c r="G868" s="50">
        <f>SUMIFS('Stock Adjustment'!$E:$E,'Stock Adjustment'!$B:$B,$A868,'Stock Adjustment'!$D:$D,"Customer Returned")</f>
        <v>0</v>
      </c>
      <c r="H868" s="50">
        <f>SUMIF('Daily Sales Entry'!$D:$D,B868,'Daily Sales Entry'!$G:$G)</f>
        <v>0</v>
      </c>
      <c r="I868" s="50">
        <f>SUMIFS('Stock Adjustment'!$E:$E,'Stock Adjustment'!$B:$B,$A868,'Stock Adjustment'!$D:$D,"Staff Consumption")</f>
        <v>0</v>
      </c>
      <c r="J868" s="50">
        <f>SUMIFS('Stock Adjustment'!$E:$E,'Stock Adjustment'!$B:$B,$A868,'Stock Adjustment'!$D:$D,"Damaged")</f>
        <v>0</v>
      </c>
      <c r="K868" s="50">
        <f>SUMIFS('Stock Adjustment'!$E:$E,'Stock Adjustment'!$B:$B,$A868,'Stock Adjustment'!$D:$D,"Expired")</f>
        <v>0</v>
      </c>
      <c r="L868" s="50">
        <f>SUMIFS('Stock Adjustment'!$E:$E,'Stock Adjustment'!$B:$B,$A868,'Stock Adjustment'!$D:$D,"Supplier Returned")</f>
        <v>0</v>
      </c>
      <c r="M8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8" s="53" t="str">
        <f>IF(B868="","",VLOOKUP(B868,'Product Master'!$B:$G,4,FALSE))</f>
        <v/>
      </c>
      <c r="O868" s="53" t="str">
        <f>IF(B868="","",VLOOKUP(B868,'Product Master'!$B:$G,5,FALSE))</f>
        <v/>
      </c>
      <c r="P868" s="50" t="str">
        <f>IF(B868="","",VLOOKUP(B868,'Product Master'!$B:$I,7,FALSE))</f>
        <v/>
      </c>
      <c r="Q868" s="158"/>
      <c r="R868" s="58" t="str">
        <f t="shared" si="13"/>
        <v/>
      </c>
      <c r="S868" s="25"/>
      <c r="T868" s="25"/>
      <c r="U868" s="25"/>
      <c r="V868" s="25"/>
      <c r="W868" s="25"/>
      <c r="X868" s="25"/>
    </row>
    <row r="869" spans="1:24" x14ac:dyDescent="0.25">
      <c r="A869" s="31" t="s">
        <v>1429</v>
      </c>
      <c r="B869" s="32"/>
      <c r="C869" s="50" t="str">
        <f>IF(B869="","",VLOOKUP(B869,'Product Master'!$B:$G,2,FALSE))</f>
        <v/>
      </c>
      <c r="D869" s="50" t="str">
        <f>IF(B869="","",VLOOKUP(B869,'Product Master'!$B:$G,3,FALSE))</f>
        <v/>
      </c>
      <c r="E869" s="50"/>
      <c r="F869" s="50">
        <f>SUMIF('Stock Purchase'!$D:$D,B869,'Stock Purchase'!$F:$F)</f>
        <v>0</v>
      </c>
      <c r="G869" s="50">
        <f>SUMIFS('Stock Adjustment'!$E:$E,'Stock Adjustment'!$B:$B,$A869,'Stock Adjustment'!$D:$D,"Customer Returned")</f>
        <v>0</v>
      </c>
      <c r="H869" s="50">
        <f>SUMIF('Daily Sales Entry'!$D:$D,B869,'Daily Sales Entry'!$G:$G)</f>
        <v>0</v>
      </c>
      <c r="I869" s="50">
        <f>SUMIFS('Stock Adjustment'!$E:$E,'Stock Adjustment'!$B:$B,$A869,'Stock Adjustment'!$D:$D,"Staff Consumption")</f>
        <v>0</v>
      </c>
      <c r="J869" s="50">
        <f>SUMIFS('Stock Adjustment'!$E:$E,'Stock Adjustment'!$B:$B,$A869,'Stock Adjustment'!$D:$D,"Damaged")</f>
        <v>0</v>
      </c>
      <c r="K869" s="50">
        <f>SUMIFS('Stock Adjustment'!$E:$E,'Stock Adjustment'!$B:$B,$A869,'Stock Adjustment'!$D:$D,"Expired")</f>
        <v>0</v>
      </c>
      <c r="L869" s="50">
        <f>SUMIFS('Stock Adjustment'!$E:$E,'Stock Adjustment'!$B:$B,$A869,'Stock Adjustment'!$D:$D,"Supplier Returned")</f>
        <v>0</v>
      </c>
      <c r="M8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69" s="53" t="str">
        <f>IF(B869="","",VLOOKUP(B869,'Product Master'!$B:$G,4,FALSE))</f>
        <v/>
      </c>
      <c r="O869" s="53" t="str">
        <f>IF(B869="","",VLOOKUP(B869,'Product Master'!$B:$G,5,FALSE))</f>
        <v/>
      </c>
      <c r="P869" s="50" t="str">
        <f>IF(B869="","",VLOOKUP(B869,'Product Master'!$B:$I,7,FALSE))</f>
        <v/>
      </c>
      <c r="Q869" s="158"/>
      <c r="R869" s="58" t="str">
        <f t="shared" si="13"/>
        <v/>
      </c>
      <c r="S869" s="25"/>
      <c r="T869" s="25"/>
      <c r="U869" s="25"/>
      <c r="V869" s="25"/>
      <c r="W869" s="25"/>
      <c r="X869" s="25"/>
    </row>
    <row r="870" spans="1:24" x14ac:dyDescent="0.25">
      <c r="A870" s="31" t="s">
        <v>1430</v>
      </c>
      <c r="B870" s="32"/>
      <c r="C870" s="50" t="str">
        <f>IF(B870="","",VLOOKUP(B870,'Product Master'!$B:$G,2,FALSE))</f>
        <v/>
      </c>
      <c r="D870" s="50" t="str">
        <f>IF(B870="","",VLOOKUP(B870,'Product Master'!$B:$G,3,FALSE))</f>
        <v/>
      </c>
      <c r="E870" s="50"/>
      <c r="F870" s="50">
        <f>SUMIF('Stock Purchase'!$D:$D,B870,'Stock Purchase'!$F:$F)</f>
        <v>0</v>
      </c>
      <c r="G870" s="50">
        <f>SUMIFS('Stock Adjustment'!$E:$E,'Stock Adjustment'!$B:$B,$A870,'Stock Adjustment'!$D:$D,"Customer Returned")</f>
        <v>0</v>
      </c>
      <c r="H870" s="50">
        <f>SUMIF('Daily Sales Entry'!$D:$D,B870,'Daily Sales Entry'!$G:$G)</f>
        <v>0</v>
      </c>
      <c r="I870" s="50">
        <f>SUMIFS('Stock Adjustment'!$E:$E,'Stock Adjustment'!$B:$B,$A870,'Stock Adjustment'!$D:$D,"Staff Consumption")</f>
        <v>0</v>
      </c>
      <c r="J870" s="50">
        <f>SUMIFS('Stock Adjustment'!$E:$E,'Stock Adjustment'!$B:$B,$A870,'Stock Adjustment'!$D:$D,"Damaged")</f>
        <v>0</v>
      </c>
      <c r="K870" s="50">
        <f>SUMIFS('Stock Adjustment'!$E:$E,'Stock Adjustment'!$B:$B,$A870,'Stock Adjustment'!$D:$D,"Expired")</f>
        <v>0</v>
      </c>
      <c r="L870" s="50">
        <f>SUMIFS('Stock Adjustment'!$E:$E,'Stock Adjustment'!$B:$B,$A870,'Stock Adjustment'!$D:$D,"Supplier Returned")</f>
        <v>0</v>
      </c>
      <c r="M8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0" s="53" t="str">
        <f>IF(B870="","",VLOOKUP(B870,'Product Master'!$B:$G,4,FALSE))</f>
        <v/>
      </c>
      <c r="O870" s="53" t="str">
        <f>IF(B870="","",VLOOKUP(B870,'Product Master'!$B:$G,5,FALSE))</f>
        <v/>
      </c>
      <c r="P870" s="50" t="str">
        <f>IF(B870="","",VLOOKUP(B870,'Product Master'!$B:$I,7,FALSE))</f>
        <v/>
      </c>
      <c r="Q870" s="158"/>
      <c r="R870" s="58" t="str">
        <f t="shared" si="13"/>
        <v/>
      </c>
      <c r="S870" s="25"/>
      <c r="T870" s="25"/>
      <c r="U870" s="25"/>
      <c r="V870" s="25"/>
      <c r="W870" s="25"/>
      <c r="X870" s="25"/>
    </row>
    <row r="871" spans="1:24" x14ac:dyDescent="0.25">
      <c r="A871" s="31" t="s">
        <v>1431</v>
      </c>
      <c r="B871" s="32"/>
      <c r="C871" s="50" t="str">
        <f>IF(B871="","",VLOOKUP(B871,'Product Master'!$B:$G,2,FALSE))</f>
        <v/>
      </c>
      <c r="D871" s="50" t="str">
        <f>IF(B871="","",VLOOKUP(B871,'Product Master'!$B:$G,3,FALSE))</f>
        <v/>
      </c>
      <c r="E871" s="50"/>
      <c r="F871" s="50">
        <f>SUMIF('Stock Purchase'!$D:$D,B871,'Stock Purchase'!$F:$F)</f>
        <v>0</v>
      </c>
      <c r="G871" s="50">
        <f>SUMIFS('Stock Adjustment'!$E:$E,'Stock Adjustment'!$B:$B,$A871,'Stock Adjustment'!$D:$D,"Customer Returned")</f>
        <v>0</v>
      </c>
      <c r="H871" s="50">
        <f>SUMIF('Daily Sales Entry'!$D:$D,B871,'Daily Sales Entry'!$G:$G)</f>
        <v>0</v>
      </c>
      <c r="I871" s="50">
        <f>SUMIFS('Stock Adjustment'!$E:$E,'Stock Adjustment'!$B:$B,$A871,'Stock Adjustment'!$D:$D,"Staff Consumption")</f>
        <v>0</v>
      </c>
      <c r="J871" s="50">
        <f>SUMIFS('Stock Adjustment'!$E:$E,'Stock Adjustment'!$B:$B,$A871,'Stock Adjustment'!$D:$D,"Damaged")</f>
        <v>0</v>
      </c>
      <c r="K871" s="50">
        <f>SUMIFS('Stock Adjustment'!$E:$E,'Stock Adjustment'!$B:$B,$A871,'Stock Adjustment'!$D:$D,"Expired")</f>
        <v>0</v>
      </c>
      <c r="L871" s="50">
        <f>SUMIFS('Stock Adjustment'!$E:$E,'Stock Adjustment'!$B:$B,$A871,'Stock Adjustment'!$D:$D,"Supplier Returned")</f>
        <v>0</v>
      </c>
      <c r="M8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1" s="53" t="str">
        <f>IF(B871="","",VLOOKUP(B871,'Product Master'!$B:$G,4,FALSE))</f>
        <v/>
      </c>
      <c r="O871" s="53" t="str">
        <f>IF(B871="","",VLOOKUP(B871,'Product Master'!$B:$G,5,FALSE))</f>
        <v/>
      </c>
      <c r="P871" s="50" t="str">
        <f>IF(B871="","",VLOOKUP(B871,'Product Master'!$B:$I,7,FALSE))</f>
        <v/>
      </c>
      <c r="Q871" s="158"/>
      <c r="R871" s="58" t="str">
        <f t="shared" si="13"/>
        <v/>
      </c>
      <c r="S871" s="25"/>
      <c r="T871" s="25"/>
      <c r="U871" s="25"/>
      <c r="V871" s="25"/>
      <c r="W871" s="25"/>
      <c r="X871" s="25"/>
    </row>
    <row r="872" spans="1:24" x14ac:dyDescent="0.25">
      <c r="A872" s="31" t="s">
        <v>1432</v>
      </c>
      <c r="B872" s="32"/>
      <c r="C872" s="50" t="str">
        <f>IF(B872="","",VLOOKUP(B872,'Product Master'!$B:$G,2,FALSE))</f>
        <v/>
      </c>
      <c r="D872" s="50" t="str">
        <f>IF(B872="","",VLOOKUP(B872,'Product Master'!$B:$G,3,FALSE))</f>
        <v/>
      </c>
      <c r="E872" s="50"/>
      <c r="F872" s="50">
        <f>SUMIF('Stock Purchase'!$D:$D,B872,'Stock Purchase'!$F:$F)</f>
        <v>0</v>
      </c>
      <c r="G872" s="50">
        <f>SUMIFS('Stock Adjustment'!$E:$E,'Stock Adjustment'!$B:$B,$A872,'Stock Adjustment'!$D:$D,"Customer Returned")</f>
        <v>0</v>
      </c>
      <c r="H872" s="50">
        <f>SUMIF('Daily Sales Entry'!$D:$D,B872,'Daily Sales Entry'!$G:$G)</f>
        <v>0</v>
      </c>
      <c r="I872" s="50">
        <f>SUMIFS('Stock Adjustment'!$E:$E,'Stock Adjustment'!$B:$B,$A872,'Stock Adjustment'!$D:$D,"Staff Consumption")</f>
        <v>0</v>
      </c>
      <c r="J872" s="50">
        <f>SUMIFS('Stock Adjustment'!$E:$E,'Stock Adjustment'!$B:$B,$A872,'Stock Adjustment'!$D:$D,"Damaged")</f>
        <v>0</v>
      </c>
      <c r="K872" s="50">
        <f>SUMIFS('Stock Adjustment'!$E:$E,'Stock Adjustment'!$B:$B,$A872,'Stock Adjustment'!$D:$D,"Expired")</f>
        <v>0</v>
      </c>
      <c r="L872" s="50">
        <f>SUMIFS('Stock Adjustment'!$E:$E,'Stock Adjustment'!$B:$B,$A872,'Stock Adjustment'!$D:$D,"Supplier Returned")</f>
        <v>0</v>
      </c>
      <c r="M8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2" s="53" t="str">
        <f>IF(B872="","",VLOOKUP(B872,'Product Master'!$B:$G,4,FALSE))</f>
        <v/>
      </c>
      <c r="O872" s="53" t="str">
        <f>IF(B872="","",VLOOKUP(B872,'Product Master'!$B:$G,5,FALSE))</f>
        <v/>
      </c>
      <c r="P872" s="50" t="str">
        <f>IF(B872="","",VLOOKUP(B872,'Product Master'!$B:$I,7,FALSE))</f>
        <v/>
      </c>
      <c r="Q872" s="158"/>
      <c r="R872" s="58" t="str">
        <f t="shared" si="13"/>
        <v/>
      </c>
      <c r="S872" s="25"/>
      <c r="T872" s="25"/>
      <c r="U872" s="25"/>
      <c r="V872" s="25"/>
      <c r="W872" s="25"/>
      <c r="X872" s="25"/>
    </row>
    <row r="873" spans="1:24" x14ac:dyDescent="0.25">
      <c r="A873" s="31" t="s">
        <v>1433</v>
      </c>
      <c r="B873" s="32"/>
      <c r="C873" s="50" t="str">
        <f>IF(B873="","",VLOOKUP(B873,'Product Master'!$B:$G,2,FALSE))</f>
        <v/>
      </c>
      <c r="D873" s="50" t="str">
        <f>IF(B873="","",VLOOKUP(B873,'Product Master'!$B:$G,3,FALSE))</f>
        <v/>
      </c>
      <c r="E873" s="50"/>
      <c r="F873" s="50">
        <f>SUMIF('Stock Purchase'!$D:$D,B873,'Stock Purchase'!$F:$F)</f>
        <v>0</v>
      </c>
      <c r="G873" s="50">
        <f>SUMIFS('Stock Adjustment'!$E:$E,'Stock Adjustment'!$B:$B,$A873,'Stock Adjustment'!$D:$D,"Customer Returned")</f>
        <v>0</v>
      </c>
      <c r="H873" s="50">
        <f>SUMIF('Daily Sales Entry'!$D:$D,B873,'Daily Sales Entry'!$G:$G)</f>
        <v>0</v>
      </c>
      <c r="I873" s="50">
        <f>SUMIFS('Stock Adjustment'!$E:$E,'Stock Adjustment'!$B:$B,$A873,'Stock Adjustment'!$D:$D,"Staff Consumption")</f>
        <v>0</v>
      </c>
      <c r="J873" s="50">
        <f>SUMIFS('Stock Adjustment'!$E:$E,'Stock Adjustment'!$B:$B,$A873,'Stock Adjustment'!$D:$D,"Damaged")</f>
        <v>0</v>
      </c>
      <c r="K873" s="50">
        <f>SUMIFS('Stock Adjustment'!$E:$E,'Stock Adjustment'!$B:$B,$A873,'Stock Adjustment'!$D:$D,"Expired")</f>
        <v>0</v>
      </c>
      <c r="L873" s="50">
        <f>SUMIFS('Stock Adjustment'!$E:$E,'Stock Adjustment'!$B:$B,$A873,'Stock Adjustment'!$D:$D,"Supplier Returned")</f>
        <v>0</v>
      </c>
      <c r="M8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3" s="53" t="str">
        <f>IF(B873="","",VLOOKUP(B873,'Product Master'!$B:$G,4,FALSE))</f>
        <v/>
      </c>
      <c r="O873" s="53" t="str">
        <f>IF(B873="","",VLOOKUP(B873,'Product Master'!$B:$G,5,FALSE))</f>
        <v/>
      </c>
      <c r="P873" s="50" t="str">
        <f>IF(B873="","",VLOOKUP(B873,'Product Master'!$B:$I,7,FALSE))</f>
        <v/>
      </c>
      <c r="Q873" s="158"/>
      <c r="R873" s="58" t="str">
        <f t="shared" si="13"/>
        <v/>
      </c>
      <c r="S873" s="25"/>
      <c r="T873" s="25"/>
      <c r="U873" s="25"/>
      <c r="V873" s="25"/>
      <c r="W873" s="25"/>
      <c r="X873" s="25"/>
    </row>
    <row r="874" spans="1:24" x14ac:dyDescent="0.25">
      <c r="A874" s="31" t="s">
        <v>1434</v>
      </c>
      <c r="B874" s="32"/>
      <c r="C874" s="50" t="str">
        <f>IF(B874="","",VLOOKUP(B874,'Product Master'!$B:$G,2,FALSE))</f>
        <v/>
      </c>
      <c r="D874" s="50" t="str">
        <f>IF(B874="","",VLOOKUP(B874,'Product Master'!$B:$G,3,FALSE))</f>
        <v/>
      </c>
      <c r="E874" s="50"/>
      <c r="F874" s="50">
        <f>SUMIF('Stock Purchase'!$D:$D,B874,'Stock Purchase'!$F:$F)</f>
        <v>0</v>
      </c>
      <c r="G874" s="50">
        <f>SUMIFS('Stock Adjustment'!$E:$E,'Stock Adjustment'!$B:$B,$A874,'Stock Adjustment'!$D:$D,"Customer Returned")</f>
        <v>0</v>
      </c>
      <c r="H874" s="50">
        <f>SUMIF('Daily Sales Entry'!$D:$D,B874,'Daily Sales Entry'!$G:$G)</f>
        <v>0</v>
      </c>
      <c r="I874" s="50">
        <f>SUMIFS('Stock Adjustment'!$E:$E,'Stock Adjustment'!$B:$B,$A874,'Stock Adjustment'!$D:$D,"Staff Consumption")</f>
        <v>0</v>
      </c>
      <c r="J874" s="50">
        <f>SUMIFS('Stock Adjustment'!$E:$E,'Stock Adjustment'!$B:$B,$A874,'Stock Adjustment'!$D:$D,"Damaged")</f>
        <v>0</v>
      </c>
      <c r="K874" s="50">
        <f>SUMIFS('Stock Adjustment'!$E:$E,'Stock Adjustment'!$B:$B,$A874,'Stock Adjustment'!$D:$D,"Expired")</f>
        <v>0</v>
      </c>
      <c r="L874" s="50">
        <f>SUMIFS('Stock Adjustment'!$E:$E,'Stock Adjustment'!$B:$B,$A874,'Stock Adjustment'!$D:$D,"Supplier Returned")</f>
        <v>0</v>
      </c>
      <c r="M8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4" s="53" t="str">
        <f>IF(B874="","",VLOOKUP(B874,'Product Master'!$B:$G,4,FALSE))</f>
        <v/>
      </c>
      <c r="O874" s="53" t="str">
        <f>IF(B874="","",VLOOKUP(B874,'Product Master'!$B:$G,5,FALSE))</f>
        <v/>
      </c>
      <c r="P874" s="50" t="str">
        <f>IF(B874="","",VLOOKUP(B874,'Product Master'!$B:$I,7,FALSE))</f>
        <v/>
      </c>
      <c r="Q874" s="158"/>
      <c r="R874" s="58" t="str">
        <f t="shared" si="13"/>
        <v/>
      </c>
      <c r="S874" s="25"/>
      <c r="T874" s="25"/>
      <c r="U874" s="25"/>
      <c r="V874" s="25"/>
      <c r="W874" s="25"/>
      <c r="X874" s="25"/>
    </row>
    <row r="875" spans="1:24" x14ac:dyDescent="0.25">
      <c r="A875" s="31" t="s">
        <v>1435</v>
      </c>
      <c r="B875" s="32"/>
      <c r="C875" s="50" t="str">
        <f>IF(B875="","",VLOOKUP(B875,'Product Master'!$B:$G,2,FALSE))</f>
        <v/>
      </c>
      <c r="D875" s="50" t="str">
        <f>IF(B875="","",VLOOKUP(B875,'Product Master'!$B:$G,3,FALSE))</f>
        <v/>
      </c>
      <c r="E875" s="50"/>
      <c r="F875" s="50">
        <f>SUMIF('Stock Purchase'!$D:$D,B875,'Stock Purchase'!$F:$F)</f>
        <v>0</v>
      </c>
      <c r="G875" s="50">
        <f>SUMIFS('Stock Adjustment'!$E:$E,'Stock Adjustment'!$B:$B,$A875,'Stock Adjustment'!$D:$D,"Customer Returned")</f>
        <v>0</v>
      </c>
      <c r="H875" s="50">
        <f>SUMIF('Daily Sales Entry'!$D:$D,B875,'Daily Sales Entry'!$G:$G)</f>
        <v>0</v>
      </c>
      <c r="I875" s="50">
        <f>SUMIFS('Stock Adjustment'!$E:$E,'Stock Adjustment'!$B:$B,$A875,'Stock Adjustment'!$D:$D,"Staff Consumption")</f>
        <v>0</v>
      </c>
      <c r="J875" s="50">
        <f>SUMIFS('Stock Adjustment'!$E:$E,'Stock Adjustment'!$B:$B,$A875,'Stock Adjustment'!$D:$D,"Damaged")</f>
        <v>0</v>
      </c>
      <c r="K875" s="50">
        <f>SUMIFS('Stock Adjustment'!$E:$E,'Stock Adjustment'!$B:$B,$A875,'Stock Adjustment'!$D:$D,"Expired")</f>
        <v>0</v>
      </c>
      <c r="L875" s="50">
        <f>SUMIFS('Stock Adjustment'!$E:$E,'Stock Adjustment'!$B:$B,$A875,'Stock Adjustment'!$D:$D,"Supplier Returned")</f>
        <v>0</v>
      </c>
      <c r="M8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5" s="53" t="str">
        <f>IF(B875="","",VLOOKUP(B875,'Product Master'!$B:$G,4,FALSE))</f>
        <v/>
      </c>
      <c r="O875" s="53" t="str">
        <f>IF(B875="","",VLOOKUP(B875,'Product Master'!$B:$G,5,FALSE))</f>
        <v/>
      </c>
      <c r="P875" s="50" t="str">
        <f>IF(B875="","",VLOOKUP(B875,'Product Master'!$B:$I,7,FALSE))</f>
        <v/>
      </c>
      <c r="Q875" s="158"/>
      <c r="R875" s="58" t="str">
        <f t="shared" si="13"/>
        <v/>
      </c>
      <c r="S875" s="25"/>
      <c r="T875" s="25"/>
      <c r="U875" s="25"/>
      <c r="V875" s="25"/>
      <c r="W875" s="25"/>
      <c r="X875" s="25"/>
    </row>
    <row r="876" spans="1:24" x14ac:dyDescent="0.25">
      <c r="A876" s="31" t="s">
        <v>1436</v>
      </c>
      <c r="B876" s="32"/>
      <c r="C876" s="50" t="str">
        <f>IF(B876="","",VLOOKUP(B876,'Product Master'!$B:$G,2,FALSE))</f>
        <v/>
      </c>
      <c r="D876" s="50" t="str">
        <f>IF(B876="","",VLOOKUP(B876,'Product Master'!$B:$G,3,FALSE))</f>
        <v/>
      </c>
      <c r="E876" s="50"/>
      <c r="F876" s="50">
        <f>SUMIF('Stock Purchase'!$D:$D,B876,'Stock Purchase'!$F:$F)</f>
        <v>0</v>
      </c>
      <c r="G876" s="50">
        <f>SUMIFS('Stock Adjustment'!$E:$E,'Stock Adjustment'!$B:$B,$A876,'Stock Adjustment'!$D:$D,"Customer Returned")</f>
        <v>0</v>
      </c>
      <c r="H876" s="50">
        <f>SUMIF('Daily Sales Entry'!$D:$D,B876,'Daily Sales Entry'!$G:$G)</f>
        <v>0</v>
      </c>
      <c r="I876" s="50">
        <f>SUMIFS('Stock Adjustment'!$E:$E,'Stock Adjustment'!$B:$B,$A876,'Stock Adjustment'!$D:$D,"Staff Consumption")</f>
        <v>0</v>
      </c>
      <c r="J876" s="50">
        <f>SUMIFS('Stock Adjustment'!$E:$E,'Stock Adjustment'!$B:$B,$A876,'Stock Adjustment'!$D:$D,"Damaged")</f>
        <v>0</v>
      </c>
      <c r="K876" s="50">
        <f>SUMIFS('Stock Adjustment'!$E:$E,'Stock Adjustment'!$B:$B,$A876,'Stock Adjustment'!$D:$D,"Expired")</f>
        <v>0</v>
      </c>
      <c r="L876" s="50">
        <f>SUMIFS('Stock Adjustment'!$E:$E,'Stock Adjustment'!$B:$B,$A876,'Stock Adjustment'!$D:$D,"Supplier Returned")</f>
        <v>0</v>
      </c>
      <c r="M8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6" s="53" t="str">
        <f>IF(B876="","",VLOOKUP(B876,'Product Master'!$B:$G,4,FALSE))</f>
        <v/>
      </c>
      <c r="O876" s="53" t="str">
        <f>IF(B876="","",VLOOKUP(B876,'Product Master'!$B:$G,5,FALSE))</f>
        <v/>
      </c>
      <c r="P876" s="50" t="str">
        <f>IF(B876="","",VLOOKUP(B876,'Product Master'!$B:$I,7,FALSE))</f>
        <v/>
      </c>
      <c r="Q876" s="158"/>
      <c r="R876" s="58" t="str">
        <f t="shared" si="13"/>
        <v/>
      </c>
      <c r="S876" s="25"/>
      <c r="T876" s="25"/>
      <c r="U876" s="25"/>
      <c r="V876" s="25"/>
      <c r="W876" s="25"/>
      <c r="X876" s="25"/>
    </row>
    <row r="877" spans="1:24" x14ac:dyDescent="0.25">
      <c r="A877" s="31" t="s">
        <v>1437</v>
      </c>
      <c r="B877" s="32"/>
      <c r="C877" s="50" t="str">
        <f>IF(B877="","",VLOOKUP(B877,'Product Master'!$B:$G,2,FALSE))</f>
        <v/>
      </c>
      <c r="D877" s="50" t="str">
        <f>IF(B877="","",VLOOKUP(B877,'Product Master'!$B:$G,3,FALSE))</f>
        <v/>
      </c>
      <c r="E877" s="50"/>
      <c r="F877" s="50">
        <f>SUMIF('Stock Purchase'!$D:$D,B877,'Stock Purchase'!$F:$F)</f>
        <v>0</v>
      </c>
      <c r="G877" s="50">
        <f>SUMIFS('Stock Adjustment'!$E:$E,'Stock Adjustment'!$B:$B,$A877,'Stock Adjustment'!$D:$D,"Customer Returned")</f>
        <v>0</v>
      </c>
      <c r="H877" s="50">
        <f>SUMIF('Daily Sales Entry'!$D:$D,B877,'Daily Sales Entry'!$G:$G)</f>
        <v>0</v>
      </c>
      <c r="I877" s="50">
        <f>SUMIFS('Stock Adjustment'!$E:$E,'Stock Adjustment'!$B:$B,$A877,'Stock Adjustment'!$D:$D,"Staff Consumption")</f>
        <v>0</v>
      </c>
      <c r="J877" s="50">
        <f>SUMIFS('Stock Adjustment'!$E:$E,'Stock Adjustment'!$B:$B,$A877,'Stock Adjustment'!$D:$D,"Damaged")</f>
        <v>0</v>
      </c>
      <c r="K877" s="50">
        <f>SUMIFS('Stock Adjustment'!$E:$E,'Stock Adjustment'!$B:$B,$A877,'Stock Adjustment'!$D:$D,"Expired")</f>
        <v>0</v>
      </c>
      <c r="L877" s="50">
        <f>SUMIFS('Stock Adjustment'!$E:$E,'Stock Adjustment'!$B:$B,$A877,'Stock Adjustment'!$D:$D,"Supplier Returned")</f>
        <v>0</v>
      </c>
      <c r="M8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7" s="53" t="str">
        <f>IF(B877="","",VLOOKUP(B877,'Product Master'!$B:$G,4,FALSE))</f>
        <v/>
      </c>
      <c r="O877" s="53" t="str">
        <f>IF(B877="","",VLOOKUP(B877,'Product Master'!$B:$G,5,FALSE))</f>
        <v/>
      </c>
      <c r="P877" s="50" t="str">
        <f>IF(B877="","",VLOOKUP(B877,'Product Master'!$B:$I,7,FALSE))</f>
        <v/>
      </c>
      <c r="Q877" s="158"/>
      <c r="R877" s="58" t="str">
        <f t="shared" si="13"/>
        <v/>
      </c>
      <c r="S877" s="25"/>
      <c r="T877" s="25"/>
      <c r="U877" s="25"/>
      <c r="V877" s="25"/>
      <c r="W877" s="25"/>
      <c r="X877" s="25"/>
    </row>
    <row r="878" spans="1:24" x14ac:dyDescent="0.25">
      <c r="A878" s="31" t="s">
        <v>1438</v>
      </c>
      <c r="B878" s="32"/>
      <c r="C878" s="50" t="str">
        <f>IF(B878="","",VLOOKUP(B878,'Product Master'!$B:$G,2,FALSE))</f>
        <v/>
      </c>
      <c r="D878" s="50" t="str">
        <f>IF(B878="","",VLOOKUP(B878,'Product Master'!$B:$G,3,FALSE))</f>
        <v/>
      </c>
      <c r="E878" s="50"/>
      <c r="F878" s="50">
        <f>SUMIF('Stock Purchase'!$D:$D,B878,'Stock Purchase'!$F:$F)</f>
        <v>0</v>
      </c>
      <c r="G878" s="50">
        <f>SUMIFS('Stock Adjustment'!$E:$E,'Stock Adjustment'!$B:$B,$A878,'Stock Adjustment'!$D:$D,"Customer Returned")</f>
        <v>0</v>
      </c>
      <c r="H878" s="50">
        <f>SUMIF('Daily Sales Entry'!$D:$D,B878,'Daily Sales Entry'!$G:$G)</f>
        <v>0</v>
      </c>
      <c r="I878" s="50">
        <f>SUMIFS('Stock Adjustment'!$E:$E,'Stock Adjustment'!$B:$B,$A878,'Stock Adjustment'!$D:$D,"Staff Consumption")</f>
        <v>0</v>
      </c>
      <c r="J878" s="50">
        <f>SUMIFS('Stock Adjustment'!$E:$E,'Stock Adjustment'!$B:$B,$A878,'Stock Adjustment'!$D:$D,"Damaged")</f>
        <v>0</v>
      </c>
      <c r="K878" s="50">
        <f>SUMIFS('Stock Adjustment'!$E:$E,'Stock Adjustment'!$B:$B,$A878,'Stock Adjustment'!$D:$D,"Expired")</f>
        <v>0</v>
      </c>
      <c r="L878" s="50">
        <f>SUMIFS('Stock Adjustment'!$E:$E,'Stock Adjustment'!$B:$B,$A878,'Stock Adjustment'!$D:$D,"Supplier Returned")</f>
        <v>0</v>
      </c>
      <c r="M8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8" s="53" t="str">
        <f>IF(B878="","",VLOOKUP(B878,'Product Master'!$B:$G,4,FALSE))</f>
        <v/>
      </c>
      <c r="O878" s="53" t="str">
        <f>IF(B878="","",VLOOKUP(B878,'Product Master'!$B:$G,5,FALSE))</f>
        <v/>
      </c>
      <c r="P878" s="50" t="str">
        <f>IF(B878="","",VLOOKUP(B878,'Product Master'!$B:$I,7,FALSE))</f>
        <v/>
      </c>
      <c r="Q878" s="158"/>
      <c r="R878" s="58" t="str">
        <f t="shared" si="13"/>
        <v/>
      </c>
      <c r="S878" s="25"/>
      <c r="T878" s="25"/>
      <c r="U878" s="25"/>
      <c r="V878" s="25"/>
      <c r="W878" s="25"/>
      <c r="X878" s="25"/>
    </row>
    <row r="879" spans="1:24" x14ac:dyDescent="0.25">
      <c r="A879" s="31" t="s">
        <v>1439</v>
      </c>
      <c r="B879" s="32"/>
      <c r="C879" s="50" t="str">
        <f>IF(B879="","",VLOOKUP(B879,'Product Master'!$B:$G,2,FALSE))</f>
        <v/>
      </c>
      <c r="D879" s="50" t="str">
        <f>IF(B879="","",VLOOKUP(B879,'Product Master'!$B:$G,3,FALSE))</f>
        <v/>
      </c>
      <c r="E879" s="50"/>
      <c r="F879" s="50">
        <f>SUMIF('Stock Purchase'!$D:$D,B879,'Stock Purchase'!$F:$F)</f>
        <v>0</v>
      </c>
      <c r="G879" s="50">
        <f>SUMIFS('Stock Adjustment'!$E:$E,'Stock Adjustment'!$B:$B,$A879,'Stock Adjustment'!$D:$D,"Customer Returned")</f>
        <v>0</v>
      </c>
      <c r="H879" s="50">
        <f>SUMIF('Daily Sales Entry'!$D:$D,B879,'Daily Sales Entry'!$G:$G)</f>
        <v>0</v>
      </c>
      <c r="I879" s="50">
        <f>SUMIFS('Stock Adjustment'!$E:$E,'Stock Adjustment'!$B:$B,$A879,'Stock Adjustment'!$D:$D,"Staff Consumption")</f>
        <v>0</v>
      </c>
      <c r="J879" s="50">
        <f>SUMIFS('Stock Adjustment'!$E:$E,'Stock Adjustment'!$B:$B,$A879,'Stock Adjustment'!$D:$D,"Damaged")</f>
        <v>0</v>
      </c>
      <c r="K879" s="50">
        <f>SUMIFS('Stock Adjustment'!$E:$E,'Stock Adjustment'!$B:$B,$A879,'Stock Adjustment'!$D:$D,"Expired")</f>
        <v>0</v>
      </c>
      <c r="L879" s="50">
        <f>SUMIFS('Stock Adjustment'!$E:$E,'Stock Adjustment'!$B:$B,$A879,'Stock Adjustment'!$D:$D,"Supplier Returned")</f>
        <v>0</v>
      </c>
      <c r="M8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79" s="53" t="str">
        <f>IF(B879="","",VLOOKUP(B879,'Product Master'!$B:$G,4,FALSE))</f>
        <v/>
      </c>
      <c r="O879" s="53" t="str">
        <f>IF(B879="","",VLOOKUP(B879,'Product Master'!$B:$G,5,FALSE))</f>
        <v/>
      </c>
      <c r="P879" s="50" t="str">
        <f>IF(B879="","",VLOOKUP(B879,'Product Master'!$B:$I,7,FALSE))</f>
        <v/>
      </c>
      <c r="Q879" s="158"/>
      <c r="R879" s="58" t="str">
        <f t="shared" si="13"/>
        <v/>
      </c>
      <c r="S879" s="25"/>
      <c r="T879" s="25"/>
      <c r="U879" s="25"/>
      <c r="V879" s="25"/>
      <c r="W879" s="25"/>
      <c r="X879" s="25"/>
    </row>
    <row r="880" spans="1:24" x14ac:dyDescent="0.25">
      <c r="A880" s="31" t="s">
        <v>1440</v>
      </c>
      <c r="B880" s="32"/>
      <c r="C880" s="50" t="str">
        <f>IF(B880="","",VLOOKUP(B880,'Product Master'!$B:$G,2,FALSE))</f>
        <v/>
      </c>
      <c r="D880" s="50" t="str">
        <f>IF(B880="","",VLOOKUP(B880,'Product Master'!$B:$G,3,FALSE))</f>
        <v/>
      </c>
      <c r="E880" s="50"/>
      <c r="F880" s="50">
        <f>SUMIF('Stock Purchase'!$D:$D,B880,'Stock Purchase'!$F:$F)</f>
        <v>0</v>
      </c>
      <c r="G880" s="50">
        <f>SUMIFS('Stock Adjustment'!$E:$E,'Stock Adjustment'!$B:$B,$A880,'Stock Adjustment'!$D:$D,"Customer Returned")</f>
        <v>0</v>
      </c>
      <c r="H880" s="50">
        <f>SUMIF('Daily Sales Entry'!$D:$D,B880,'Daily Sales Entry'!$G:$G)</f>
        <v>0</v>
      </c>
      <c r="I880" s="50">
        <f>SUMIFS('Stock Adjustment'!$E:$E,'Stock Adjustment'!$B:$B,$A880,'Stock Adjustment'!$D:$D,"Staff Consumption")</f>
        <v>0</v>
      </c>
      <c r="J880" s="50">
        <f>SUMIFS('Stock Adjustment'!$E:$E,'Stock Adjustment'!$B:$B,$A880,'Stock Adjustment'!$D:$D,"Damaged")</f>
        <v>0</v>
      </c>
      <c r="K880" s="50">
        <f>SUMIFS('Stock Adjustment'!$E:$E,'Stock Adjustment'!$B:$B,$A880,'Stock Adjustment'!$D:$D,"Expired")</f>
        <v>0</v>
      </c>
      <c r="L880" s="50">
        <f>SUMIFS('Stock Adjustment'!$E:$E,'Stock Adjustment'!$B:$B,$A880,'Stock Adjustment'!$D:$D,"Supplier Returned")</f>
        <v>0</v>
      </c>
      <c r="M8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0" s="53" t="str">
        <f>IF(B880="","",VLOOKUP(B880,'Product Master'!$B:$G,4,FALSE))</f>
        <v/>
      </c>
      <c r="O880" s="53" t="str">
        <f>IF(B880="","",VLOOKUP(B880,'Product Master'!$B:$G,5,FALSE))</f>
        <v/>
      </c>
      <c r="P880" s="50" t="str">
        <f>IF(B880="","",VLOOKUP(B880,'Product Master'!$B:$I,7,FALSE))</f>
        <v/>
      </c>
      <c r="Q880" s="158"/>
      <c r="R880" s="58" t="str">
        <f t="shared" si="13"/>
        <v/>
      </c>
      <c r="S880" s="25"/>
      <c r="T880" s="25"/>
      <c r="U880" s="25"/>
      <c r="V880" s="25"/>
      <c r="W880" s="25"/>
      <c r="X880" s="25"/>
    </row>
    <row r="881" spans="1:24" x14ac:dyDescent="0.25">
      <c r="A881" s="31" t="s">
        <v>1441</v>
      </c>
      <c r="B881" s="32"/>
      <c r="C881" s="50" t="str">
        <f>IF(B881="","",VLOOKUP(B881,'Product Master'!$B:$G,2,FALSE))</f>
        <v/>
      </c>
      <c r="D881" s="50" t="str">
        <f>IF(B881="","",VLOOKUP(B881,'Product Master'!$B:$G,3,FALSE))</f>
        <v/>
      </c>
      <c r="E881" s="50"/>
      <c r="F881" s="50">
        <f>SUMIF('Stock Purchase'!$D:$D,B881,'Stock Purchase'!$F:$F)</f>
        <v>0</v>
      </c>
      <c r="G881" s="50">
        <f>SUMIFS('Stock Adjustment'!$E:$E,'Stock Adjustment'!$B:$B,$A881,'Stock Adjustment'!$D:$D,"Customer Returned")</f>
        <v>0</v>
      </c>
      <c r="H881" s="50">
        <f>SUMIF('Daily Sales Entry'!$D:$D,B881,'Daily Sales Entry'!$G:$G)</f>
        <v>0</v>
      </c>
      <c r="I881" s="50">
        <f>SUMIFS('Stock Adjustment'!$E:$E,'Stock Adjustment'!$B:$B,$A881,'Stock Adjustment'!$D:$D,"Staff Consumption")</f>
        <v>0</v>
      </c>
      <c r="J881" s="50">
        <f>SUMIFS('Stock Adjustment'!$E:$E,'Stock Adjustment'!$B:$B,$A881,'Stock Adjustment'!$D:$D,"Damaged")</f>
        <v>0</v>
      </c>
      <c r="K881" s="50">
        <f>SUMIFS('Stock Adjustment'!$E:$E,'Stock Adjustment'!$B:$B,$A881,'Stock Adjustment'!$D:$D,"Expired")</f>
        <v>0</v>
      </c>
      <c r="L881" s="50">
        <f>SUMIFS('Stock Adjustment'!$E:$E,'Stock Adjustment'!$B:$B,$A881,'Stock Adjustment'!$D:$D,"Supplier Returned")</f>
        <v>0</v>
      </c>
      <c r="M8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1" s="53" t="str">
        <f>IF(B881="","",VLOOKUP(B881,'Product Master'!$B:$G,4,FALSE))</f>
        <v/>
      </c>
      <c r="O881" s="53" t="str">
        <f>IF(B881="","",VLOOKUP(B881,'Product Master'!$B:$G,5,FALSE))</f>
        <v/>
      </c>
      <c r="P881" s="50" t="str">
        <f>IF(B881="","",VLOOKUP(B881,'Product Master'!$B:$I,7,FALSE))</f>
        <v/>
      </c>
      <c r="Q881" s="158"/>
      <c r="R881" s="58" t="str">
        <f t="shared" si="13"/>
        <v/>
      </c>
      <c r="S881" s="25"/>
      <c r="T881" s="25"/>
      <c r="U881" s="25"/>
      <c r="V881" s="25"/>
      <c r="W881" s="25"/>
      <c r="X881" s="25"/>
    </row>
    <row r="882" spans="1:24" x14ac:dyDescent="0.25">
      <c r="A882" s="31" t="s">
        <v>1442</v>
      </c>
      <c r="B882" s="32"/>
      <c r="C882" s="50" t="str">
        <f>IF(B882="","",VLOOKUP(B882,'Product Master'!$B:$G,2,FALSE))</f>
        <v/>
      </c>
      <c r="D882" s="50" t="str">
        <f>IF(B882="","",VLOOKUP(B882,'Product Master'!$B:$G,3,FALSE))</f>
        <v/>
      </c>
      <c r="E882" s="50"/>
      <c r="F882" s="50">
        <f>SUMIF('Stock Purchase'!$D:$D,B882,'Stock Purchase'!$F:$F)</f>
        <v>0</v>
      </c>
      <c r="G882" s="50">
        <f>SUMIFS('Stock Adjustment'!$E:$E,'Stock Adjustment'!$B:$B,$A882,'Stock Adjustment'!$D:$D,"Customer Returned")</f>
        <v>0</v>
      </c>
      <c r="H882" s="50">
        <f>SUMIF('Daily Sales Entry'!$D:$D,B882,'Daily Sales Entry'!$G:$G)</f>
        <v>0</v>
      </c>
      <c r="I882" s="50">
        <f>SUMIFS('Stock Adjustment'!$E:$E,'Stock Adjustment'!$B:$B,$A882,'Stock Adjustment'!$D:$D,"Staff Consumption")</f>
        <v>0</v>
      </c>
      <c r="J882" s="50">
        <f>SUMIFS('Stock Adjustment'!$E:$E,'Stock Adjustment'!$B:$B,$A882,'Stock Adjustment'!$D:$D,"Damaged")</f>
        <v>0</v>
      </c>
      <c r="K882" s="50">
        <f>SUMIFS('Stock Adjustment'!$E:$E,'Stock Adjustment'!$B:$B,$A882,'Stock Adjustment'!$D:$D,"Expired")</f>
        <v>0</v>
      </c>
      <c r="L882" s="50">
        <f>SUMIFS('Stock Adjustment'!$E:$E,'Stock Adjustment'!$B:$B,$A882,'Stock Adjustment'!$D:$D,"Supplier Returned")</f>
        <v>0</v>
      </c>
      <c r="M8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2" s="53" t="str">
        <f>IF(B882="","",VLOOKUP(B882,'Product Master'!$B:$G,4,FALSE))</f>
        <v/>
      </c>
      <c r="O882" s="53" t="str">
        <f>IF(B882="","",VLOOKUP(B882,'Product Master'!$B:$G,5,FALSE))</f>
        <v/>
      </c>
      <c r="P882" s="50" t="str">
        <f>IF(B882="","",VLOOKUP(B882,'Product Master'!$B:$I,7,FALSE))</f>
        <v/>
      </c>
      <c r="Q882" s="158"/>
      <c r="R882" s="58" t="str">
        <f t="shared" si="13"/>
        <v/>
      </c>
      <c r="S882" s="25"/>
      <c r="T882" s="25"/>
      <c r="U882" s="25"/>
      <c r="V882" s="25"/>
      <c r="W882" s="25"/>
      <c r="X882" s="25"/>
    </row>
    <row r="883" spans="1:24" x14ac:dyDescent="0.25">
      <c r="A883" s="31" t="s">
        <v>1443</v>
      </c>
      <c r="B883" s="32"/>
      <c r="C883" s="50" t="str">
        <f>IF(B883="","",VLOOKUP(B883,'Product Master'!$B:$G,2,FALSE))</f>
        <v/>
      </c>
      <c r="D883" s="50" t="str">
        <f>IF(B883="","",VLOOKUP(B883,'Product Master'!$B:$G,3,FALSE))</f>
        <v/>
      </c>
      <c r="E883" s="50"/>
      <c r="F883" s="50">
        <f>SUMIF('Stock Purchase'!$D:$D,B883,'Stock Purchase'!$F:$F)</f>
        <v>0</v>
      </c>
      <c r="G883" s="50">
        <f>SUMIFS('Stock Adjustment'!$E:$E,'Stock Adjustment'!$B:$B,$A883,'Stock Adjustment'!$D:$D,"Customer Returned")</f>
        <v>0</v>
      </c>
      <c r="H883" s="50">
        <f>SUMIF('Daily Sales Entry'!$D:$D,B883,'Daily Sales Entry'!$G:$G)</f>
        <v>0</v>
      </c>
      <c r="I883" s="50">
        <f>SUMIFS('Stock Adjustment'!$E:$E,'Stock Adjustment'!$B:$B,$A883,'Stock Adjustment'!$D:$D,"Staff Consumption")</f>
        <v>0</v>
      </c>
      <c r="J883" s="50">
        <f>SUMIFS('Stock Adjustment'!$E:$E,'Stock Adjustment'!$B:$B,$A883,'Stock Adjustment'!$D:$D,"Damaged")</f>
        <v>0</v>
      </c>
      <c r="K883" s="50">
        <f>SUMIFS('Stock Adjustment'!$E:$E,'Stock Adjustment'!$B:$B,$A883,'Stock Adjustment'!$D:$D,"Expired")</f>
        <v>0</v>
      </c>
      <c r="L883" s="50">
        <f>SUMIFS('Stock Adjustment'!$E:$E,'Stock Adjustment'!$B:$B,$A883,'Stock Adjustment'!$D:$D,"Supplier Returned")</f>
        <v>0</v>
      </c>
      <c r="M8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3" s="53" t="str">
        <f>IF(B883="","",VLOOKUP(B883,'Product Master'!$B:$G,4,FALSE))</f>
        <v/>
      </c>
      <c r="O883" s="53" t="str">
        <f>IF(B883="","",VLOOKUP(B883,'Product Master'!$B:$G,5,FALSE))</f>
        <v/>
      </c>
      <c r="P883" s="50" t="str">
        <f>IF(B883="","",VLOOKUP(B883,'Product Master'!$B:$I,7,FALSE))</f>
        <v/>
      </c>
      <c r="Q883" s="158"/>
      <c r="R883" s="58" t="str">
        <f t="shared" si="13"/>
        <v/>
      </c>
      <c r="S883" s="25"/>
      <c r="T883" s="25"/>
      <c r="U883" s="25"/>
      <c r="V883" s="25"/>
      <c r="W883" s="25"/>
      <c r="X883" s="25"/>
    </row>
    <row r="884" spans="1:24" x14ac:dyDescent="0.25">
      <c r="A884" s="31" t="s">
        <v>1444</v>
      </c>
      <c r="B884" s="32"/>
      <c r="C884" s="50" t="str">
        <f>IF(B884="","",VLOOKUP(B884,'Product Master'!$B:$G,2,FALSE))</f>
        <v/>
      </c>
      <c r="D884" s="50" t="str">
        <f>IF(B884="","",VLOOKUP(B884,'Product Master'!$B:$G,3,FALSE))</f>
        <v/>
      </c>
      <c r="E884" s="50"/>
      <c r="F884" s="50">
        <f>SUMIF('Stock Purchase'!$D:$D,B884,'Stock Purchase'!$F:$F)</f>
        <v>0</v>
      </c>
      <c r="G884" s="50">
        <f>SUMIFS('Stock Adjustment'!$E:$E,'Stock Adjustment'!$B:$B,$A884,'Stock Adjustment'!$D:$D,"Customer Returned")</f>
        <v>0</v>
      </c>
      <c r="H884" s="50">
        <f>SUMIF('Daily Sales Entry'!$D:$D,B884,'Daily Sales Entry'!$G:$G)</f>
        <v>0</v>
      </c>
      <c r="I884" s="50">
        <f>SUMIFS('Stock Adjustment'!$E:$E,'Stock Adjustment'!$B:$B,$A884,'Stock Adjustment'!$D:$D,"Staff Consumption")</f>
        <v>0</v>
      </c>
      <c r="J884" s="50">
        <f>SUMIFS('Stock Adjustment'!$E:$E,'Stock Adjustment'!$B:$B,$A884,'Stock Adjustment'!$D:$D,"Damaged")</f>
        <v>0</v>
      </c>
      <c r="K884" s="50">
        <f>SUMIFS('Stock Adjustment'!$E:$E,'Stock Adjustment'!$B:$B,$A884,'Stock Adjustment'!$D:$D,"Expired")</f>
        <v>0</v>
      </c>
      <c r="L884" s="50">
        <f>SUMIFS('Stock Adjustment'!$E:$E,'Stock Adjustment'!$B:$B,$A884,'Stock Adjustment'!$D:$D,"Supplier Returned")</f>
        <v>0</v>
      </c>
      <c r="M8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4" s="53" t="str">
        <f>IF(B884="","",VLOOKUP(B884,'Product Master'!$B:$G,4,FALSE))</f>
        <v/>
      </c>
      <c r="O884" s="53" t="str">
        <f>IF(B884="","",VLOOKUP(B884,'Product Master'!$B:$G,5,FALSE))</f>
        <v/>
      </c>
      <c r="P884" s="50" t="str">
        <f>IF(B884="","",VLOOKUP(B884,'Product Master'!$B:$I,7,FALSE))</f>
        <v/>
      </c>
      <c r="Q884" s="158"/>
      <c r="R884" s="58" t="str">
        <f t="shared" si="13"/>
        <v/>
      </c>
      <c r="S884" s="25"/>
      <c r="T884" s="25"/>
      <c r="U884" s="25"/>
      <c r="V884" s="25"/>
      <c r="W884" s="25"/>
      <c r="X884" s="25"/>
    </row>
    <row r="885" spans="1:24" x14ac:dyDescent="0.25">
      <c r="A885" s="31" t="s">
        <v>1445</v>
      </c>
      <c r="B885" s="32"/>
      <c r="C885" s="50" t="str">
        <f>IF(B885="","",VLOOKUP(B885,'Product Master'!$B:$G,2,FALSE))</f>
        <v/>
      </c>
      <c r="D885" s="50" t="str">
        <f>IF(B885="","",VLOOKUP(B885,'Product Master'!$B:$G,3,FALSE))</f>
        <v/>
      </c>
      <c r="E885" s="50"/>
      <c r="F885" s="50">
        <f>SUMIF('Stock Purchase'!$D:$D,B885,'Stock Purchase'!$F:$F)</f>
        <v>0</v>
      </c>
      <c r="G885" s="50">
        <f>SUMIFS('Stock Adjustment'!$E:$E,'Stock Adjustment'!$B:$B,$A885,'Stock Adjustment'!$D:$D,"Customer Returned")</f>
        <v>0</v>
      </c>
      <c r="H885" s="50">
        <f>SUMIF('Daily Sales Entry'!$D:$D,B885,'Daily Sales Entry'!$G:$G)</f>
        <v>0</v>
      </c>
      <c r="I885" s="50">
        <f>SUMIFS('Stock Adjustment'!$E:$E,'Stock Adjustment'!$B:$B,$A885,'Stock Adjustment'!$D:$D,"Staff Consumption")</f>
        <v>0</v>
      </c>
      <c r="J885" s="50">
        <f>SUMIFS('Stock Adjustment'!$E:$E,'Stock Adjustment'!$B:$B,$A885,'Stock Adjustment'!$D:$D,"Damaged")</f>
        <v>0</v>
      </c>
      <c r="K885" s="50">
        <f>SUMIFS('Stock Adjustment'!$E:$E,'Stock Adjustment'!$B:$B,$A885,'Stock Adjustment'!$D:$D,"Expired")</f>
        <v>0</v>
      </c>
      <c r="L885" s="50">
        <f>SUMIFS('Stock Adjustment'!$E:$E,'Stock Adjustment'!$B:$B,$A885,'Stock Adjustment'!$D:$D,"Supplier Returned")</f>
        <v>0</v>
      </c>
      <c r="M8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5" s="53" t="str">
        <f>IF(B885="","",VLOOKUP(B885,'Product Master'!$B:$G,4,FALSE))</f>
        <v/>
      </c>
      <c r="O885" s="53" t="str">
        <f>IF(B885="","",VLOOKUP(B885,'Product Master'!$B:$G,5,FALSE))</f>
        <v/>
      </c>
      <c r="P885" s="50" t="str">
        <f>IF(B885="","",VLOOKUP(B885,'Product Master'!$B:$I,7,FALSE))</f>
        <v/>
      </c>
      <c r="Q885" s="158"/>
      <c r="R885" s="58" t="str">
        <f t="shared" si="13"/>
        <v/>
      </c>
      <c r="S885" s="25"/>
      <c r="T885" s="25"/>
      <c r="U885" s="25"/>
      <c r="V885" s="25"/>
      <c r="W885" s="25"/>
      <c r="X885" s="25"/>
    </row>
    <row r="886" spans="1:24" x14ac:dyDescent="0.25">
      <c r="A886" s="31" t="s">
        <v>1446</v>
      </c>
      <c r="B886" s="32"/>
      <c r="C886" s="50" t="str">
        <f>IF(B886="","",VLOOKUP(B886,'Product Master'!$B:$G,2,FALSE))</f>
        <v/>
      </c>
      <c r="D886" s="50" t="str">
        <f>IF(B886="","",VLOOKUP(B886,'Product Master'!$B:$G,3,FALSE))</f>
        <v/>
      </c>
      <c r="E886" s="50"/>
      <c r="F886" s="50">
        <f>SUMIF('Stock Purchase'!$D:$D,B886,'Stock Purchase'!$F:$F)</f>
        <v>0</v>
      </c>
      <c r="G886" s="50">
        <f>SUMIFS('Stock Adjustment'!$E:$E,'Stock Adjustment'!$B:$B,$A886,'Stock Adjustment'!$D:$D,"Customer Returned")</f>
        <v>0</v>
      </c>
      <c r="H886" s="50">
        <f>SUMIF('Daily Sales Entry'!$D:$D,B886,'Daily Sales Entry'!$G:$G)</f>
        <v>0</v>
      </c>
      <c r="I886" s="50">
        <f>SUMIFS('Stock Adjustment'!$E:$E,'Stock Adjustment'!$B:$B,$A886,'Stock Adjustment'!$D:$D,"Staff Consumption")</f>
        <v>0</v>
      </c>
      <c r="J886" s="50">
        <f>SUMIFS('Stock Adjustment'!$E:$E,'Stock Adjustment'!$B:$B,$A886,'Stock Adjustment'!$D:$D,"Damaged")</f>
        <v>0</v>
      </c>
      <c r="K886" s="50">
        <f>SUMIFS('Stock Adjustment'!$E:$E,'Stock Adjustment'!$B:$B,$A886,'Stock Adjustment'!$D:$D,"Expired")</f>
        <v>0</v>
      </c>
      <c r="L886" s="50">
        <f>SUMIFS('Stock Adjustment'!$E:$E,'Stock Adjustment'!$B:$B,$A886,'Stock Adjustment'!$D:$D,"Supplier Returned")</f>
        <v>0</v>
      </c>
      <c r="M8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6" s="53" t="str">
        <f>IF(B886="","",VLOOKUP(B886,'Product Master'!$B:$G,4,FALSE))</f>
        <v/>
      </c>
      <c r="O886" s="53" t="str">
        <f>IF(B886="","",VLOOKUP(B886,'Product Master'!$B:$G,5,FALSE))</f>
        <v/>
      </c>
      <c r="P886" s="50" t="str">
        <f>IF(B886="","",VLOOKUP(B886,'Product Master'!$B:$I,7,FALSE))</f>
        <v/>
      </c>
      <c r="Q886" s="158"/>
      <c r="R886" s="58" t="str">
        <f t="shared" si="13"/>
        <v/>
      </c>
      <c r="S886" s="25"/>
      <c r="T886" s="25"/>
      <c r="U886" s="25"/>
      <c r="V886" s="25"/>
      <c r="W886" s="25"/>
      <c r="X886" s="25"/>
    </row>
    <row r="887" spans="1:24" x14ac:dyDescent="0.25">
      <c r="A887" s="31" t="s">
        <v>1447</v>
      </c>
      <c r="B887" s="32"/>
      <c r="C887" s="50" t="str">
        <f>IF(B887="","",VLOOKUP(B887,'Product Master'!$B:$G,2,FALSE))</f>
        <v/>
      </c>
      <c r="D887" s="50" t="str">
        <f>IF(B887="","",VLOOKUP(B887,'Product Master'!$B:$G,3,FALSE))</f>
        <v/>
      </c>
      <c r="E887" s="50"/>
      <c r="F887" s="50">
        <f>SUMIF('Stock Purchase'!$D:$D,B887,'Stock Purchase'!$F:$F)</f>
        <v>0</v>
      </c>
      <c r="G887" s="50">
        <f>SUMIFS('Stock Adjustment'!$E:$E,'Stock Adjustment'!$B:$B,$A887,'Stock Adjustment'!$D:$D,"Customer Returned")</f>
        <v>0</v>
      </c>
      <c r="H887" s="50">
        <f>SUMIF('Daily Sales Entry'!$D:$D,B887,'Daily Sales Entry'!$G:$G)</f>
        <v>0</v>
      </c>
      <c r="I887" s="50">
        <f>SUMIFS('Stock Adjustment'!$E:$E,'Stock Adjustment'!$B:$B,$A887,'Stock Adjustment'!$D:$D,"Staff Consumption")</f>
        <v>0</v>
      </c>
      <c r="J887" s="50">
        <f>SUMIFS('Stock Adjustment'!$E:$E,'Stock Adjustment'!$B:$B,$A887,'Stock Adjustment'!$D:$D,"Damaged")</f>
        <v>0</v>
      </c>
      <c r="K887" s="50">
        <f>SUMIFS('Stock Adjustment'!$E:$E,'Stock Adjustment'!$B:$B,$A887,'Stock Adjustment'!$D:$D,"Expired")</f>
        <v>0</v>
      </c>
      <c r="L887" s="50">
        <f>SUMIFS('Stock Adjustment'!$E:$E,'Stock Adjustment'!$B:$B,$A887,'Stock Adjustment'!$D:$D,"Supplier Returned")</f>
        <v>0</v>
      </c>
      <c r="M8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7" s="53" t="str">
        <f>IF(B887="","",VLOOKUP(B887,'Product Master'!$B:$G,4,FALSE))</f>
        <v/>
      </c>
      <c r="O887" s="53" t="str">
        <f>IF(B887="","",VLOOKUP(B887,'Product Master'!$B:$G,5,FALSE))</f>
        <v/>
      </c>
      <c r="P887" s="50" t="str">
        <f>IF(B887="","",VLOOKUP(B887,'Product Master'!$B:$I,7,FALSE))</f>
        <v/>
      </c>
      <c r="Q887" s="158"/>
      <c r="R887" s="58" t="str">
        <f t="shared" si="13"/>
        <v/>
      </c>
      <c r="S887" s="25"/>
      <c r="T887" s="25"/>
      <c r="U887" s="25"/>
      <c r="V887" s="25"/>
      <c r="W887" s="25"/>
      <c r="X887" s="25"/>
    </row>
    <row r="888" spans="1:24" x14ac:dyDescent="0.25">
      <c r="A888" s="31" t="s">
        <v>1448</v>
      </c>
      <c r="B888" s="32"/>
      <c r="C888" s="50" t="str">
        <f>IF(B888="","",VLOOKUP(B888,'Product Master'!$B:$G,2,FALSE))</f>
        <v/>
      </c>
      <c r="D888" s="50" t="str">
        <f>IF(B888="","",VLOOKUP(B888,'Product Master'!$B:$G,3,FALSE))</f>
        <v/>
      </c>
      <c r="E888" s="50"/>
      <c r="F888" s="50">
        <f>SUMIF('Stock Purchase'!$D:$D,B888,'Stock Purchase'!$F:$F)</f>
        <v>0</v>
      </c>
      <c r="G888" s="50">
        <f>SUMIFS('Stock Adjustment'!$E:$E,'Stock Adjustment'!$B:$B,$A888,'Stock Adjustment'!$D:$D,"Customer Returned")</f>
        <v>0</v>
      </c>
      <c r="H888" s="50">
        <f>SUMIF('Daily Sales Entry'!$D:$D,B888,'Daily Sales Entry'!$G:$G)</f>
        <v>0</v>
      </c>
      <c r="I888" s="50">
        <f>SUMIFS('Stock Adjustment'!$E:$E,'Stock Adjustment'!$B:$B,$A888,'Stock Adjustment'!$D:$D,"Staff Consumption")</f>
        <v>0</v>
      </c>
      <c r="J888" s="50">
        <f>SUMIFS('Stock Adjustment'!$E:$E,'Stock Adjustment'!$B:$B,$A888,'Stock Adjustment'!$D:$D,"Damaged")</f>
        <v>0</v>
      </c>
      <c r="K888" s="50">
        <f>SUMIFS('Stock Adjustment'!$E:$E,'Stock Adjustment'!$B:$B,$A888,'Stock Adjustment'!$D:$D,"Expired")</f>
        <v>0</v>
      </c>
      <c r="L888" s="50">
        <f>SUMIFS('Stock Adjustment'!$E:$E,'Stock Adjustment'!$B:$B,$A888,'Stock Adjustment'!$D:$D,"Supplier Returned")</f>
        <v>0</v>
      </c>
      <c r="M8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8" s="53" t="str">
        <f>IF(B888="","",VLOOKUP(B888,'Product Master'!$B:$G,4,FALSE))</f>
        <v/>
      </c>
      <c r="O888" s="53" t="str">
        <f>IF(B888="","",VLOOKUP(B888,'Product Master'!$B:$G,5,FALSE))</f>
        <v/>
      </c>
      <c r="P888" s="50" t="str">
        <f>IF(B888="","",VLOOKUP(B888,'Product Master'!$B:$I,7,FALSE))</f>
        <v/>
      </c>
      <c r="Q888" s="158"/>
      <c r="R888" s="58" t="str">
        <f t="shared" si="13"/>
        <v/>
      </c>
      <c r="S888" s="25"/>
      <c r="T888" s="25"/>
      <c r="U888" s="25"/>
      <c r="V888" s="25"/>
      <c r="W888" s="25"/>
      <c r="X888" s="25"/>
    </row>
    <row r="889" spans="1:24" x14ac:dyDescent="0.25">
      <c r="A889" s="31" t="s">
        <v>1449</v>
      </c>
      <c r="B889" s="32"/>
      <c r="C889" s="50" t="str">
        <f>IF(B889="","",VLOOKUP(B889,'Product Master'!$B:$G,2,FALSE))</f>
        <v/>
      </c>
      <c r="D889" s="50" t="str">
        <f>IF(B889="","",VLOOKUP(B889,'Product Master'!$B:$G,3,FALSE))</f>
        <v/>
      </c>
      <c r="E889" s="50"/>
      <c r="F889" s="50">
        <f>SUMIF('Stock Purchase'!$D:$D,B889,'Stock Purchase'!$F:$F)</f>
        <v>0</v>
      </c>
      <c r="G889" s="50">
        <f>SUMIFS('Stock Adjustment'!$E:$E,'Stock Adjustment'!$B:$B,$A889,'Stock Adjustment'!$D:$D,"Customer Returned")</f>
        <v>0</v>
      </c>
      <c r="H889" s="50">
        <f>SUMIF('Daily Sales Entry'!$D:$D,B889,'Daily Sales Entry'!$G:$G)</f>
        <v>0</v>
      </c>
      <c r="I889" s="50">
        <f>SUMIFS('Stock Adjustment'!$E:$E,'Stock Adjustment'!$B:$B,$A889,'Stock Adjustment'!$D:$D,"Staff Consumption")</f>
        <v>0</v>
      </c>
      <c r="J889" s="50">
        <f>SUMIFS('Stock Adjustment'!$E:$E,'Stock Adjustment'!$B:$B,$A889,'Stock Adjustment'!$D:$D,"Damaged")</f>
        <v>0</v>
      </c>
      <c r="K889" s="50">
        <f>SUMIFS('Stock Adjustment'!$E:$E,'Stock Adjustment'!$B:$B,$A889,'Stock Adjustment'!$D:$D,"Expired")</f>
        <v>0</v>
      </c>
      <c r="L889" s="50">
        <f>SUMIFS('Stock Adjustment'!$E:$E,'Stock Adjustment'!$B:$B,$A889,'Stock Adjustment'!$D:$D,"Supplier Returned")</f>
        <v>0</v>
      </c>
      <c r="M8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89" s="53" t="str">
        <f>IF(B889="","",VLOOKUP(B889,'Product Master'!$B:$G,4,FALSE))</f>
        <v/>
      </c>
      <c r="O889" s="53" t="str">
        <f>IF(B889="","",VLOOKUP(B889,'Product Master'!$B:$G,5,FALSE))</f>
        <v/>
      </c>
      <c r="P889" s="50" t="str">
        <f>IF(B889="","",VLOOKUP(B889,'Product Master'!$B:$I,7,FALSE))</f>
        <v/>
      </c>
      <c r="Q889" s="158"/>
      <c r="R889" s="58" t="str">
        <f t="shared" si="13"/>
        <v/>
      </c>
      <c r="S889" s="25"/>
      <c r="T889" s="25"/>
      <c r="U889" s="25"/>
      <c r="V889" s="25"/>
      <c r="W889" s="25"/>
      <c r="X889" s="25"/>
    </row>
    <row r="890" spans="1:24" x14ac:dyDescent="0.25">
      <c r="A890" s="31" t="s">
        <v>1450</v>
      </c>
      <c r="B890" s="32"/>
      <c r="C890" s="50" t="str">
        <f>IF(B890="","",VLOOKUP(B890,'Product Master'!$B:$G,2,FALSE))</f>
        <v/>
      </c>
      <c r="D890" s="50" t="str">
        <f>IF(B890="","",VLOOKUP(B890,'Product Master'!$B:$G,3,FALSE))</f>
        <v/>
      </c>
      <c r="E890" s="50"/>
      <c r="F890" s="50">
        <f>SUMIF('Stock Purchase'!$D:$D,B890,'Stock Purchase'!$F:$F)</f>
        <v>0</v>
      </c>
      <c r="G890" s="50">
        <f>SUMIFS('Stock Adjustment'!$E:$E,'Stock Adjustment'!$B:$B,$A890,'Stock Adjustment'!$D:$D,"Customer Returned")</f>
        <v>0</v>
      </c>
      <c r="H890" s="50">
        <f>SUMIF('Daily Sales Entry'!$D:$D,B890,'Daily Sales Entry'!$G:$G)</f>
        <v>0</v>
      </c>
      <c r="I890" s="50">
        <f>SUMIFS('Stock Adjustment'!$E:$E,'Stock Adjustment'!$B:$B,$A890,'Stock Adjustment'!$D:$D,"Staff Consumption")</f>
        <v>0</v>
      </c>
      <c r="J890" s="50">
        <f>SUMIFS('Stock Adjustment'!$E:$E,'Stock Adjustment'!$B:$B,$A890,'Stock Adjustment'!$D:$D,"Damaged")</f>
        <v>0</v>
      </c>
      <c r="K890" s="50">
        <f>SUMIFS('Stock Adjustment'!$E:$E,'Stock Adjustment'!$B:$B,$A890,'Stock Adjustment'!$D:$D,"Expired")</f>
        <v>0</v>
      </c>
      <c r="L890" s="50">
        <f>SUMIFS('Stock Adjustment'!$E:$E,'Stock Adjustment'!$B:$B,$A890,'Stock Adjustment'!$D:$D,"Supplier Returned")</f>
        <v>0</v>
      </c>
      <c r="M8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0" s="53" t="str">
        <f>IF(B890="","",VLOOKUP(B890,'Product Master'!$B:$G,4,FALSE))</f>
        <v/>
      </c>
      <c r="O890" s="53" t="str">
        <f>IF(B890="","",VLOOKUP(B890,'Product Master'!$B:$G,5,FALSE))</f>
        <v/>
      </c>
      <c r="P890" s="50" t="str">
        <f>IF(B890="","",VLOOKUP(B890,'Product Master'!$B:$I,7,FALSE))</f>
        <v/>
      </c>
      <c r="Q890" s="158"/>
      <c r="R890" s="58" t="str">
        <f t="shared" si="13"/>
        <v/>
      </c>
      <c r="S890" s="25"/>
      <c r="T890" s="25"/>
      <c r="U890" s="25"/>
      <c r="V890" s="25"/>
      <c r="W890" s="25"/>
      <c r="X890" s="25"/>
    </row>
    <row r="891" spans="1:24" x14ac:dyDescent="0.25">
      <c r="A891" s="31" t="s">
        <v>1451</v>
      </c>
      <c r="B891" s="32"/>
      <c r="C891" s="50" t="str">
        <f>IF(B891="","",VLOOKUP(B891,'Product Master'!$B:$G,2,FALSE))</f>
        <v/>
      </c>
      <c r="D891" s="50" t="str">
        <f>IF(B891="","",VLOOKUP(B891,'Product Master'!$B:$G,3,FALSE))</f>
        <v/>
      </c>
      <c r="E891" s="50"/>
      <c r="F891" s="50">
        <f>SUMIF('Stock Purchase'!$D:$D,B891,'Stock Purchase'!$F:$F)</f>
        <v>0</v>
      </c>
      <c r="G891" s="50">
        <f>SUMIFS('Stock Adjustment'!$E:$E,'Stock Adjustment'!$B:$B,$A891,'Stock Adjustment'!$D:$D,"Customer Returned")</f>
        <v>0</v>
      </c>
      <c r="H891" s="50">
        <f>SUMIF('Daily Sales Entry'!$D:$D,B891,'Daily Sales Entry'!$G:$G)</f>
        <v>0</v>
      </c>
      <c r="I891" s="50">
        <f>SUMIFS('Stock Adjustment'!$E:$E,'Stock Adjustment'!$B:$B,$A891,'Stock Adjustment'!$D:$D,"Staff Consumption")</f>
        <v>0</v>
      </c>
      <c r="J891" s="50">
        <f>SUMIFS('Stock Adjustment'!$E:$E,'Stock Adjustment'!$B:$B,$A891,'Stock Adjustment'!$D:$D,"Damaged")</f>
        <v>0</v>
      </c>
      <c r="K891" s="50">
        <f>SUMIFS('Stock Adjustment'!$E:$E,'Stock Adjustment'!$B:$B,$A891,'Stock Adjustment'!$D:$D,"Expired")</f>
        <v>0</v>
      </c>
      <c r="L891" s="50">
        <f>SUMIFS('Stock Adjustment'!$E:$E,'Stock Adjustment'!$B:$B,$A891,'Stock Adjustment'!$D:$D,"Supplier Returned")</f>
        <v>0</v>
      </c>
      <c r="M8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1" s="53" t="str">
        <f>IF(B891="","",VLOOKUP(B891,'Product Master'!$B:$G,4,FALSE))</f>
        <v/>
      </c>
      <c r="O891" s="53" t="str">
        <f>IF(B891="","",VLOOKUP(B891,'Product Master'!$B:$G,5,FALSE))</f>
        <v/>
      </c>
      <c r="P891" s="50" t="str">
        <f>IF(B891="","",VLOOKUP(B891,'Product Master'!$B:$I,7,FALSE))</f>
        <v/>
      </c>
      <c r="Q891" s="158"/>
      <c r="R891" s="58" t="str">
        <f t="shared" si="13"/>
        <v/>
      </c>
      <c r="S891" s="25"/>
      <c r="T891" s="25"/>
      <c r="U891" s="25"/>
      <c r="V891" s="25"/>
      <c r="W891" s="25"/>
      <c r="X891" s="25"/>
    </row>
    <row r="892" spans="1:24" x14ac:dyDescent="0.25">
      <c r="A892" s="31" t="s">
        <v>1452</v>
      </c>
      <c r="B892" s="32"/>
      <c r="C892" s="50" t="str">
        <f>IF(B892="","",VLOOKUP(B892,'Product Master'!$B:$G,2,FALSE))</f>
        <v/>
      </c>
      <c r="D892" s="50" t="str">
        <f>IF(B892="","",VLOOKUP(B892,'Product Master'!$B:$G,3,FALSE))</f>
        <v/>
      </c>
      <c r="E892" s="50"/>
      <c r="F892" s="50">
        <f>SUMIF('Stock Purchase'!$D:$D,B892,'Stock Purchase'!$F:$F)</f>
        <v>0</v>
      </c>
      <c r="G892" s="50">
        <f>SUMIFS('Stock Adjustment'!$E:$E,'Stock Adjustment'!$B:$B,$A892,'Stock Adjustment'!$D:$D,"Customer Returned")</f>
        <v>0</v>
      </c>
      <c r="H892" s="50">
        <f>SUMIF('Daily Sales Entry'!$D:$D,B892,'Daily Sales Entry'!$G:$G)</f>
        <v>0</v>
      </c>
      <c r="I892" s="50">
        <f>SUMIFS('Stock Adjustment'!$E:$E,'Stock Adjustment'!$B:$B,$A892,'Stock Adjustment'!$D:$D,"Staff Consumption")</f>
        <v>0</v>
      </c>
      <c r="J892" s="50">
        <f>SUMIFS('Stock Adjustment'!$E:$E,'Stock Adjustment'!$B:$B,$A892,'Stock Adjustment'!$D:$D,"Damaged")</f>
        <v>0</v>
      </c>
      <c r="K892" s="50">
        <f>SUMIFS('Stock Adjustment'!$E:$E,'Stock Adjustment'!$B:$B,$A892,'Stock Adjustment'!$D:$D,"Expired")</f>
        <v>0</v>
      </c>
      <c r="L892" s="50">
        <f>SUMIFS('Stock Adjustment'!$E:$E,'Stock Adjustment'!$B:$B,$A892,'Stock Adjustment'!$D:$D,"Supplier Returned")</f>
        <v>0</v>
      </c>
      <c r="M8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2" s="53" t="str">
        <f>IF(B892="","",VLOOKUP(B892,'Product Master'!$B:$G,4,FALSE))</f>
        <v/>
      </c>
      <c r="O892" s="53" t="str">
        <f>IF(B892="","",VLOOKUP(B892,'Product Master'!$B:$G,5,FALSE))</f>
        <v/>
      </c>
      <c r="P892" s="50" t="str">
        <f>IF(B892="","",VLOOKUP(B892,'Product Master'!$B:$I,7,FALSE))</f>
        <v/>
      </c>
      <c r="Q892" s="158"/>
      <c r="R892" s="58" t="str">
        <f t="shared" si="13"/>
        <v/>
      </c>
      <c r="S892" s="25"/>
      <c r="T892" s="25"/>
      <c r="U892" s="25"/>
      <c r="V892" s="25"/>
      <c r="W892" s="25"/>
      <c r="X892" s="25"/>
    </row>
    <row r="893" spans="1:24" x14ac:dyDescent="0.25">
      <c r="A893" s="31" t="s">
        <v>1453</v>
      </c>
      <c r="B893" s="32"/>
      <c r="C893" s="50" t="str">
        <f>IF(B893="","",VLOOKUP(B893,'Product Master'!$B:$G,2,FALSE))</f>
        <v/>
      </c>
      <c r="D893" s="50" t="str">
        <f>IF(B893="","",VLOOKUP(B893,'Product Master'!$B:$G,3,FALSE))</f>
        <v/>
      </c>
      <c r="E893" s="50"/>
      <c r="F893" s="50">
        <f>SUMIF('Stock Purchase'!$D:$D,B893,'Stock Purchase'!$F:$F)</f>
        <v>0</v>
      </c>
      <c r="G893" s="50">
        <f>SUMIFS('Stock Adjustment'!$E:$E,'Stock Adjustment'!$B:$B,$A893,'Stock Adjustment'!$D:$D,"Customer Returned")</f>
        <v>0</v>
      </c>
      <c r="H893" s="50">
        <f>SUMIF('Daily Sales Entry'!$D:$D,B893,'Daily Sales Entry'!$G:$G)</f>
        <v>0</v>
      </c>
      <c r="I893" s="50">
        <f>SUMIFS('Stock Adjustment'!$E:$E,'Stock Adjustment'!$B:$B,$A893,'Stock Adjustment'!$D:$D,"Staff Consumption")</f>
        <v>0</v>
      </c>
      <c r="J893" s="50">
        <f>SUMIFS('Stock Adjustment'!$E:$E,'Stock Adjustment'!$B:$B,$A893,'Stock Adjustment'!$D:$D,"Damaged")</f>
        <v>0</v>
      </c>
      <c r="K893" s="50">
        <f>SUMIFS('Stock Adjustment'!$E:$E,'Stock Adjustment'!$B:$B,$A893,'Stock Adjustment'!$D:$D,"Expired")</f>
        <v>0</v>
      </c>
      <c r="L893" s="50">
        <f>SUMIFS('Stock Adjustment'!$E:$E,'Stock Adjustment'!$B:$B,$A893,'Stock Adjustment'!$D:$D,"Supplier Returned")</f>
        <v>0</v>
      </c>
      <c r="M8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3" s="53" t="str">
        <f>IF(B893="","",VLOOKUP(B893,'Product Master'!$B:$G,4,FALSE))</f>
        <v/>
      </c>
      <c r="O893" s="53" t="str">
        <f>IF(B893="","",VLOOKUP(B893,'Product Master'!$B:$G,5,FALSE))</f>
        <v/>
      </c>
      <c r="P893" s="50" t="str">
        <f>IF(B893="","",VLOOKUP(B893,'Product Master'!$B:$I,7,FALSE))</f>
        <v/>
      </c>
      <c r="Q893" s="158"/>
      <c r="R893" s="58" t="str">
        <f t="shared" si="13"/>
        <v/>
      </c>
      <c r="S893" s="25"/>
      <c r="T893" s="25"/>
      <c r="U893" s="25"/>
      <c r="V893" s="25"/>
      <c r="W893" s="25"/>
      <c r="X893" s="25"/>
    </row>
    <row r="894" spans="1:24" x14ac:dyDescent="0.25">
      <c r="A894" s="31" t="s">
        <v>1454</v>
      </c>
      <c r="B894" s="32"/>
      <c r="C894" s="50" t="str">
        <f>IF(B894="","",VLOOKUP(B894,'Product Master'!$B:$G,2,FALSE))</f>
        <v/>
      </c>
      <c r="D894" s="50" t="str">
        <f>IF(B894="","",VLOOKUP(B894,'Product Master'!$B:$G,3,FALSE))</f>
        <v/>
      </c>
      <c r="E894" s="50"/>
      <c r="F894" s="50">
        <f>SUMIF('Stock Purchase'!$D:$D,B894,'Stock Purchase'!$F:$F)</f>
        <v>0</v>
      </c>
      <c r="G894" s="50">
        <f>SUMIFS('Stock Adjustment'!$E:$E,'Stock Adjustment'!$B:$B,$A894,'Stock Adjustment'!$D:$D,"Customer Returned")</f>
        <v>0</v>
      </c>
      <c r="H894" s="50">
        <f>SUMIF('Daily Sales Entry'!$D:$D,B894,'Daily Sales Entry'!$G:$G)</f>
        <v>0</v>
      </c>
      <c r="I894" s="50">
        <f>SUMIFS('Stock Adjustment'!$E:$E,'Stock Adjustment'!$B:$B,$A894,'Stock Adjustment'!$D:$D,"Staff Consumption")</f>
        <v>0</v>
      </c>
      <c r="J894" s="50">
        <f>SUMIFS('Stock Adjustment'!$E:$E,'Stock Adjustment'!$B:$B,$A894,'Stock Adjustment'!$D:$D,"Damaged")</f>
        <v>0</v>
      </c>
      <c r="K894" s="50">
        <f>SUMIFS('Stock Adjustment'!$E:$E,'Stock Adjustment'!$B:$B,$A894,'Stock Adjustment'!$D:$D,"Expired")</f>
        <v>0</v>
      </c>
      <c r="L894" s="50">
        <f>SUMIFS('Stock Adjustment'!$E:$E,'Stock Adjustment'!$B:$B,$A894,'Stock Adjustment'!$D:$D,"Supplier Returned")</f>
        <v>0</v>
      </c>
      <c r="M8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4" s="53" t="str">
        <f>IF(B894="","",VLOOKUP(B894,'Product Master'!$B:$G,4,FALSE))</f>
        <v/>
      </c>
      <c r="O894" s="53" t="str">
        <f>IF(B894="","",VLOOKUP(B894,'Product Master'!$B:$G,5,FALSE))</f>
        <v/>
      </c>
      <c r="P894" s="50" t="str">
        <f>IF(B894="","",VLOOKUP(B894,'Product Master'!$B:$I,7,FALSE))</f>
        <v/>
      </c>
      <c r="Q894" s="158"/>
      <c r="R894" s="58" t="str">
        <f t="shared" si="13"/>
        <v/>
      </c>
      <c r="S894" s="25"/>
      <c r="T894" s="25"/>
      <c r="U894" s="25"/>
      <c r="V894" s="25"/>
      <c r="W894" s="25"/>
      <c r="X894" s="25"/>
    </row>
    <row r="895" spans="1:24" x14ac:dyDescent="0.25">
      <c r="A895" s="31" t="s">
        <v>1455</v>
      </c>
      <c r="B895" s="32"/>
      <c r="C895" s="50" t="str">
        <f>IF(B895="","",VLOOKUP(B895,'Product Master'!$B:$G,2,FALSE))</f>
        <v/>
      </c>
      <c r="D895" s="50" t="str">
        <f>IF(B895="","",VLOOKUP(B895,'Product Master'!$B:$G,3,FALSE))</f>
        <v/>
      </c>
      <c r="E895" s="50"/>
      <c r="F895" s="50">
        <f>SUMIF('Stock Purchase'!$D:$D,B895,'Stock Purchase'!$F:$F)</f>
        <v>0</v>
      </c>
      <c r="G895" s="50">
        <f>SUMIFS('Stock Adjustment'!$E:$E,'Stock Adjustment'!$B:$B,$A895,'Stock Adjustment'!$D:$D,"Customer Returned")</f>
        <v>0</v>
      </c>
      <c r="H895" s="50">
        <f>SUMIF('Daily Sales Entry'!$D:$D,B895,'Daily Sales Entry'!$G:$G)</f>
        <v>0</v>
      </c>
      <c r="I895" s="50">
        <f>SUMIFS('Stock Adjustment'!$E:$E,'Stock Adjustment'!$B:$B,$A895,'Stock Adjustment'!$D:$D,"Staff Consumption")</f>
        <v>0</v>
      </c>
      <c r="J895" s="50">
        <f>SUMIFS('Stock Adjustment'!$E:$E,'Stock Adjustment'!$B:$B,$A895,'Stock Adjustment'!$D:$D,"Damaged")</f>
        <v>0</v>
      </c>
      <c r="K895" s="50">
        <f>SUMIFS('Stock Adjustment'!$E:$E,'Stock Adjustment'!$B:$B,$A895,'Stock Adjustment'!$D:$D,"Expired")</f>
        <v>0</v>
      </c>
      <c r="L895" s="50">
        <f>SUMIFS('Stock Adjustment'!$E:$E,'Stock Adjustment'!$B:$B,$A895,'Stock Adjustment'!$D:$D,"Supplier Returned")</f>
        <v>0</v>
      </c>
      <c r="M8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5" s="53" t="str">
        <f>IF(B895="","",VLOOKUP(B895,'Product Master'!$B:$G,4,FALSE))</f>
        <v/>
      </c>
      <c r="O895" s="53" t="str">
        <f>IF(B895="","",VLOOKUP(B895,'Product Master'!$B:$G,5,FALSE))</f>
        <v/>
      </c>
      <c r="P895" s="50" t="str">
        <f>IF(B895="","",VLOOKUP(B895,'Product Master'!$B:$I,7,FALSE))</f>
        <v/>
      </c>
      <c r="Q895" s="158"/>
      <c r="R895" s="58" t="str">
        <f t="shared" si="13"/>
        <v/>
      </c>
      <c r="S895" s="25"/>
      <c r="T895" s="25"/>
      <c r="U895" s="25"/>
      <c r="V895" s="25"/>
      <c r="W895" s="25"/>
      <c r="X895" s="25"/>
    </row>
    <row r="896" spans="1:24" x14ac:dyDescent="0.25">
      <c r="A896" s="31" t="s">
        <v>1456</v>
      </c>
      <c r="B896" s="32"/>
      <c r="C896" s="50" t="str">
        <f>IF(B896="","",VLOOKUP(B896,'Product Master'!$B:$G,2,FALSE))</f>
        <v/>
      </c>
      <c r="D896" s="50" t="str">
        <f>IF(B896="","",VLOOKUP(B896,'Product Master'!$B:$G,3,FALSE))</f>
        <v/>
      </c>
      <c r="E896" s="50"/>
      <c r="F896" s="50">
        <f>SUMIF('Stock Purchase'!$D:$D,B896,'Stock Purchase'!$F:$F)</f>
        <v>0</v>
      </c>
      <c r="G896" s="50">
        <f>SUMIFS('Stock Adjustment'!$E:$E,'Stock Adjustment'!$B:$B,$A896,'Stock Adjustment'!$D:$D,"Customer Returned")</f>
        <v>0</v>
      </c>
      <c r="H896" s="50">
        <f>SUMIF('Daily Sales Entry'!$D:$D,B896,'Daily Sales Entry'!$G:$G)</f>
        <v>0</v>
      </c>
      <c r="I896" s="50">
        <f>SUMIFS('Stock Adjustment'!$E:$E,'Stock Adjustment'!$B:$B,$A896,'Stock Adjustment'!$D:$D,"Staff Consumption")</f>
        <v>0</v>
      </c>
      <c r="J896" s="50">
        <f>SUMIFS('Stock Adjustment'!$E:$E,'Stock Adjustment'!$B:$B,$A896,'Stock Adjustment'!$D:$D,"Damaged")</f>
        <v>0</v>
      </c>
      <c r="K896" s="50">
        <f>SUMIFS('Stock Adjustment'!$E:$E,'Stock Adjustment'!$B:$B,$A896,'Stock Adjustment'!$D:$D,"Expired")</f>
        <v>0</v>
      </c>
      <c r="L896" s="50">
        <f>SUMIFS('Stock Adjustment'!$E:$E,'Stock Adjustment'!$B:$B,$A896,'Stock Adjustment'!$D:$D,"Supplier Returned")</f>
        <v>0</v>
      </c>
      <c r="M8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6" s="53" t="str">
        <f>IF(B896="","",VLOOKUP(B896,'Product Master'!$B:$G,4,FALSE))</f>
        <v/>
      </c>
      <c r="O896" s="53" t="str">
        <f>IF(B896="","",VLOOKUP(B896,'Product Master'!$B:$G,5,FALSE))</f>
        <v/>
      </c>
      <c r="P896" s="50" t="str">
        <f>IF(B896="","",VLOOKUP(B896,'Product Master'!$B:$I,7,FALSE))</f>
        <v/>
      </c>
      <c r="Q896" s="158"/>
      <c r="R896" s="58" t="str">
        <f t="shared" si="13"/>
        <v/>
      </c>
      <c r="S896" s="25"/>
      <c r="T896" s="25"/>
      <c r="U896" s="25"/>
      <c r="V896" s="25"/>
      <c r="W896" s="25"/>
      <c r="X896" s="25"/>
    </row>
    <row r="897" spans="1:24" x14ac:dyDescent="0.25">
      <c r="A897" s="31" t="s">
        <v>1457</v>
      </c>
      <c r="B897" s="32"/>
      <c r="C897" s="50" t="str">
        <f>IF(B897="","",VLOOKUP(B897,'Product Master'!$B:$G,2,FALSE))</f>
        <v/>
      </c>
      <c r="D897" s="50" t="str">
        <f>IF(B897="","",VLOOKUP(B897,'Product Master'!$B:$G,3,FALSE))</f>
        <v/>
      </c>
      <c r="E897" s="50"/>
      <c r="F897" s="50">
        <f>SUMIF('Stock Purchase'!$D:$D,B897,'Stock Purchase'!$F:$F)</f>
        <v>0</v>
      </c>
      <c r="G897" s="50">
        <f>SUMIFS('Stock Adjustment'!$E:$E,'Stock Adjustment'!$B:$B,$A897,'Stock Adjustment'!$D:$D,"Customer Returned")</f>
        <v>0</v>
      </c>
      <c r="H897" s="50">
        <f>SUMIF('Daily Sales Entry'!$D:$D,B897,'Daily Sales Entry'!$G:$G)</f>
        <v>0</v>
      </c>
      <c r="I897" s="50">
        <f>SUMIFS('Stock Adjustment'!$E:$E,'Stock Adjustment'!$B:$B,$A897,'Stock Adjustment'!$D:$D,"Staff Consumption")</f>
        <v>0</v>
      </c>
      <c r="J897" s="50">
        <f>SUMIFS('Stock Adjustment'!$E:$E,'Stock Adjustment'!$B:$B,$A897,'Stock Adjustment'!$D:$D,"Damaged")</f>
        <v>0</v>
      </c>
      <c r="K897" s="50">
        <f>SUMIFS('Stock Adjustment'!$E:$E,'Stock Adjustment'!$B:$B,$A897,'Stock Adjustment'!$D:$D,"Expired")</f>
        <v>0</v>
      </c>
      <c r="L897" s="50">
        <f>SUMIFS('Stock Adjustment'!$E:$E,'Stock Adjustment'!$B:$B,$A897,'Stock Adjustment'!$D:$D,"Supplier Returned")</f>
        <v>0</v>
      </c>
      <c r="M8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7" s="53" t="str">
        <f>IF(B897="","",VLOOKUP(B897,'Product Master'!$B:$G,4,FALSE))</f>
        <v/>
      </c>
      <c r="O897" s="53" t="str">
        <f>IF(B897="","",VLOOKUP(B897,'Product Master'!$B:$G,5,FALSE))</f>
        <v/>
      </c>
      <c r="P897" s="50" t="str">
        <f>IF(B897="","",VLOOKUP(B897,'Product Master'!$B:$I,7,FALSE))</f>
        <v/>
      </c>
      <c r="Q897" s="158"/>
      <c r="R897" s="58" t="str">
        <f t="shared" si="13"/>
        <v/>
      </c>
      <c r="S897" s="25"/>
      <c r="T897" s="25"/>
      <c r="U897" s="25"/>
      <c r="V897" s="25"/>
      <c r="W897" s="25"/>
      <c r="X897" s="25"/>
    </row>
    <row r="898" spans="1:24" x14ac:dyDescent="0.25">
      <c r="A898" s="31" t="s">
        <v>1458</v>
      </c>
      <c r="B898" s="32"/>
      <c r="C898" s="50" t="str">
        <f>IF(B898="","",VLOOKUP(B898,'Product Master'!$B:$G,2,FALSE))</f>
        <v/>
      </c>
      <c r="D898" s="50" t="str">
        <f>IF(B898="","",VLOOKUP(B898,'Product Master'!$B:$G,3,FALSE))</f>
        <v/>
      </c>
      <c r="E898" s="50"/>
      <c r="F898" s="50">
        <f>SUMIF('Stock Purchase'!$D:$D,B898,'Stock Purchase'!$F:$F)</f>
        <v>0</v>
      </c>
      <c r="G898" s="50">
        <f>SUMIFS('Stock Adjustment'!$E:$E,'Stock Adjustment'!$B:$B,$A898,'Stock Adjustment'!$D:$D,"Customer Returned")</f>
        <v>0</v>
      </c>
      <c r="H898" s="50">
        <f>SUMIF('Daily Sales Entry'!$D:$D,B898,'Daily Sales Entry'!$G:$G)</f>
        <v>0</v>
      </c>
      <c r="I898" s="50">
        <f>SUMIFS('Stock Adjustment'!$E:$E,'Stock Adjustment'!$B:$B,$A898,'Stock Adjustment'!$D:$D,"Staff Consumption")</f>
        <v>0</v>
      </c>
      <c r="J898" s="50">
        <f>SUMIFS('Stock Adjustment'!$E:$E,'Stock Adjustment'!$B:$B,$A898,'Stock Adjustment'!$D:$D,"Damaged")</f>
        <v>0</v>
      </c>
      <c r="K898" s="50">
        <f>SUMIFS('Stock Adjustment'!$E:$E,'Stock Adjustment'!$B:$B,$A898,'Stock Adjustment'!$D:$D,"Expired")</f>
        <v>0</v>
      </c>
      <c r="L898" s="50">
        <f>SUMIFS('Stock Adjustment'!$E:$E,'Stock Adjustment'!$B:$B,$A898,'Stock Adjustment'!$D:$D,"Supplier Returned")</f>
        <v>0</v>
      </c>
      <c r="M8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8" s="53" t="str">
        <f>IF(B898="","",VLOOKUP(B898,'Product Master'!$B:$G,4,FALSE))</f>
        <v/>
      </c>
      <c r="O898" s="53" t="str">
        <f>IF(B898="","",VLOOKUP(B898,'Product Master'!$B:$G,5,FALSE))</f>
        <v/>
      </c>
      <c r="P898" s="50" t="str">
        <f>IF(B898="","",VLOOKUP(B898,'Product Master'!$B:$I,7,FALSE))</f>
        <v/>
      </c>
      <c r="Q898" s="158"/>
      <c r="R898" s="58" t="str">
        <f t="shared" ref="R898:R961" si="14">IF(B898="","",IF(M898=0,"Out of Stock",IF(M898&lt;=10,"Low Stock","In Stock")))</f>
        <v/>
      </c>
      <c r="S898" s="25"/>
      <c r="T898" s="25"/>
      <c r="U898" s="25"/>
      <c r="V898" s="25"/>
      <c r="W898" s="25"/>
      <c r="X898" s="25"/>
    </row>
    <row r="899" spans="1:24" x14ac:dyDescent="0.25">
      <c r="A899" s="31" t="s">
        <v>1459</v>
      </c>
      <c r="B899" s="32"/>
      <c r="C899" s="50" t="str">
        <f>IF(B899="","",VLOOKUP(B899,'Product Master'!$B:$G,2,FALSE))</f>
        <v/>
      </c>
      <c r="D899" s="50" t="str">
        <f>IF(B899="","",VLOOKUP(B899,'Product Master'!$B:$G,3,FALSE))</f>
        <v/>
      </c>
      <c r="E899" s="50"/>
      <c r="F899" s="50">
        <f>SUMIF('Stock Purchase'!$D:$D,B899,'Stock Purchase'!$F:$F)</f>
        <v>0</v>
      </c>
      <c r="G899" s="50">
        <f>SUMIFS('Stock Adjustment'!$E:$E,'Stock Adjustment'!$B:$B,$A899,'Stock Adjustment'!$D:$D,"Customer Returned")</f>
        <v>0</v>
      </c>
      <c r="H899" s="50">
        <f>SUMIF('Daily Sales Entry'!$D:$D,B899,'Daily Sales Entry'!$G:$G)</f>
        <v>0</v>
      </c>
      <c r="I899" s="50">
        <f>SUMIFS('Stock Adjustment'!$E:$E,'Stock Adjustment'!$B:$B,$A899,'Stock Adjustment'!$D:$D,"Staff Consumption")</f>
        <v>0</v>
      </c>
      <c r="J899" s="50">
        <f>SUMIFS('Stock Adjustment'!$E:$E,'Stock Adjustment'!$B:$B,$A899,'Stock Adjustment'!$D:$D,"Damaged")</f>
        <v>0</v>
      </c>
      <c r="K899" s="50">
        <f>SUMIFS('Stock Adjustment'!$E:$E,'Stock Adjustment'!$B:$B,$A899,'Stock Adjustment'!$D:$D,"Expired")</f>
        <v>0</v>
      </c>
      <c r="L899" s="50">
        <f>SUMIFS('Stock Adjustment'!$E:$E,'Stock Adjustment'!$B:$B,$A899,'Stock Adjustment'!$D:$D,"Supplier Returned")</f>
        <v>0</v>
      </c>
      <c r="M8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899" s="53" t="str">
        <f>IF(B899="","",VLOOKUP(B899,'Product Master'!$B:$G,4,FALSE))</f>
        <v/>
      </c>
      <c r="O899" s="53" t="str">
        <f>IF(B899="","",VLOOKUP(B899,'Product Master'!$B:$G,5,FALSE))</f>
        <v/>
      </c>
      <c r="P899" s="50" t="str">
        <f>IF(B899="","",VLOOKUP(B899,'Product Master'!$B:$I,7,FALSE))</f>
        <v/>
      </c>
      <c r="Q899" s="158"/>
      <c r="R899" s="58" t="str">
        <f t="shared" si="14"/>
        <v/>
      </c>
      <c r="S899" s="25"/>
      <c r="T899" s="25"/>
      <c r="U899" s="25"/>
      <c r="V899" s="25"/>
      <c r="W899" s="25"/>
      <c r="X899" s="25"/>
    </row>
    <row r="900" spans="1:24" x14ac:dyDescent="0.25">
      <c r="A900" s="31" t="s">
        <v>1460</v>
      </c>
      <c r="B900" s="32"/>
      <c r="C900" s="50" t="str">
        <f>IF(B900="","",VLOOKUP(B900,'Product Master'!$B:$G,2,FALSE))</f>
        <v/>
      </c>
      <c r="D900" s="50" t="str">
        <f>IF(B900="","",VLOOKUP(B900,'Product Master'!$B:$G,3,FALSE))</f>
        <v/>
      </c>
      <c r="E900" s="50"/>
      <c r="F900" s="50">
        <f>SUMIF('Stock Purchase'!$D:$D,B900,'Stock Purchase'!$F:$F)</f>
        <v>0</v>
      </c>
      <c r="G900" s="50">
        <f>SUMIFS('Stock Adjustment'!$E:$E,'Stock Adjustment'!$B:$B,$A900,'Stock Adjustment'!$D:$D,"Customer Returned")</f>
        <v>0</v>
      </c>
      <c r="H900" s="50">
        <f>SUMIF('Daily Sales Entry'!$D:$D,B900,'Daily Sales Entry'!$G:$G)</f>
        <v>0</v>
      </c>
      <c r="I900" s="50">
        <f>SUMIFS('Stock Adjustment'!$E:$E,'Stock Adjustment'!$B:$B,$A900,'Stock Adjustment'!$D:$D,"Staff Consumption")</f>
        <v>0</v>
      </c>
      <c r="J900" s="50">
        <f>SUMIFS('Stock Adjustment'!$E:$E,'Stock Adjustment'!$B:$B,$A900,'Stock Adjustment'!$D:$D,"Damaged")</f>
        <v>0</v>
      </c>
      <c r="K900" s="50">
        <f>SUMIFS('Stock Adjustment'!$E:$E,'Stock Adjustment'!$B:$B,$A900,'Stock Adjustment'!$D:$D,"Expired")</f>
        <v>0</v>
      </c>
      <c r="L900" s="50">
        <f>SUMIFS('Stock Adjustment'!$E:$E,'Stock Adjustment'!$B:$B,$A900,'Stock Adjustment'!$D:$D,"Supplier Returned")</f>
        <v>0</v>
      </c>
      <c r="M9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0" s="53" t="str">
        <f>IF(B900="","",VLOOKUP(B900,'Product Master'!$B:$G,4,FALSE))</f>
        <v/>
      </c>
      <c r="O900" s="53" t="str">
        <f>IF(B900="","",VLOOKUP(B900,'Product Master'!$B:$G,5,FALSE))</f>
        <v/>
      </c>
      <c r="P900" s="50" t="str">
        <f>IF(B900="","",VLOOKUP(B900,'Product Master'!$B:$I,7,FALSE))</f>
        <v/>
      </c>
      <c r="Q900" s="158"/>
      <c r="R900" s="58" t="str">
        <f t="shared" si="14"/>
        <v/>
      </c>
      <c r="S900" s="25"/>
      <c r="T900" s="25"/>
      <c r="U900" s="25"/>
      <c r="V900" s="25"/>
      <c r="W900" s="25"/>
      <c r="X900" s="25"/>
    </row>
    <row r="901" spans="1:24" x14ac:dyDescent="0.25">
      <c r="A901" s="31" t="s">
        <v>1461</v>
      </c>
      <c r="B901" s="32"/>
      <c r="C901" s="50" t="str">
        <f>IF(B901="","",VLOOKUP(B901,'Product Master'!$B:$G,2,FALSE))</f>
        <v/>
      </c>
      <c r="D901" s="50" t="str">
        <f>IF(B901="","",VLOOKUP(B901,'Product Master'!$B:$G,3,FALSE))</f>
        <v/>
      </c>
      <c r="E901" s="50"/>
      <c r="F901" s="50">
        <f>SUMIF('Stock Purchase'!$D:$D,B901,'Stock Purchase'!$F:$F)</f>
        <v>0</v>
      </c>
      <c r="G901" s="50">
        <f>SUMIFS('Stock Adjustment'!$E:$E,'Stock Adjustment'!$B:$B,$A901,'Stock Adjustment'!$D:$D,"Customer Returned")</f>
        <v>0</v>
      </c>
      <c r="H901" s="50">
        <f>SUMIF('Daily Sales Entry'!$D:$D,B901,'Daily Sales Entry'!$G:$G)</f>
        <v>0</v>
      </c>
      <c r="I901" s="50">
        <f>SUMIFS('Stock Adjustment'!$E:$E,'Stock Adjustment'!$B:$B,$A901,'Stock Adjustment'!$D:$D,"Staff Consumption")</f>
        <v>0</v>
      </c>
      <c r="J901" s="50">
        <f>SUMIFS('Stock Adjustment'!$E:$E,'Stock Adjustment'!$B:$B,$A901,'Stock Adjustment'!$D:$D,"Damaged")</f>
        <v>0</v>
      </c>
      <c r="K901" s="50">
        <f>SUMIFS('Stock Adjustment'!$E:$E,'Stock Adjustment'!$B:$B,$A901,'Stock Adjustment'!$D:$D,"Expired")</f>
        <v>0</v>
      </c>
      <c r="L901" s="50">
        <f>SUMIFS('Stock Adjustment'!$E:$E,'Stock Adjustment'!$B:$B,$A901,'Stock Adjustment'!$D:$D,"Supplier Returned")</f>
        <v>0</v>
      </c>
      <c r="M9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1" s="53" t="str">
        <f>IF(B901="","",VLOOKUP(B901,'Product Master'!$B:$G,4,FALSE))</f>
        <v/>
      </c>
      <c r="O901" s="53" t="str">
        <f>IF(B901="","",VLOOKUP(B901,'Product Master'!$B:$G,5,FALSE))</f>
        <v/>
      </c>
      <c r="P901" s="50" t="str">
        <f>IF(B901="","",VLOOKUP(B901,'Product Master'!$B:$I,7,FALSE))</f>
        <v/>
      </c>
      <c r="Q901" s="158"/>
      <c r="R901" s="58" t="str">
        <f t="shared" si="14"/>
        <v/>
      </c>
      <c r="S901" s="25"/>
      <c r="T901" s="25"/>
      <c r="U901" s="25"/>
      <c r="V901" s="25"/>
      <c r="W901" s="25"/>
      <c r="X901" s="25"/>
    </row>
    <row r="902" spans="1:24" x14ac:dyDescent="0.25">
      <c r="A902" s="31" t="s">
        <v>1462</v>
      </c>
      <c r="B902" s="32"/>
      <c r="C902" s="50" t="str">
        <f>IF(B902="","",VLOOKUP(B902,'Product Master'!$B:$G,2,FALSE))</f>
        <v/>
      </c>
      <c r="D902" s="50" t="str">
        <f>IF(B902="","",VLOOKUP(B902,'Product Master'!$B:$G,3,FALSE))</f>
        <v/>
      </c>
      <c r="E902" s="50"/>
      <c r="F902" s="50">
        <f>SUMIF('Stock Purchase'!$D:$D,B902,'Stock Purchase'!$F:$F)</f>
        <v>0</v>
      </c>
      <c r="G902" s="50">
        <f>SUMIFS('Stock Adjustment'!$E:$E,'Stock Adjustment'!$B:$B,$A902,'Stock Adjustment'!$D:$D,"Customer Returned")</f>
        <v>0</v>
      </c>
      <c r="H902" s="50">
        <f>SUMIF('Daily Sales Entry'!$D:$D,B902,'Daily Sales Entry'!$G:$G)</f>
        <v>0</v>
      </c>
      <c r="I902" s="50">
        <f>SUMIFS('Stock Adjustment'!$E:$E,'Stock Adjustment'!$B:$B,$A902,'Stock Adjustment'!$D:$D,"Staff Consumption")</f>
        <v>0</v>
      </c>
      <c r="J902" s="50">
        <f>SUMIFS('Stock Adjustment'!$E:$E,'Stock Adjustment'!$B:$B,$A902,'Stock Adjustment'!$D:$D,"Damaged")</f>
        <v>0</v>
      </c>
      <c r="K902" s="50">
        <f>SUMIFS('Stock Adjustment'!$E:$E,'Stock Adjustment'!$B:$B,$A902,'Stock Adjustment'!$D:$D,"Expired")</f>
        <v>0</v>
      </c>
      <c r="L902" s="50">
        <f>SUMIFS('Stock Adjustment'!$E:$E,'Stock Adjustment'!$B:$B,$A902,'Stock Adjustment'!$D:$D,"Supplier Returned")</f>
        <v>0</v>
      </c>
      <c r="M9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2" s="53" t="str">
        <f>IF(B902="","",VLOOKUP(B902,'Product Master'!$B:$G,4,FALSE))</f>
        <v/>
      </c>
      <c r="O902" s="53" t="str">
        <f>IF(B902="","",VLOOKUP(B902,'Product Master'!$B:$G,5,FALSE))</f>
        <v/>
      </c>
      <c r="P902" s="50" t="str">
        <f>IF(B902="","",VLOOKUP(B902,'Product Master'!$B:$I,7,FALSE))</f>
        <v/>
      </c>
      <c r="Q902" s="158"/>
      <c r="R902" s="58" t="str">
        <f t="shared" si="14"/>
        <v/>
      </c>
      <c r="S902" s="25"/>
      <c r="T902" s="25"/>
      <c r="U902" s="25"/>
      <c r="V902" s="25"/>
      <c r="W902" s="25"/>
      <c r="X902" s="25"/>
    </row>
    <row r="903" spans="1:24" x14ac:dyDescent="0.25">
      <c r="A903" s="31" t="s">
        <v>1463</v>
      </c>
      <c r="B903" s="32"/>
      <c r="C903" s="50" t="str">
        <f>IF(B903="","",VLOOKUP(B903,'Product Master'!$B:$G,2,FALSE))</f>
        <v/>
      </c>
      <c r="D903" s="50" t="str">
        <f>IF(B903="","",VLOOKUP(B903,'Product Master'!$B:$G,3,FALSE))</f>
        <v/>
      </c>
      <c r="E903" s="50"/>
      <c r="F903" s="50">
        <f>SUMIF('Stock Purchase'!$D:$D,B903,'Stock Purchase'!$F:$F)</f>
        <v>0</v>
      </c>
      <c r="G903" s="50">
        <f>SUMIFS('Stock Adjustment'!$E:$E,'Stock Adjustment'!$B:$B,$A903,'Stock Adjustment'!$D:$D,"Customer Returned")</f>
        <v>0</v>
      </c>
      <c r="H903" s="50">
        <f>SUMIF('Daily Sales Entry'!$D:$D,B903,'Daily Sales Entry'!$G:$G)</f>
        <v>0</v>
      </c>
      <c r="I903" s="50">
        <f>SUMIFS('Stock Adjustment'!$E:$E,'Stock Adjustment'!$B:$B,$A903,'Stock Adjustment'!$D:$D,"Staff Consumption")</f>
        <v>0</v>
      </c>
      <c r="J903" s="50">
        <f>SUMIFS('Stock Adjustment'!$E:$E,'Stock Adjustment'!$B:$B,$A903,'Stock Adjustment'!$D:$D,"Damaged")</f>
        <v>0</v>
      </c>
      <c r="K903" s="50">
        <f>SUMIFS('Stock Adjustment'!$E:$E,'Stock Adjustment'!$B:$B,$A903,'Stock Adjustment'!$D:$D,"Expired")</f>
        <v>0</v>
      </c>
      <c r="L903" s="50">
        <f>SUMIFS('Stock Adjustment'!$E:$E,'Stock Adjustment'!$B:$B,$A903,'Stock Adjustment'!$D:$D,"Supplier Returned")</f>
        <v>0</v>
      </c>
      <c r="M9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3" s="53" t="str">
        <f>IF(B903="","",VLOOKUP(B903,'Product Master'!$B:$G,4,FALSE))</f>
        <v/>
      </c>
      <c r="O903" s="53" t="str">
        <f>IF(B903="","",VLOOKUP(B903,'Product Master'!$B:$G,5,FALSE))</f>
        <v/>
      </c>
      <c r="P903" s="50" t="str">
        <f>IF(B903="","",VLOOKUP(B903,'Product Master'!$B:$I,7,FALSE))</f>
        <v/>
      </c>
      <c r="Q903" s="158"/>
      <c r="R903" s="58" t="str">
        <f t="shared" si="14"/>
        <v/>
      </c>
      <c r="S903" s="25"/>
      <c r="T903" s="25"/>
      <c r="U903" s="25"/>
      <c r="V903" s="25"/>
      <c r="W903" s="25"/>
      <c r="X903" s="25"/>
    </row>
    <row r="904" spans="1:24" x14ac:dyDescent="0.25">
      <c r="A904" s="31" t="s">
        <v>1464</v>
      </c>
      <c r="B904" s="32"/>
      <c r="C904" s="50" t="str">
        <f>IF(B904="","",VLOOKUP(B904,'Product Master'!$B:$G,2,FALSE))</f>
        <v/>
      </c>
      <c r="D904" s="50" t="str">
        <f>IF(B904="","",VLOOKUP(B904,'Product Master'!$B:$G,3,FALSE))</f>
        <v/>
      </c>
      <c r="E904" s="50"/>
      <c r="F904" s="50">
        <f>SUMIF('Stock Purchase'!$D:$D,B904,'Stock Purchase'!$F:$F)</f>
        <v>0</v>
      </c>
      <c r="G904" s="50">
        <f>SUMIFS('Stock Adjustment'!$E:$E,'Stock Adjustment'!$B:$B,$A904,'Stock Adjustment'!$D:$D,"Customer Returned")</f>
        <v>0</v>
      </c>
      <c r="H904" s="50">
        <f>SUMIF('Daily Sales Entry'!$D:$D,B904,'Daily Sales Entry'!$G:$G)</f>
        <v>0</v>
      </c>
      <c r="I904" s="50">
        <f>SUMIFS('Stock Adjustment'!$E:$E,'Stock Adjustment'!$B:$B,$A904,'Stock Adjustment'!$D:$D,"Staff Consumption")</f>
        <v>0</v>
      </c>
      <c r="J904" s="50">
        <f>SUMIFS('Stock Adjustment'!$E:$E,'Stock Adjustment'!$B:$B,$A904,'Stock Adjustment'!$D:$D,"Damaged")</f>
        <v>0</v>
      </c>
      <c r="K904" s="50">
        <f>SUMIFS('Stock Adjustment'!$E:$E,'Stock Adjustment'!$B:$B,$A904,'Stock Adjustment'!$D:$D,"Expired")</f>
        <v>0</v>
      </c>
      <c r="L904" s="50">
        <f>SUMIFS('Stock Adjustment'!$E:$E,'Stock Adjustment'!$B:$B,$A904,'Stock Adjustment'!$D:$D,"Supplier Returned")</f>
        <v>0</v>
      </c>
      <c r="M9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4" s="53" t="str">
        <f>IF(B904="","",VLOOKUP(B904,'Product Master'!$B:$G,4,FALSE))</f>
        <v/>
      </c>
      <c r="O904" s="53" t="str">
        <f>IF(B904="","",VLOOKUP(B904,'Product Master'!$B:$G,5,FALSE))</f>
        <v/>
      </c>
      <c r="P904" s="50" t="str">
        <f>IF(B904="","",VLOOKUP(B904,'Product Master'!$B:$I,7,FALSE))</f>
        <v/>
      </c>
      <c r="Q904" s="158"/>
      <c r="R904" s="58" t="str">
        <f t="shared" si="14"/>
        <v/>
      </c>
      <c r="S904" s="25"/>
      <c r="T904" s="25"/>
      <c r="U904" s="25"/>
      <c r="V904" s="25"/>
      <c r="W904" s="25"/>
      <c r="X904" s="25"/>
    </row>
    <row r="905" spans="1:24" x14ac:dyDescent="0.25">
      <c r="A905" s="31" t="s">
        <v>1465</v>
      </c>
      <c r="B905" s="32"/>
      <c r="C905" s="50" t="str">
        <f>IF(B905="","",VLOOKUP(B905,'Product Master'!$B:$G,2,FALSE))</f>
        <v/>
      </c>
      <c r="D905" s="50" t="str">
        <f>IF(B905="","",VLOOKUP(B905,'Product Master'!$B:$G,3,FALSE))</f>
        <v/>
      </c>
      <c r="E905" s="50"/>
      <c r="F905" s="50">
        <f>SUMIF('Stock Purchase'!$D:$D,B905,'Stock Purchase'!$F:$F)</f>
        <v>0</v>
      </c>
      <c r="G905" s="50">
        <f>SUMIFS('Stock Adjustment'!$E:$E,'Stock Adjustment'!$B:$B,$A905,'Stock Adjustment'!$D:$D,"Customer Returned")</f>
        <v>0</v>
      </c>
      <c r="H905" s="50">
        <f>SUMIF('Daily Sales Entry'!$D:$D,B905,'Daily Sales Entry'!$G:$G)</f>
        <v>0</v>
      </c>
      <c r="I905" s="50">
        <f>SUMIFS('Stock Adjustment'!$E:$E,'Stock Adjustment'!$B:$B,$A905,'Stock Adjustment'!$D:$D,"Staff Consumption")</f>
        <v>0</v>
      </c>
      <c r="J905" s="50">
        <f>SUMIFS('Stock Adjustment'!$E:$E,'Stock Adjustment'!$B:$B,$A905,'Stock Adjustment'!$D:$D,"Damaged")</f>
        <v>0</v>
      </c>
      <c r="K905" s="50">
        <f>SUMIFS('Stock Adjustment'!$E:$E,'Stock Adjustment'!$B:$B,$A905,'Stock Adjustment'!$D:$D,"Expired")</f>
        <v>0</v>
      </c>
      <c r="L905" s="50">
        <f>SUMIFS('Stock Adjustment'!$E:$E,'Stock Adjustment'!$B:$B,$A905,'Stock Adjustment'!$D:$D,"Supplier Returned")</f>
        <v>0</v>
      </c>
      <c r="M9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5" s="53" t="str">
        <f>IF(B905="","",VLOOKUP(B905,'Product Master'!$B:$G,4,FALSE))</f>
        <v/>
      </c>
      <c r="O905" s="53" t="str">
        <f>IF(B905="","",VLOOKUP(B905,'Product Master'!$B:$G,5,FALSE))</f>
        <v/>
      </c>
      <c r="P905" s="50" t="str">
        <f>IF(B905="","",VLOOKUP(B905,'Product Master'!$B:$I,7,FALSE))</f>
        <v/>
      </c>
      <c r="Q905" s="158"/>
      <c r="R905" s="58" t="str">
        <f t="shared" si="14"/>
        <v/>
      </c>
      <c r="S905" s="25"/>
      <c r="T905" s="25"/>
      <c r="U905" s="25"/>
      <c r="V905" s="25"/>
      <c r="W905" s="25"/>
      <c r="X905" s="25"/>
    </row>
    <row r="906" spans="1:24" x14ac:dyDescent="0.25">
      <c r="A906" s="31" t="s">
        <v>1466</v>
      </c>
      <c r="B906" s="32"/>
      <c r="C906" s="50" t="str">
        <f>IF(B906="","",VLOOKUP(B906,'Product Master'!$B:$G,2,FALSE))</f>
        <v/>
      </c>
      <c r="D906" s="50" t="str">
        <f>IF(B906="","",VLOOKUP(B906,'Product Master'!$B:$G,3,FALSE))</f>
        <v/>
      </c>
      <c r="E906" s="50"/>
      <c r="F906" s="50">
        <f>SUMIF('Stock Purchase'!$D:$D,B906,'Stock Purchase'!$F:$F)</f>
        <v>0</v>
      </c>
      <c r="G906" s="50">
        <f>SUMIFS('Stock Adjustment'!$E:$E,'Stock Adjustment'!$B:$B,$A906,'Stock Adjustment'!$D:$D,"Customer Returned")</f>
        <v>0</v>
      </c>
      <c r="H906" s="50">
        <f>SUMIF('Daily Sales Entry'!$D:$D,B906,'Daily Sales Entry'!$G:$G)</f>
        <v>0</v>
      </c>
      <c r="I906" s="50">
        <f>SUMIFS('Stock Adjustment'!$E:$E,'Stock Adjustment'!$B:$B,$A906,'Stock Adjustment'!$D:$D,"Staff Consumption")</f>
        <v>0</v>
      </c>
      <c r="J906" s="50">
        <f>SUMIFS('Stock Adjustment'!$E:$E,'Stock Adjustment'!$B:$B,$A906,'Stock Adjustment'!$D:$D,"Damaged")</f>
        <v>0</v>
      </c>
      <c r="K906" s="50">
        <f>SUMIFS('Stock Adjustment'!$E:$E,'Stock Adjustment'!$B:$B,$A906,'Stock Adjustment'!$D:$D,"Expired")</f>
        <v>0</v>
      </c>
      <c r="L906" s="50">
        <f>SUMIFS('Stock Adjustment'!$E:$E,'Stock Adjustment'!$B:$B,$A906,'Stock Adjustment'!$D:$D,"Supplier Returned")</f>
        <v>0</v>
      </c>
      <c r="M9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6" s="53" t="str">
        <f>IF(B906="","",VLOOKUP(B906,'Product Master'!$B:$G,4,FALSE))</f>
        <v/>
      </c>
      <c r="O906" s="53" t="str">
        <f>IF(B906="","",VLOOKUP(B906,'Product Master'!$B:$G,5,FALSE))</f>
        <v/>
      </c>
      <c r="P906" s="50" t="str">
        <f>IF(B906="","",VLOOKUP(B906,'Product Master'!$B:$I,7,FALSE))</f>
        <v/>
      </c>
      <c r="Q906" s="158"/>
      <c r="R906" s="58" t="str">
        <f t="shared" si="14"/>
        <v/>
      </c>
      <c r="S906" s="25"/>
      <c r="T906" s="25"/>
      <c r="U906" s="25"/>
      <c r="V906" s="25"/>
      <c r="W906" s="25"/>
      <c r="X906" s="25"/>
    </row>
    <row r="907" spans="1:24" x14ac:dyDescent="0.25">
      <c r="A907" s="31" t="s">
        <v>1467</v>
      </c>
      <c r="B907" s="32"/>
      <c r="C907" s="50" t="str">
        <f>IF(B907="","",VLOOKUP(B907,'Product Master'!$B:$G,2,FALSE))</f>
        <v/>
      </c>
      <c r="D907" s="50" t="str">
        <f>IF(B907="","",VLOOKUP(B907,'Product Master'!$B:$G,3,FALSE))</f>
        <v/>
      </c>
      <c r="E907" s="50"/>
      <c r="F907" s="50">
        <f>SUMIF('Stock Purchase'!$D:$D,B907,'Stock Purchase'!$F:$F)</f>
        <v>0</v>
      </c>
      <c r="G907" s="50">
        <f>SUMIFS('Stock Adjustment'!$E:$E,'Stock Adjustment'!$B:$B,$A907,'Stock Adjustment'!$D:$D,"Customer Returned")</f>
        <v>0</v>
      </c>
      <c r="H907" s="50">
        <f>SUMIF('Daily Sales Entry'!$D:$D,B907,'Daily Sales Entry'!$G:$G)</f>
        <v>0</v>
      </c>
      <c r="I907" s="50">
        <f>SUMIFS('Stock Adjustment'!$E:$E,'Stock Adjustment'!$B:$B,$A907,'Stock Adjustment'!$D:$D,"Staff Consumption")</f>
        <v>0</v>
      </c>
      <c r="J907" s="50">
        <f>SUMIFS('Stock Adjustment'!$E:$E,'Stock Adjustment'!$B:$B,$A907,'Stock Adjustment'!$D:$D,"Damaged")</f>
        <v>0</v>
      </c>
      <c r="K907" s="50">
        <f>SUMIFS('Stock Adjustment'!$E:$E,'Stock Adjustment'!$B:$B,$A907,'Stock Adjustment'!$D:$D,"Expired")</f>
        <v>0</v>
      </c>
      <c r="L907" s="50">
        <f>SUMIFS('Stock Adjustment'!$E:$E,'Stock Adjustment'!$B:$B,$A907,'Stock Adjustment'!$D:$D,"Supplier Returned")</f>
        <v>0</v>
      </c>
      <c r="M9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7" s="53" t="str">
        <f>IF(B907="","",VLOOKUP(B907,'Product Master'!$B:$G,4,FALSE))</f>
        <v/>
      </c>
      <c r="O907" s="53" t="str">
        <f>IF(B907="","",VLOOKUP(B907,'Product Master'!$B:$G,5,FALSE))</f>
        <v/>
      </c>
      <c r="P907" s="50" t="str">
        <f>IF(B907="","",VLOOKUP(B907,'Product Master'!$B:$I,7,FALSE))</f>
        <v/>
      </c>
      <c r="Q907" s="158"/>
      <c r="R907" s="58" t="str">
        <f t="shared" si="14"/>
        <v/>
      </c>
      <c r="S907" s="25"/>
      <c r="T907" s="25"/>
      <c r="U907" s="25"/>
      <c r="V907" s="25"/>
      <c r="W907" s="25"/>
      <c r="X907" s="25"/>
    </row>
    <row r="908" spans="1:24" x14ac:dyDescent="0.25">
      <c r="A908" s="31" t="s">
        <v>1468</v>
      </c>
      <c r="B908" s="32"/>
      <c r="C908" s="50" t="str">
        <f>IF(B908="","",VLOOKUP(B908,'Product Master'!$B:$G,2,FALSE))</f>
        <v/>
      </c>
      <c r="D908" s="50" t="str">
        <f>IF(B908="","",VLOOKUP(B908,'Product Master'!$B:$G,3,FALSE))</f>
        <v/>
      </c>
      <c r="E908" s="50"/>
      <c r="F908" s="50">
        <f>SUMIF('Stock Purchase'!$D:$D,B908,'Stock Purchase'!$F:$F)</f>
        <v>0</v>
      </c>
      <c r="G908" s="50">
        <f>SUMIFS('Stock Adjustment'!$E:$E,'Stock Adjustment'!$B:$B,$A908,'Stock Adjustment'!$D:$D,"Customer Returned")</f>
        <v>0</v>
      </c>
      <c r="H908" s="50">
        <f>SUMIF('Daily Sales Entry'!$D:$D,B908,'Daily Sales Entry'!$G:$G)</f>
        <v>0</v>
      </c>
      <c r="I908" s="50">
        <f>SUMIFS('Stock Adjustment'!$E:$E,'Stock Adjustment'!$B:$B,$A908,'Stock Adjustment'!$D:$D,"Staff Consumption")</f>
        <v>0</v>
      </c>
      <c r="J908" s="50">
        <f>SUMIFS('Stock Adjustment'!$E:$E,'Stock Adjustment'!$B:$B,$A908,'Stock Adjustment'!$D:$D,"Damaged")</f>
        <v>0</v>
      </c>
      <c r="K908" s="50">
        <f>SUMIFS('Stock Adjustment'!$E:$E,'Stock Adjustment'!$B:$B,$A908,'Stock Adjustment'!$D:$D,"Expired")</f>
        <v>0</v>
      </c>
      <c r="L908" s="50">
        <f>SUMIFS('Stock Adjustment'!$E:$E,'Stock Adjustment'!$B:$B,$A908,'Stock Adjustment'!$D:$D,"Supplier Returned")</f>
        <v>0</v>
      </c>
      <c r="M9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8" s="53" t="str">
        <f>IF(B908="","",VLOOKUP(B908,'Product Master'!$B:$G,4,FALSE))</f>
        <v/>
      </c>
      <c r="O908" s="53" t="str">
        <f>IF(B908="","",VLOOKUP(B908,'Product Master'!$B:$G,5,FALSE))</f>
        <v/>
      </c>
      <c r="P908" s="50" t="str">
        <f>IF(B908="","",VLOOKUP(B908,'Product Master'!$B:$I,7,FALSE))</f>
        <v/>
      </c>
      <c r="Q908" s="158"/>
      <c r="R908" s="58" t="str">
        <f t="shared" si="14"/>
        <v/>
      </c>
      <c r="S908" s="25"/>
      <c r="T908" s="25"/>
      <c r="U908" s="25"/>
      <c r="V908" s="25"/>
      <c r="W908" s="25"/>
      <c r="X908" s="25"/>
    </row>
    <row r="909" spans="1:24" x14ac:dyDescent="0.25">
      <c r="A909" s="31" t="s">
        <v>1469</v>
      </c>
      <c r="B909" s="32"/>
      <c r="C909" s="50" t="str">
        <f>IF(B909="","",VLOOKUP(B909,'Product Master'!$B:$G,2,FALSE))</f>
        <v/>
      </c>
      <c r="D909" s="50" t="str">
        <f>IF(B909="","",VLOOKUP(B909,'Product Master'!$B:$G,3,FALSE))</f>
        <v/>
      </c>
      <c r="E909" s="50"/>
      <c r="F909" s="50">
        <f>SUMIF('Stock Purchase'!$D:$D,B909,'Stock Purchase'!$F:$F)</f>
        <v>0</v>
      </c>
      <c r="G909" s="50">
        <f>SUMIFS('Stock Adjustment'!$E:$E,'Stock Adjustment'!$B:$B,$A909,'Stock Adjustment'!$D:$D,"Customer Returned")</f>
        <v>0</v>
      </c>
      <c r="H909" s="50">
        <f>SUMIF('Daily Sales Entry'!$D:$D,B909,'Daily Sales Entry'!$G:$G)</f>
        <v>0</v>
      </c>
      <c r="I909" s="50">
        <f>SUMIFS('Stock Adjustment'!$E:$E,'Stock Adjustment'!$B:$B,$A909,'Stock Adjustment'!$D:$D,"Staff Consumption")</f>
        <v>0</v>
      </c>
      <c r="J909" s="50">
        <f>SUMIFS('Stock Adjustment'!$E:$E,'Stock Adjustment'!$B:$B,$A909,'Stock Adjustment'!$D:$D,"Damaged")</f>
        <v>0</v>
      </c>
      <c r="K909" s="50">
        <f>SUMIFS('Stock Adjustment'!$E:$E,'Stock Adjustment'!$B:$B,$A909,'Stock Adjustment'!$D:$D,"Expired")</f>
        <v>0</v>
      </c>
      <c r="L909" s="50">
        <f>SUMIFS('Stock Adjustment'!$E:$E,'Stock Adjustment'!$B:$B,$A909,'Stock Adjustment'!$D:$D,"Supplier Returned")</f>
        <v>0</v>
      </c>
      <c r="M9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09" s="53" t="str">
        <f>IF(B909="","",VLOOKUP(B909,'Product Master'!$B:$G,4,FALSE))</f>
        <v/>
      </c>
      <c r="O909" s="53" t="str">
        <f>IF(B909="","",VLOOKUP(B909,'Product Master'!$B:$G,5,FALSE))</f>
        <v/>
      </c>
      <c r="P909" s="50" t="str">
        <f>IF(B909="","",VLOOKUP(B909,'Product Master'!$B:$I,7,FALSE))</f>
        <v/>
      </c>
      <c r="Q909" s="158"/>
      <c r="R909" s="58" t="str">
        <f t="shared" si="14"/>
        <v/>
      </c>
      <c r="S909" s="25"/>
      <c r="T909" s="25"/>
      <c r="U909" s="25"/>
      <c r="V909" s="25"/>
      <c r="W909" s="25"/>
      <c r="X909" s="25"/>
    </row>
    <row r="910" spans="1:24" x14ac:dyDescent="0.25">
      <c r="A910" s="31" t="s">
        <v>1470</v>
      </c>
      <c r="B910" s="32"/>
      <c r="C910" s="50" t="str">
        <f>IF(B910="","",VLOOKUP(B910,'Product Master'!$B:$G,2,FALSE))</f>
        <v/>
      </c>
      <c r="D910" s="50" t="str">
        <f>IF(B910="","",VLOOKUP(B910,'Product Master'!$B:$G,3,FALSE))</f>
        <v/>
      </c>
      <c r="E910" s="50"/>
      <c r="F910" s="50">
        <f>SUMIF('Stock Purchase'!$D:$D,B910,'Stock Purchase'!$F:$F)</f>
        <v>0</v>
      </c>
      <c r="G910" s="50">
        <f>SUMIFS('Stock Adjustment'!$E:$E,'Stock Adjustment'!$B:$B,$A910,'Stock Adjustment'!$D:$D,"Customer Returned")</f>
        <v>0</v>
      </c>
      <c r="H910" s="50">
        <f>SUMIF('Daily Sales Entry'!$D:$D,B910,'Daily Sales Entry'!$G:$G)</f>
        <v>0</v>
      </c>
      <c r="I910" s="50">
        <f>SUMIFS('Stock Adjustment'!$E:$E,'Stock Adjustment'!$B:$B,$A910,'Stock Adjustment'!$D:$D,"Staff Consumption")</f>
        <v>0</v>
      </c>
      <c r="J910" s="50">
        <f>SUMIFS('Stock Adjustment'!$E:$E,'Stock Adjustment'!$B:$B,$A910,'Stock Adjustment'!$D:$D,"Damaged")</f>
        <v>0</v>
      </c>
      <c r="K910" s="50">
        <f>SUMIFS('Stock Adjustment'!$E:$E,'Stock Adjustment'!$B:$B,$A910,'Stock Adjustment'!$D:$D,"Expired")</f>
        <v>0</v>
      </c>
      <c r="L910" s="50">
        <f>SUMIFS('Stock Adjustment'!$E:$E,'Stock Adjustment'!$B:$B,$A910,'Stock Adjustment'!$D:$D,"Supplier Returned")</f>
        <v>0</v>
      </c>
      <c r="M9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0" s="53" t="str">
        <f>IF(B910="","",VLOOKUP(B910,'Product Master'!$B:$G,4,FALSE))</f>
        <v/>
      </c>
      <c r="O910" s="53" t="str">
        <f>IF(B910="","",VLOOKUP(B910,'Product Master'!$B:$G,5,FALSE))</f>
        <v/>
      </c>
      <c r="P910" s="50" t="str">
        <f>IF(B910="","",VLOOKUP(B910,'Product Master'!$B:$I,7,FALSE))</f>
        <v/>
      </c>
      <c r="Q910" s="158"/>
      <c r="R910" s="58" t="str">
        <f t="shared" si="14"/>
        <v/>
      </c>
      <c r="S910" s="25"/>
      <c r="T910" s="25"/>
      <c r="U910" s="25"/>
      <c r="V910" s="25"/>
      <c r="W910" s="25"/>
      <c r="X910" s="25"/>
    </row>
    <row r="911" spans="1:24" x14ac:dyDescent="0.25">
      <c r="A911" s="31" t="s">
        <v>1471</v>
      </c>
      <c r="B911" s="32"/>
      <c r="C911" s="50" t="str">
        <f>IF(B911="","",VLOOKUP(B911,'Product Master'!$B:$G,2,FALSE))</f>
        <v/>
      </c>
      <c r="D911" s="50" t="str">
        <f>IF(B911="","",VLOOKUP(B911,'Product Master'!$B:$G,3,FALSE))</f>
        <v/>
      </c>
      <c r="E911" s="50"/>
      <c r="F911" s="50">
        <f>SUMIF('Stock Purchase'!$D:$D,B911,'Stock Purchase'!$F:$F)</f>
        <v>0</v>
      </c>
      <c r="G911" s="50">
        <f>SUMIFS('Stock Adjustment'!$E:$E,'Stock Adjustment'!$B:$B,$A911,'Stock Adjustment'!$D:$D,"Customer Returned")</f>
        <v>0</v>
      </c>
      <c r="H911" s="50">
        <f>SUMIF('Daily Sales Entry'!$D:$D,B911,'Daily Sales Entry'!$G:$G)</f>
        <v>0</v>
      </c>
      <c r="I911" s="50">
        <f>SUMIFS('Stock Adjustment'!$E:$E,'Stock Adjustment'!$B:$B,$A911,'Stock Adjustment'!$D:$D,"Staff Consumption")</f>
        <v>0</v>
      </c>
      <c r="J911" s="50">
        <f>SUMIFS('Stock Adjustment'!$E:$E,'Stock Adjustment'!$B:$B,$A911,'Stock Adjustment'!$D:$D,"Damaged")</f>
        <v>0</v>
      </c>
      <c r="K911" s="50">
        <f>SUMIFS('Stock Adjustment'!$E:$E,'Stock Adjustment'!$B:$B,$A911,'Stock Adjustment'!$D:$D,"Expired")</f>
        <v>0</v>
      </c>
      <c r="L911" s="50">
        <f>SUMIFS('Stock Adjustment'!$E:$E,'Stock Adjustment'!$B:$B,$A911,'Stock Adjustment'!$D:$D,"Supplier Returned")</f>
        <v>0</v>
      </c>
      <c r="M9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1" s="53" t="str">
        <f>IF(B911="","",VLOOKUP(B911,'Product Master'!$B:$G,4,FALSE))</f>
        <v/>
      </c>
      <c r="O911" s="53" t="str">
        <f>IF(B911="","",VLOOKUP(B911,'Product Master'!$B:$G,5,FALSE))</f>
        <v/>
      </c>
      <c r="P911" s="50" t="str">
        <f>IF(B911="","",VLOOKUP(B911,'Product Master'!$B:$I,7,FALSE))</f>
        <v/>
      </c>
      <c r="Q911" s="158"/>
      <c r="R911" s="58" t="str">
        <f t="shared" si="14"/>
        <v/>
      </c>
      <c r="S911" s="25"/>
      <c r="T911" s="25"/>
      <c r="U911" s="25"/>
      <c r="V911" s="25"/>
      <c r="W911" s="25"/>
      <c r="X911" s="25"/>
    </row>
    <row r="912" spans="1:24" x14ac:dyDescent="0.25">
      <c r="A912" s="31" t="s">
        <v>1472</v>
      </c>
      <c r="B912" s="32"/>
      <c r="C912" s="50" t="str">
        <f>IF(B912="","",VLOOKUP(B912,'Product Master'!$B:$G,2,FALSE))</f>
        <v/>
      </c>
      <c r="D912" s="50" t="str">
        <f>IF(B912="","",VLOOKUP(B912,'Product Master'!$B:$G,3,FALSE))</f>
        <v/>
      </c>
      <c r="E912" s="50"/>
      <c r="F912" s="50">
        <f>SUMIF('Stock Purchase'!$D:$D,B912,'Stock Purchase'!$F:$F)</f>
        <v>0</v>
      </c>
      <c r="G912" s="50">
        <f>SUMIFS('Stock Adjustment'!$E:$E,'Stock Adjustment'!$B:$B,$A912,'Stock Adjustment'!$D:$D,"Customer Returned")</f>
        <v>0</v>
      </c>
      <c r="H912" s="50">
        <f>SUMIF('Daily Sales Entry'!$D:$D,B912,'Daily Sales Entry'!$G:$G)</f>
        <v>0</v>
      </c>
      <c r="I912" s="50">
        <f>SUMIFS('Stock Adjustment'!$E:$E,'Stock Adjustment'!$B:$B,$A912,'Stock Adjustment'!$D:$D,"Staff Consumption")</f>
        <v>0</v>
      </c>
      <c r="J912" s="50">
        <f>SUMIFS('Stock Adjustment'!$E:$E,'Stock Adjustment'!$B:$B,$A912,'Stock Adjustment'!$D:$D,"Damaged")</f>
        <v>0</v>
      </c>
      <c r="K912" s="50">
        <f>SUMIFS('Stock Adjustment'!$E:$E,'Stock Adjustment'!$B:$B,$A912,'Stock Adjustment'!$D:$D,"Expired")</f>
        <v>0</v>
      </c>
      <c r="L912" s="50">
        <f>SUMIFS('Stock Adjustment'!$E:$E,'Stock Adjustment'!$B:$B,$A912,'Stock Adjustment'!$D:$D,"Supplier Returned")</f>
        <v>0</v>
      </c>
      <c r="M9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2" s="53" t="str">
        <f>IF(B912="","",VLOOKUP(B912,'Product Master'!$B:$G,4,FALSE))</f>
        <v/>
      </c>
      <c r="O912" s="53" t="str">
        <f>IF(B912="","",VLOOKUP(B912,'Product Master'!$B:$G,5,FALSE))</f>
        <v/>
      </c>
      <c r="P912" s="50" t="str">
        <f>IF(B912="","",VLOOKUP(B912,'Product Master'!$B:$I,7,FALSE))</f>
        <v/>
      </c>
      <c r="Q912" s="158"/>
      <c r="R912" s="58" t="str">
        <f t="shared" si="14"/>
        <v/>
      </c>
      <c r="S912" s="25"/>
      <c r="T912" s="25"/>
      <c r="U912" s="25"/>
      <c r="V912" s="25"/>
      <c r="W912" s="25"/>
      <c r="X912" s="25"/>
    </row>
    <row r="913" spans="1:24" x14ac:dyDescent="0.25">
      <c r="A913" s="31" t="s">
        <v>1473</v>
      </c>
      <c r="B913" s="32"/>
      <c r="C913" s="50" t="str">
        <f>IF(B913="","",VLOOKUP(B913,'Product Master'!$B:$G,2,FALSE))</f>
        <v/>
      </c>
      <c r="D913" s="50" t="str">
        <f>IF(B913="","",VLOOKUP(B913,'Product Master'!$B:$G,3,FALSE))</f>
        <v/>
      </c>
      <c r="E913" s="50"/>
      <c r="F913" s="50">
        <f>SUMIF('Stock Purchase'!$D:$D,B913,'Stock Purchase'!$F:$F)</f>
        <v>0</v>
      </c>
      <c r="G913" s="50">
        <f>SUMIFS('Stock Adjustment'!$E:$E,'Stock Adjustment'!$B:$B,$A913,'Stock Adjustment'!$D:$D,"Customer Returned")</f>
        <v>0</v>
      </c>
      <c r="H913" s="50">
        <f>SUMIF('Daily Sales Entry'!$D:$D,B913,'Daily Sales Entry'!$G:$G)</f>
        <v>0</v>
      </c>
      <c r="I913" s="50">
        <f>SUMIFS('Stock Adjustment'!$E:$E,'Stock Adjustment'!$B:$B,$A913,'Stock Adjustment'!$D:$D,"Staff Consumption")</f>
        <v>0</v>
      </c>
      <c r="J913" s="50">
        <f>SUMIFS('Stock Adjustment'!$E:$E,'Stock Adjustment'!$B:$B,$A913,'Stock Adjustment'!$D:$D,"Damaged")</f>
        <v>0</v>
      </c>
      <c r="K913" s="50">
        <f>SUMIFS('Stock Adjustment'!$E:$E,'Stock Adjustment'!$B:$B,$A913,'Stock Adjustment'!$D:$D,"Expired")</f>
        <v>0</v>
      </c>
      <c r="L913" s="50">
        <f>SUMIFS('Stock Adjustment'!$E:$E,'Stock Adjustment'!$B:$B,$A913,'Stock Adjustment'!$D:$D,"Supplier Returned")</f>
        <v>0</v>
      </c>
      <c r="M9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3" s="53" t="str">
        <f>IF(B913="","",VLOOKUP(B913,'Product Master'!$B:$G,4,FALSE))</f>
        <v/>
      </c>
      <c r="O913" s="53" t="str">
        <f>IF(B913="","",VLOOKUP(B913,'Product Master'!$B:$G,5,FALSE))</f>
        <v/>
      </c>
      <c r="P913" s="50" t="str">
        <f>IF(B913="","",VLOOKUP(B913,'Product Master'!$B:$I,7,FALSE))</f>
        <v/>
      </c>
      <c r="Q913" s="158"/>
      <c r="R913" s="58" t="str">
        <f t="shared" si="14"/>
        <v/>
      </c>
      <c r="S913" s="25"/>
      <c r="T913" s="25"/>
      <c r="U913" s="25"/>
      <c r="V913" s="25"/>
      <c r="W913" s="25"/>
      <c r="X913" s="25"/>
    </row>
    <row r="914" spans="1:24" x14ac:dyDescent="0.25">
      <c r="A914" s="31" t="s">
        <v>1474</v>
      </c>
      <c r="B914" s="32"/>
      <c r="C914" s="50" t="str">
        <f>IF(B914="","",VLOOKUP(B914,'Product Master'!$B:$G,2,FALSE))</f>
        <v/>
      </c>
      <c r="D914" s="50" t="str">
        <f>IF(B914="","",VLOOKUP(B914,'Product Master'!$B:$G,3,FALSE))</f>
        <v/>
      </c>
      <c r="E914" s="50"/>
      <c r="F914" s="50">
        <f>SUMIF('Stock Purchase'!$D:$D,B914,'Stock Purchase'!$F:$F)</f>
        <v>0</v>
      </c>
      <c r="G914" s="50">
        <f>SUMIFS('Stock Adjustment'!$E:$E,'Stock Adjustment'!$B:$B,$A914,'Stock Adjustment'!$D:$D,"Customer Returned")</f>
        <v>0</v>
      </c>
      <c r="H914" s="50">
        <f>SUMIF('Daily Sales Entry'!$D:$D,B914,'Daily Sales Entry'!$G:$G)</f>
        <v>0</v>
      </c>
      <c r="I914" s="50">
        <f>SUMIFS('Stock Adjustment'!$E:$E,'Stock Adjustment'!$B:$B,$A914,'Stock Adjustment'!$D:$D,"Staff Consumption")</f>
        <v>0</v>
      </c>
      <c r="J914" s="50">
        <f>SUMIFS('Stock Adjustment'!$E:$E,'Stock Adjustment'!$B:$B,$A914,'Stock Adjustment'!$D:$D,"Damaged")</f>
        <v>0</v>
      </c>
      <c r="K914" s="50">
        <f>SUMIFS('Stock Adjustment'!$E:$E,'Stock Adjustment'!$B:$B,$A914,'Stock Adjustment'!$D:$D,"Expired")</f>
        <v>0</v>
      </c>
      <c r="L914" s="50">
        <f>SUMIFS('Stock Adjustment'!$E:$E,'Stock Adjustment'!$B:$B,$A914,'Stock Adjustment'!$D:$D,"Supplier Returned")</f>
        <v>0</v>
      </c>
      <c r="M9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4" s="53" t="str">
        <f>IF(B914="","",VLOOKUP(B914,'Product Master'!$B:$G,4,FALSE))</f>
        <v/>
      </c>
      <c r="O914" s="53" t="str">
        <f>IF(B914="","",VLOOKUP(B914,'Product Master'!$B:$G,5,FALSE))</f>
        <v/>
      </c>
      <c r="P914" s="50" t="str">
        <f>IF(B914="","",VLOOKUP(B914,'Product Master'!$B:$I,7,FALSE))</f>
        <v/>
      </c>
      <c r="Q914" s="158"/>
      <c r="R914" s="58" t="str">
        <f t="shared" si="14"/>
        <v/>
      </c>
      <c r="S914" s="25"/>
      <c r="T914" s="25"/>
      <c r="U914" s="25"/>
      <c r="V914" s="25"/>
      <c r="W914" s="25"/>
      <c r="X914" s="25"/>
    </row>
    <row r="915" spans="1:24" x14ac:dyDescent="0.25">
      <c r="A915" s="31" t="s">
        <v>1475</v>
      </c>
      <c r="B915" s="32"/>
      <c r="C915" s="50" t="str">
        <f>IF(B915="","",VLOOKUP(B915,'Product Master'!$B:$G,2,FALSE))</f>
        <v/>
      </c>
      <c r="D915" s="50" t="str">
        <f>IF(B915="","",VLOOKUP(B915,'Product Master'!$B:$G,3,FALSE))</f>
        <v/>
      </c>
      <c r="E915" s="50"/>
      <c r="F915" s="50">
        <f>SUMIF('Stock Purchase'!$D:$D,B915,'Stock Purchase'!$F:$F)</f>
        <v>0</v>
      </c>
      <c r="G915" s="50">
        <f>SUMIFS('Stock Adjustment'!$E:$E,'Stock Adjustment'!$B:$B,$A915,'Stock Adjustment'!$D:$D,"Customer Returned")</f>
        <v>0</v>
      </c>
      <c r="H915" s="50">
        <f>SUMIF('Daily Sales Entry'!$D:$D,B915,'Daily Sales Entry'!$G:$G)</f>
        <v>0</v>
      </c>
      <c r="I915" s="50">
        <f>SUMIFS('Stock Adjustment'!$E:$E,'Stock Adjustment'!$B:$B,$A915,'Stock Adjustment'!$D:$D,"Staff Consumption")</f>
        <v>0</v>
      </c>
      <c r="J915" s="50">
        <f>SUMIFS('Stock Adjustment'!$E:$E,'Stock Adjustment'!$B:$B,$A915,'Stock Adjustment'!$D:$D,"Damaged")</f>
        <v>0</v>
      </c>
      <c r="K915" s="50">
        <f>SUMIFS('Stock Adjustment'!$E:$E,'Stock Adjustment'!$B:$B,$A915,'Stock Adjustment'!$D:$D,"Expired")</f>
        <v>0</v>
      </c>
      <c r="L915" s="50">
        <f>SUMIFS('Stock Adjustment'!$E:$E,'Stock Adjustment'!$B:$B,$A915,'Stock Adjustment'!$D:$D,"Supplier Returned")</f>
        <v>0</v>
      </c>
      <c r="M9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5" s="53" t="str">
        <f>IF(B915="","",VLOOKUP(B915,'Product Master'!$B:$G,4,FALSE))</f>
        <v/>
      </c>
      <c r="O915" s="53" t="str">
        <f>IF(B915="","",VLOOKUP(B915,'Product Master'!$B:$G,5,FALSE))</f>
        <v/>
      </c>
      <c r="P915" s="50" t="str">
        <f>IF(B915="","",VLOOKUP(B915,'Product Master'!$B:$I,7,FALSE))</f>
        <v/>
      </c>
      <c r="Q915" s="158"/>
      <c r="R915" s="58" t="str">
        <f t="shared" si="14"/>
        <v/>
      </c>
      <c r="S915" s="25"/>
      <c r="T915" s="25"/>
      <c r="U915" s="25"/>
      <c r="V915" s="25"/>
      <c r="W915" s="25"/>
      <c r="X915" s="25"/>
    </row>
    <row r="916" spans="1:24" x14ac:dyDescent="0.25">
      <c r="A916" s="31" t="s">
        <v>1476</v>
      </c>
      <c r="B916" s="32"/>
      <c r="C916" s="50" t="str">
        <f>IF(B916="","",VLOOKUP(B916,'Product Master'!$B:$G,2,FALSE))</f>
        <v/>
      </c>
      <c r="D916" s="50" t="str">
        <f>IF(B916="","",VLOOKUP(B916,'Product Master'!$B:$G,3,FALSE))</f>
        <v/>
      </c>
      <c r="E916" s="50"/>
      <c r="F916" s="50">
        <f>SUMIF('Stock Purchase'!$D:$D,B916,'Stock Purchase'!$F:$F)</f>
        <v>0</v>
      </c>
      <c r="G916" s="50">
        <f>SUMIFS('Stock Adjustment'!$E:$E,'Stock Adjustment'!$B:$B,$A916,'Stock Adjustment'!$D:$D,"Customer Returned")</f>
        <v>0</v>
      </c>
      <c r="H916" s="50">
        <f>SUMIF('Daily Sales Entry'!$D:$D,B916,'Daily Sales Entry'!$G:$G)</f>
        <v>0</v>
      </c>
      <c r="I916" s="50">
        <f>SUMIFS('Stock Adjustment'!$E:$E,'Stock Adjustment'!$B:$B,$A916,'Stock Adjustment'!$D:$D,"Staff Consumption")</f>
        <v>0</v>
      </c>
      <c r="J916" s="50">
        <f>SUMIFS('Stock Adjustment'!$E:$E,'Stock Adjustment'!$B:$B,$A916,'Stock Adjustment'!$D:$D,"Damaged")</f>
        <v>0</v>
      </c>
      <c r="K916" s="50">
        <f>SUMIFS('Stock Adjustment'!$E:$E,'Stock Adjustment'!$B:$B,$A916,'Stock Adjustment'!$D:$D,"Expired")</f>
        <v>0</v>
      </c>
      <c r="L916" s="50">
        <f>SUMIFS('Stock Adjustment'!$E:$E,'Stock Adjustment'!$B:$B,$A916,'Stock Adjustment'!$D:$D,"Supplier Returned")</f>
        <v>0</v>
      </c>
      <c r="M9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6" s="53" t="str">
        <f>IF(B916="","",VLOOKUP(B916,'Product Master'!$B:$G,4,FALSE))</f>
        <v/>
      </c>
      <c r="O916" s="53" t="str">
        <f>IF(B916="","",VLOOKUP(B916,'Product Master'!$B:$G,5,FALSE))</f>
        <v/>
      </c>
      <c r="P916" s="50" t="str">
        <f>IF(B916="","",VLOOKUP(B916,'Product Master'!$B:$I,7,FALSE))</f>
        <v/>
      </c>
      <c r="Q916" s="158"/>
      <c r="R916" s="58" t="str">
        <f t="shared" si="14"/>
        <v/>
      </c>
      <c r="S916" s="25"/>
      <c r="T916" s="25"/>
      <c r="U916" s="25"/>
      <c r="V916" s="25"/>
      <c r="W916" s="25"/>
      <c r="X916" s="25"/>
    </row>
    <row r="917" spans="1:24" x14ac:dyDescent="0.25">
      <c r="A917" s="31" t="s">
        <v>1477</v>
      </c>
      <c r="B917" s="32"/>
      <c r="C917" s="50" t="str">
        <f>IF(B917="","",VLOOKUP(B917,'Product Master'!$B:$G,2,FALSE))</f>
        <v/>
      </c>
      <c r="D917" s="50" t="str">
        <f>IF(B917="","",VLOOKUP(B917,'Product Master'!$B:$G,3,FALSE))</f>
        <v/>
      </c>
      <c r="E917" s="50"/>
      <c r="F917" s="50">
        <f>SUMIF('Stock Purchase'!$D:$D,B917,'Stock Purchase'!$F:$F)</f>
        <v>0</v>
      </c>
      <c r="G917" s="50">
        <f>SUMIFS('Stock Adjustment'!$E:$E,'Stock Adjustment'!$B:$B,$A917,'Stock Adjustment'!$D:$D,"Customer Returned")</f>
        <v>0</v>
      </c>
      <c r="H917" s="50">
        <f>SUMIF('Daily Sales Entry'!$D:$D,B917,'Daily Sales Entry'!$G:$G)</f>
        <v>0</v>
      </c>
      <c r="I917" s="50">
        <f>SUMIFS('Stock Adjustment'!$E:$E,'Stock Adjustment'!$B:$B,$A917,'Stock Adjustment'!$D:$D,"Staff Consumption")</f>
        <v>0</v>
      </c>
      <c r="J917" s="50">
        <f>SUMIFS('Stock Adjustment'!$E:$E,'Stock Adjustment'!$B:$B,$A917,'Stock Adjustment'!$D:$D,"Damaged")</f>
        <v>0</v>
      </c>
      <c r="K917" s="50">
        <f>SUMIFS('Stock Adjustment'!$E:$E,'Stock Adjustment'!$B:$B,$A917,'Stock Adjustment'!$D:$D,"Expired")</f>
        <v>0</v>
      </c>
      <c r="L917" s="50">
        <f>SUMIFS('Stock Adjustment'!$E:$E,'Stock Adjustment'!$B:$B,$A917,'Stock Adjustment'!$D:$D,"Supplier Returned")</f>
        <v>0</v>
      </c>
      <c r="M9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7" s="53" t="str">
        <f>IF(B917="","",VLOOKUP(B917,'Product Master'!$B:$G,4,FALSE))</f>
        <v/>
      </c>
      <c r="O917" s="53" t="str">
        <f>IF(B917="","",VLOOKUP(B917,'Product Master'!$B:$G,5,FALSE))</f>
        <v/>
      </c>
      <c r="P917" s="50" t="str">
        <f>IF(B917="","",VLOOKUP(B917,'Product Master'!$B:$I,7,FALSE))</f>
        <v/>
      </c>
      <c r="Q917" s="158"/>
      <c r="R917" s="58" t="str">
        <f t="shared" si="14"/>
        <v/>
      </c>
      <c r="S917" s="25"/>
      <c r="T917" s="25"/>
      <c r="U917" s="25"/>
      <c r="V917" s="25"/>
      <c r="W917" s="25"/>
      <c r="X917" s="25"/>
    </row>
    <row r="918" spans="1:24" x14ac:dyDescent="0.25">
      <c r="A918" s="31" t="s">
        <v>1478</v>
      </c>
      <c r="B918" s="32"/>
      <c r="C918" s="50" t="str">
        <f>IF(B918="","",VLOOKUP(B918,'Product Master'!$B:$G,2,FALSE))</f>
        <v/>
      </c>
      <c r="D918" s="50" t="str">
        <f>IF(B918="","",VLOOKUP(B918,'Product Master'!$B:$G,3,FALSE))</f>
        <v/>
      </c>
      <c r="E918" s="50"/>
      <c r="F918" s="50">
        <f>SUMIF('Stock Purchase'!$D:$D,B918,'Stock Purchase'!$F:$F)</f>
        <v>0</v>
      </c>
      <c r="G918" s="50">
        <f>SUMIFS('Stock Adjustment'!$E:$E,'Stock Adjustment'!$B:$B,$A918,'Stock Adjustment'!$D:$D,"Customer Returned")</f>
        <v>0</v>
      </c>
      <c r="H918" s="50">
        <f>SUMIF('Daily Sales Entry'!$D:$D,B918,'Daily Sales Entry'!$G:$G)</f>
        <v>0</v>
      </c>
      <c r="I918" s="50">
        <f>SUMIFS('Stock Adjustment'!$E:$E,'Stock Adjustment'!$B:$B,$A918,'Stock Adjustment'!$D:$D,"Staff Consumption")</f>
        <v>0</v>
      </c>
      <c r="J918" s="50">
        <f>SUMIFS('Stock Adjustment'!$E:$E,'Stock Adjustment'!$B:$B,$A918,'Stock Adjustment'!$D:$D,"Damaged")</f>
        <v>0</v>
      </c>
      <c r="K918" s="50">
        <f>SUMIFS('Stock Adjustment'!$E:$E,'Stock Adjustment'!$B:$B,$A918,'Stock Adjustment'!$D:$D,"Expired")</f>
        <v>0</v>
      </c>
      <c r="L918" s="50">
        <f>SUMIFS('Stock Adjustment'!$E:$E,'Stock Adjustment'!$B:$B,$A918,'Stock Adjustment'!$D:$D,"Supplier Returned")</f>
        <v>0</v>
      </c>
      <c r="M9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8" s="53" t="str">
        <f>IF(B918="","",VLOOKUP(B918,'Product Master'!$B:$G,4,FALSE))</f>
        <v/>
      </c>
      <c r="O918" s="53" t="str">
        <f>IF(B918="","",VLOOKUP(B918,'Product Master'!$B:$G,5,FALSE))</f>
        <v/>
      </c>
      <c r="P918" s="50" t="str">
        <f>IF(B918="","",VLOOKUP(B918,'Product Master'!$B:$I,7,FALSE))</f>
        <v/>
      </c>
      <c r="Q918" s="158"/>
      <c r="R918" s="58" t="str">
        <f t="shared" si="14"/>
        <v/>
      </c>
      <c r="S918" s="25"/>
      <c r="T918" s="25"/>
      <c r="U918" s="25"/>
      <c r="V918" s="25"/>
      <c r="W918" s="25"/>
      <c r="X918" s="25"/>
    </row>
    <row r="919" spans="1:24" x14ac:dyDescent="0.25">
      <c r="A919" s="31" t="s">
        <v>1479</v>
      </c>
      <c r="B919" s="32"/>
      <c r="C919" s="50" t="str">
        <f>IF(B919="","",VLOOKUP(B919,'Product Master'!$B:$G,2,FALSE))</f>
        <v/>
      </c>
      <c r="D919" s="50" t="str">
        <f>IF(B919="","",VLOOKUP(B919,'Product Master'!$B:$G,3,FALSE))</f>
        <v/>
      </c>
      <c r="E919" s="50"/>
      <c r="F919" s="50">
        <f>SUMIF('Stock Purchase'!$D:$D,B919,'Stock Purchase'!$F:$F)</f>
        <v>0</v>
      </c>
      <c r="G919" s="50">
        <f>SUMIFS('Stock Adjustment'!$E:$E,'Stock Adjustment'!$B:$B,$A919,'Stock Adjustment'!$D:$D,"Customer Returned")</f>
        <v>0</v>
      </c>
      <c r="H919" s="50">
        <f>SUMIF('Daily Sales Entry'!$D:$D,B919,'Daily Sales Entry'!$G:$G)</f>
        <v>0</v>
      </c>
      <c r="I919" s="50">
        <f>SUMIFS('Stock Adjustment'!$E:$E,'Stock Adjustment'!$B:$B,$A919,'Stock Adjustment'!$D:$D,"Staff Consumption")</f>
        <v>0</v>
      </c>
      <c r="J919" s="50">
        <f>SUMIFS('Stock Adjustment'!$E:$E,'Stock Adjustment'!$B:$B,$A919,'Stock Adjustment'!$D:$D,"Damaged")</f>
        <v>0</v>
      </c>
      <c r="K919" s="50">
        <f>SUMIFS('Stock Adjustment'!$E:$E,'Stock Adjustment'!$B:$B,$A919,'Stock Adjustment'!$D:$D,"Expired")</f>
        <v>0</v>
      </c>
      <c r="L919" s="50">
        <f>SUMIFS('Stock Adjustment'!$E:$E,'Stock Adjustment'!$B:$B,$A919,'Stock Adjustment'!$D:$D,"Supplier Returned")</f>
        <v>0</v>
      </c>
      <c r="M9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19" s="53" t="str">
        <f>IF(B919="","",VLOOKUP(B919,'Product Master'!$B:$G,4,FALSE))</f>
        <v/>
      </c>
      <c r="O919" s="53" t="str">
        <f>IF(B919="","",VLOOKUP(B919,'Product Master'!$B:$G,5,FALSE))</f>
        <v/>
      </c>
      <c r="P919" s="50" t="str">
        <f>IF(B919="","",VLOOKUP(B919,'Product Master'!$B:$I,7,FALSE))</f>
        <v/>
      </c>
      <c r="Q919" s="158"/>
      <c r="R919" s="58" t="str">
        <f t="shared" si="14"/>
        <v/>
      </c>
      <c r="S919" s="25"/>
      <c r="T919" s="25"/>
      <c r="U919" s="25"/>
      <c r="V919" s="25"/>
      <c r="W919" s="25"/>
      <c r="X919" s="25"/>
    </row>
    <row r="920" spans="1:24" x14ac:dyDescent="0.25">
      <c r="A920" s="31" t="s">
        <v>1480</v>
      </c>
      <c r="B920" s="32"/>
      <c r="C920" s="50" t="str">
        <f>IF(B920="","",VLOOKUP(B920,'Product Master'!$B:$G,2,FALSE))</f>
        <v/>
      </c>
      <c r="D920" s="50" t="str">
        <f>IF(B920="","",VLOOKUP(B920,'Product Master'!$B:$G,3,FALSE))</f>
        <v/>
      </c>
      <c r="E920" s="50"/>
      <c r="F920" s="50">
        <f>SUMIF('Stock Purchase'!$D:$D,B920,'Stock Purchase'!$F:$F)</f>
        <v>0</v>
      </c>
      <c r="G920" s="50">
        <f>SUMIFS('Stock Adjustment'!$E:$E,'Stock Adjustment'!$B:$B,$A920,'Stock Adjustment'!$D:$D,"Customer Returned")</f>
        <v>0</v>
      </c>
      <c r="H920" s="50">
        <f>SUMIF('Daily Sales Entry'!$D:$D,B920,'Daily Sales Entry'!$G:$G)</f>
        <v>0</v>
      </c>
      <c r="I920" s="50">
        <f>SUMIFS('Stock Adjustment'!$E:$E,'Stock Adjustment'!$B:$B,$A920,'Stock Adjustment'!$D:$D,"Staff Consumption")</f>
        <v>0</v>
      </c>
      <c r="J920" s="50">
        <f>SUMIFS('Stock Adjustment'!$E:$E,'Stock Adjustment'!$B:$B,$A920,'Stock Adjustment'!$D:$D,"Damaged")</f>
        <v>0</v>
      </c>
      <c r="K920" s="50">
        <f>SUMIFS('Stock Adjustment'!$E:$E,'Stock Adjustment'!$B:$B,$A920,'Stock Adjustment'!$D:$D,"Expired")</f>
        <v>0</v>
      </c>
      <c r="L920" s="50">
        <f>SUMIFS('Stock Adjustment'!$E:$E,'Stock Adjustment'!$B:$B,$A920,'Stock Adjustment'!$D:$D,"Supplier Returned")</f>
        <v>0</v>
      </c>
      <c r="M9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0" s="53" t="str">
        <f>IF(B920="","",VLOOKUP(B920,'Product Master'!$B:$G,4,FALSE))</f>
        <v/>
      </c>
      <c r="O920" s="53" t="str">
        <f>IF(B920="","",VLOOKUP(B920,'Product Master'!$B:$G,5,FALSE))</f>
        <v/>
      </c>
      <c r="P920" s="50" t="str">
        <f>IF(B920="","",VLOOKUP(B920,'Product Master'!$B:$I,7,FALSE))</f>
        <v/>
      </c>
      <c r="Q920" s="158"/>
      <c r="R920" s="58" t="str">
        <f t="shared" si="14"/>
        <v/>
      </c>
      <c r="S920" s="25"/>
      <c r="T920" s="25"/>
      <c r="U920" s="25"/>
      <c r="V920" s="25"/>
      <c r="W920" s="25"/>
      <c r="X920" s="25"/>
    </row>
    <row r="921" spans="1:24" x14ac:dyDescent="0.25">
      <c r="A921" s="31" t="s">
        <v>1481</v>
      </c>
      <c r="B921" s="32"/>
      <c r="C921" s="50" t="str">
        <f>IF(B921="","",VLOOKUP(B921,'Product Master'!$B:$G,2,FALSE))</f>
        <v/>
      </c>
      <c r="D921" s="50" t="str">
        <f>IF(B921="","",VLOOKUP(B921,'Product Master'!$B:$G,3,FALSE))</f>
        <v/>
      </c>
      <c r="E921" s="50"/>
      <c r="F921" s="50">
        <f>SUMIF('Stock Purchase'!$D:$D,B921,'Stock Purchase'!$F:$F)</f>
        <v>0</v>
      </c>
      <c r="G921" s="50">
        <f>SUMIFS('Stock Adjustment'!$E:$E,'Stock Adjustment'!$B:$B,$A921,'Stock Adjustment'!$D:$D,"Customer Returned")</f>
        <v>0</v>
      </c>
      <c r="H921" s="50">
        <f>SUMIF('Daily Sales Entry'!$D:$D,B921,'Daily Sales Entry'!$G:$G)</f>
        <v>0</v>
      </c>
      <c r="I921" s="50">
        <f>SUMIFS('Stock Adjustment'!$E:$E,'Stock Adjustment'!$B:$B,$A921,'Stock Adjustment'!$D:$D,"Staff Consumption")</f>
        <v>0</v>
      </c>
      <c r="J921" s="50">
        <f>SUMIFS('Stock Adjustment'!$E:$E,'Stock Adjustment'!$B:$B,$A921,'Stock Adjustment'!$D:$D,"Damaged")</f>
        <v>0</v>
      </c>
      <c r="K921" s="50">
        <f>SUMIFS('Stock Adjustment'!$E:$E,'Stock Adjustment'!$B:$B,$A921,'Stock Adjustment'!$D:$D,"Expired")</f>
        <v>0</v>
      </c>
      <c r="L921" s="50">
        <f>SUMIFS('Stock Adjustment'!$E:$E,'Stock Adjustment'!$B:$B,$A921,'Stock Adjustment'!$D:$D,"Supplier Returned")</f>
        <v>0</v>
      </c>
      <c r="M9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1" s="53" t="str">
        <f>IF(B921="","",VLOOKUP(B921,'Product Master'!$B:$G,4,FALSE))</f>
        <v/>
      </c>
      <c r="O921" s="53" t="str">
        <f>IF(B921="","",VLOOKUP(B921,'Product Master'!$B:$G,5,FALSE))</f>
        <v/>
      </c>
      <c r="P921" s="50" t="str">
        <f>IF(B921="","",VLOOKUP(B921,'Product Master'!$B:$I,7,FALSE))</f>
        <v/>
      </c>
      <c r="Q921" s="158"/>
      <c r="R921" s="58" t="str">
        <f t="shared" si="14"/>
        <v/>
      </c>
      <c r="S921" s="25"/>
      <c r="T921" s="25"/>
      <c r="U921" s="25"/>
      <c r="V921" s="25"/>
      <c r="W921" s="25"/>
      <c r="X921" s="25"/>
    </row>
    <row r="922" spans="1:24" x14ac:dyDescent="0.25">
      <c r="A922" s="31" t="s">
        <v>1482</v>
      </c>
      <c r="B922" s="32"/>
      <c r="C922" s="50" t="str">
        <f>IF(B922="","",VLOOKUP(B922,'Product Master'!$B:$G,2,FALSE))</f>
        <v/>
      </c>
      <c r="D922" s="50" t="str">
        <f>IF(B922="","",VLOOKUP(B922,'Product Master'!$B:$G,3,FALSE))</f>
        <v/>
      </c>
      <c r="E922" s="50"/>
      <c r="F922" s="50">
        <f>SUMIF('Stock Purchase'!$D:$D,B922,'Stock Purchase'!$F:$F)</f>
        <v>0</v>
      </c>
      <c r="G922" s="50">
        <f>SUMIFS('Stock Adjustment'!$E:$E,'Stock Adjustment'!$B:$B,$A922,'Stock Adjustment'!$D:$D,"Customer Returned")</f>
        <v>0</v>
      </c>
      <c r="H922" s="50">
        <f>SUMIF('Daily Sales Entry'!$D:$D,B922,'Daily Sales Entry'!$G:$G)</f>
        <v>0</v>
      </c>
      <c r="I922" s="50">
        <f>SUMIFS('Stock Adjustment'!$E:$E,'Stock Adjustment'!$B:$B,$A922,'Stock Adjustment'!$D:$D,"Staff Consumption")</f>
        <v>0</v>
      </c>
      <c r="J922" s="50">
        <f>SUMIFS('Stock Adjustment'!$E:$E,'Stock Adjustment'!$B:$B,$A922,'Stock Adjustment'!$D:$D,"Damaged")</f>
        <v>0</v>
      </c>
      <c r="K922" s="50">
        <f>SUMIFS('Stock Adjustment'!$E:$E,'Stock Adjustment'!$B:$B,$A922,'Stock Adjustment'!$D:$D,"Expired")</f>
        <v>0</v>
      </c>
      <c r="L922" s="50">
        <f>SUMIFS('Stock Adjustment'!$E:$E,'Stock Adjustment'!$B:$B,$A922,'Stock Adjustment'!$D:$D,"Supplier Returned")</f>
        <v>0</v>
      </c>
      <c r="M9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2" s="53" t="str">
        <f>IF(B922="","",VLOOKUP(B922,'Product Master'!$B:$G,4,FALSE))</f>
        <v/>
      </c>
      <c r="O922" s="53" t="str">
        <f>IF(B922="","",VLOOKUP(B922,'Product Master'!$B:$G,5,FALSE))</f>
        <v/>
      </c>
      <c r="P922" s="50" t="str">
        <f>IF(B922="","",VLOOKUP(B922,'Product Master'!$B:$I,7,FALSE))</f>
        <v/>
      </c>
      <c r="Q922" s="158"/>
      <c r="R922" s="58" t="str">
        <f t="shared" si="14"/>
        <v/>
      </c>
      <c r="S922" s="25"/>
      <c r="T922" s="25"/>
      <c r="U922" s="25"/>
      <c r="V922" s="25"/>
      <c r="W922" s="25"/>
      <c r="X922" s="25"/>
    </row>
    <row r="923" spans="1:24" x14ac:dyDescent="0.25">
      <c r="A923" s="31" t="s">
        <v>1483</v>
      </c>
      <c r="B923" s="32"/>
      <c r="C923" s="50" t="str">
        <f>IF(B923="","",VLOOKUP(B923,'Product Master'!$B:$G,2,FALSE))</f>
        <v/>
      </c>
      <c r="D923" s="50" t="str">
        <f>IF(B923="","",VLOOKUP(B923,'Product Master'!$B:$G,3,FALSE))</f>
        <v/>
      </c>
      <c r="E923" s="50"/>
      <c r="F923" s="50">
        <f>SUMIF('Stock Purchase'!$D:$D,B923,'Stock Purchase'!$F:$F)</f>
        <v>0</v>
      </c>
      <c r="G923" s="50">
        <f>SUMIFS('Stock Adjustment'!$E:$E,'Stock Adjustment'!$B:$B,$A923,'Stock Adjustment'!$D:$D,"Customer Returned")</f>
        <v>0</v>
      </c>
      <c r="H923" s="50">
        <f>SUMIF('Daily Sales Entry'!$D:$D,B923,'Daily Sales Entry'!$G:$G)</f>
        <v>0</v>
      </c>
      <c r="I923" s="50">
        <f>SUMIFS('Stock Adjustment'!$E:$E,'Stock Adjustment'!$B:$B,$A923,'Stock Adjustment'!$D:$D,"Staff Consumption")</f>
        <v>0</v>
      </c>
      <c r="J923" s="50">
        <f>SUMIFS('Stock Adjustment'!$E:$E,'Stock Adjustment'!$B:$B,$A923,'Stock Adjustment'!$D:$D,"Damaged")</f>
        <v>0</v>
      </c>
      <c r="K923" s="50">
        <f>SUMIFS('Stock Adjustment'!$E:$E,'Stock Adjustment'!$B:$B,$A923,'Stock Adjustment'!$D:$D,"Expired")</f>
        <v>0</v>
      </c>
      <c r="L923" s="50">
        <f>SUMIFS('Stock Adjustment'!$E:$E,'Stock Adjustment'!$B:$B,$A923,'Stock Adjustment'!$D:$D,"Supplier Returned")</f>
        <v>0</v>
      </c>
      <c r="M9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3" s="53" t="str">
        <f>IF(B923="","",VLOOKUP(B923,'Product Master'!$B:$G,4,FALSE))</f>
        <v/>
      </c>
      <c r="O923" s="53" t="str">
        <f>IF(B923="","",VLOOKUP(B923,'Product Master'!$B:$G,5,FALSE))</f>
        <v/>
      </c>
      <c r="P923" s="50" t="str">
        <f>IF(B923="","",VLOOKUP(B923,'Product Master'!$B:$I,7,FALSE))</f>
        <v/>
      </c>
      <c r="Q923" s="158"/>
      <c r="R923" s="58" t="str">
        <f t="shared" si="14"/>
        <v/>
      </c>
      <c r="S923" s="25"/>
      <c r="T923" s="25"/>
      <c r="U923" s="25"/>
      <c r="V923" s="25"/>
      <c r="W923" s="25"/>
      <c r="X923" s="25"/>
    </row>
    <row r="924" spans="1:24" x14ac:dyDescent="0.25">
      <c r="A924" s="31" t="s">
        <v>1484</v>
      </c>
      <c r="B924" s="32"/>
      <c r="C924" s="50" t="str">
        <f>IF(B924="","",VLOOKUP(B924,'Product Master'!$B:$G,2,FALSE))</f>
        <v/>
      </c>
      <c r="D924" s="50" t="str">
        <f>IF(B924="","",VLOOKUP(B924,'Product Master'!$B:$G,3,FALSE))</f>
        <v/>
      </c>
      <c r="E924" s="50"/>
      <c r="F924" s="50">
        <f>SUMIF('Stock Purchase'!$D:$D,B924,'Stock Purchase'!$F:$F)</f>
        <v>0</v>
      </c>
      <c r="G924" s="50">
        <f>SUMIFS('Stock Adjustment'!$E:$E,'Stock Adjustment'!$B:$B,$A924,'Stock Adjustment'!$D:$D,"Customer Returned")</f>
        <v>0</v>
      </c>
      <c r="H924" s="50">
        <f>SUMIF('Daily Sales Entry'!$D:$D,B924,'Daily Sales Entry'!$G:$G)</f>
        <v>0</v>
      </c>
      <c r="I924" s="50">
        <f>SUMIFS('Stock Adjustment'!$E:$E,'Stock Adjustment'!$B:$B,$A924,'Stock Adjustment'!$D:$D,"Staff Consumption")</f>
        <v>0</v>
      </c>
      <c r="J924" s="50">
        <f>SUMIFS('Stock Adjustment'!$E:$E,'Stock Adjustment'!$B:$B,$A924,'Stock Adjustment'!$D:$D,"Damaged")</f>
        <v>0</v>
      </c>
      <c r="K924" s="50">
        <f>SUMIFS('Stock Adjustment'!$E:$E,'Stock Adjustment'!$B:$B,$A924,'Stock Adjustment'!$D:$D,"Expired")</f>
        <v>0</v>
      </c>
      <c r="L924" s="50">
        <f>SUMIFS('Stock Adjustment'!$E:$E,'Stock Adjustment'!$B:$B,$A924,'Stock Adjustment'!$D:$D,"Supplier Returned")</f>
        <v>0</v>
      </c>
      <c r="M9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4" s="53" t="str">
        <f>IF(B924="","",VLOOKUP(B924,'Product Master'!$B:$G,4,FALSE))</f>
        <v/>
      </c>
      <c r="O924" s="53" t="str">
        <f>IF(B924="","",VLOOKUP(B924,'Product Master'!$B:$G,5,FALSE))</f>
        <v/>
      </c>
      <c r="P924" s="50" t="str">
        <f>IF(B924="","",VLOOKUP(B924,'Product Master'!$B:$I,7,FALSE))</f>
        <v/>
      </c>
      <c r="Q924" s="158"/>
      <c r="R924" s="58" t="str">
        <f t="shared" si="14"/>
        <v/>
      </c>
      <c r="S924" s="25"/>
      <c r="T924" s="25"/>
      <c r="U924" s="25"/>
      <c r="V924" s="25"/>
      <c r="W924" s="25"/>
      <c r="X924" s="25"/>
    </row>
    <row r="925" spans="1:24" x14ac:dyDescent="0.25">
      <c r="A925" s="31" t="s">
        <v>1485</v>
      </c>
      <c r="B925" s="32"/>
      <c r="C925" s="50" t="str">
        <f>IF(B925="","",VLOOKUP(B925,'Product Master'!$B:$G,2,FALSE))</f>
        <v/>
      </c>
      <c r="D925" s="50" t="str">
        <f>IF(B925="","",VLOOKUP(B925,'Product Master'!$B:$G,3,FALSE))</f>
        <v/>
      </c>
      <c r="E925" s="50"/>
      <c r="F925" s="50">
        <f>SUMIF('Stock Purchase'!$D:$D,B925,'Stock Purchase'!$F:$F)</f>
        <v>0</v>
      </c>
      <c r="G925" s="50">
        <f>SUMIFS('Stock Adjustment'!$E:$E,'Stock Adjustment'!$B:$B,$A925,'Stock Adjustment'!$D:$D,"Customer Returned")</f>
        <v>0</v>
      </c>
      <c r="H925" s="50">
        <f>SUMIF('Daily Sales Entry'!$D:$D,B925,'Daily Sales Entry'!$G:$G)</f>
        <v>0</v>
      </c>
      <c r="I925" s="50">
        <f>SUMIFS('Stock Adjustment'!$E:$E,'Stock Adjustment'!$B:$B,$A925,'Stock Adjustment'!$D:$D,"Staff Consumption")</f>
        <v>0</v>
      </c>
      <c r="J925" s="50">
        <f>SUMIFS('Stock Adjustment'!$E:$E,'Stock Adjustment'!$B:$B,$A925,'Stock Adjustment'!$D:$D,"Damaged")</f>
        <v>0</v>
      </c>
      <c r="K925" s="50">
        <f>SUMIFS('Stock Adjustment'!$E:$E,'Stock Adjustment'!$B:$B,$A925,'Stock Adjustment'!$D:$D,"Expired")</f>
        <v>0</v>
      </c>
      <c r="L925" s="50">
        <f>SUMIFS('Stock Adjustment'!$E:$E,'Stock Adjustment'!$B:$B,$A925,'Stock Adjustment'!$D:$D,"Supplier Returned")</f>
        <v>0</v>
      </c>
      <c r="M9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5" s="53" t="str">
        <f>IF(B925="","",VLOOKUP(B925,'Product Master'!$B:$G,4,FALSE))</f>
        <v/>
      </c>
      <c r="O925" s="53" t="str">
        <f>IF(B925="","",VLOOKUP(B925,'Product Master'!$B:$G,5,FALSE))</f>
        <v/>
      </c>
      <c r="P925" s="50" t="str">
        <f>IF(B925="","",VLOOKUP(B925,'Product Master'!$B:$I,7,FALSE))</f>
        <v/>
      </c>
      <c r="Q925" s="158"/>
      <c r="R925" s="58" t="str">
        <f t="shared" si="14"/>
        <v/>
      </c>
      <c r="S925" s="25"/>
      <c r="T925" s="25"/>
      <c r="U925" s="25"/>
      <c r="V925" s="25"/>
      <c r="W925" s="25"/>
      <c r="X925" s="25"/>
    </row>
    <row r="926" spans="1:24" x14ac:dyDescent="0.25">
      <c r="A926" s="31" t="s">
        <v>1486</v>
      </c>
      <c r="B926" s="32"/>
      <c r="C926" s="50" t="str">
        <f>IF(B926="","",VLOOKUP(B926,'Product Master'!$B:$G,2,FALSE))</f>
        <v/>
      </c>
      <c r="D926" s="50" t="str">
        <f>IF(B926="","",VLOOKUP(B926,'Product Master'!$B:$G,3,FALSE))</f>
        <v/>
      </c>
      <c r="E926" s="50"/>
      <c r="F926" s="50">
        <f>SUMIF('Stock Purchase'!$D:$D,B926,'Stock Purchase'!$F:$F)</f>
        <v>0</v>
      </c>
      <c r="G926" s="50">
        <f>SUMIFS('Stock Adjustment'!$E:$E,'Stock Adjustment'!$B:$B,$A926,'Stock Adjustment'!$D:$D,"Customer Returned")</f>
        <v>0</v>
      </c>
      <c r="H926" s="50">
        <f>SUMIF('Daily Sales Entry'!$D:$D,B926,'Daily Sales Entry'!$G:$G)</f>
        <v>0</v>
      </c>
      <c r="I926" s="50">
        <f>SUMIFS('Stock Adjustment'!$E:$E,'Stock Adjustment'!$B:$B,$A926,'Stock Adjustment'!$D:$D,"Staff Consumption")</f>
        <v>0</v>
      </c>
      <c r="J926" s="50">
        <f>SUMIFS('Stock Adjustment'!$E:$E,'Stock Adjustment'!$B:$B,$A926,'Stock Adjustment'!$D:$D,"Damaged")</f>
        <v>0</v>
      </c>
      <c r="K926" s="50">
        <f>SUMIFS('Stock Adjustment'!$E:$E,'Stock Adjustment'!$B:$B,$A926,'Stock Adjustment'!$D:$D,"Expired")</f>
        <v>0</v>
      </c>
      <c r="L926" s="50">
        <f>SUMIFS('Stock Adjustment'!$E:$E,'Stock Adjustment'!$B:$B,$A926,'Stock Adjustment'!$D:$D,"Supplier Returned")</f>
        <v>0</v>
      </c>
      <c r="M9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6" s="53" t="str">
        <f>IF(B926="","",VLOOKUP(B926,'Product Master'!$B:$G,4,FALSE))</f>
        <v/>
      </c>
      <c r="O926" s="53" t="str">
        <f>IF(B926="","",VLOOKUP(B926,'Product Master'!$B:$G,5,FALSE))</f>
        <v/>
      </c>
      <c r="P926" s="50" t="str">
        <f>IF(B926="","",VLOOKUP(B926,'Product Master'!$B:$I,7,FALSE))</f>
        <v/>
      </c>
      <c r="Q926" s="158"/>
      <c r="R926" s="58" t="str">
        <f t="shared" si="14"/>
        <v/>
      </c>
      <c r="S926" s="25"/>
      <c r="T926" s="25"/>
      <c r="U926" s="25"/>
      <c r="V926" s="25"/>
      <c r="W926" s="25"/>
      <c r="X926" s="25"/>
    </row>
    <row r="927" spans="1:24" x14ac:dyDescent="0.25">
      <c r="A927" s="31" t="s">
        <v>1487</v>
      </c>
      <c r="B927" s="32"/>
      <c r="C927" s="50" t="str">
        <f>IF(B927="","",VLOOKUP(B927,'Product Master'!$B:$G,2,FALSE))</f>
        <v/>
      </c>
      <c r="D927" s="50" t="str">
        <f>IF(B927="","",VLOOKUP(B927,'Product Master'!$B:$G,3,FALSE))</f>
        <v/>
      </c>
      <c r="E927" s="50"/>
      <c r="F927" s="50">
        <f>SUMIF('Stock Purchase'!$D:$D,B927,'Stock Purchase'!$F:$F)</f>
        <v>0</v>
      </c>
      <c r="G927" s="50">
        <f>SUMIFS('Stock Adjustment'!$E:$E,'Stock Adjustment'!$B:$B,$A927,'Stock Adjustment'!$D:$D,"Customer Returned")</f>
        <v>0</v>
      </c>
      <c r="H927" s="50">
        <f>SUMIF('Daily Sales Entry'!$D:$D,B927,'Daily Sales Entry'!$G:$G)</f>
        <v>0</v>
      </c>
      <c r="I927" s="50">
        <f>SUMIFS('Stock Adjustment'!$E:$E,'Stock Adjustment'!$B:$B,$A927,'Stock Adjustment'!$D:$D,"Staff Consumption")</f>
        <v>0</v>
      </c>
      <c r="J927" s="50">
        <f>SUMIFS('Stock Adjustment'!$E:$E,'Stock Adjustment'!$B:$B,$A927,'Stock Adjustment'!$D:$D,"Damaged")</f>
        <v>0</v>
      </c>
      <c r="K927" s="50">
        <f>SUMIFS('Stock Adjustment'!$E:$E,'Stock Adjustment'!$B:$B,$A927,'Stock Adjustment'!$D:$D,"Expired")</f>
        <v>0</v>
      </c>
      <c r="L927" s="50">
        <f>SUMIFS('Stock Adjustment'!$E:$E,'Stock Adjustment'!$B:$B,$A927,'Stock Adjustment'!$D:$D,"Supplier Returned")</f>
        <v>0</v>
      </c>
      <c r="M9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7" s="53" t="str">
        <f>IF(B927="","",VLOOKUP(B927,'Product Master'!$B:$G,4,FALSE))</f>
        <v/>
      </c>
      <c r="O927" s="53" t="str">
        <f>IF(B927="","",VLOOKUP(B927,'Product Master'!$B:$G,5,FALSE))</f>
        <v/>
      </c>
      <c r="P927" s="50" t="str">
        <f>IF(B927="","",VLOOKUP(B927,'Product Master'!$B:$I,7,FALSE))</f>
        <v/>
      </c>
      <c r="Q927" s="158"/>
      <c r="R927" s="58" t="str">
        <f t="shared" si="14"/>
        <v/>
      </c>
      <c r="S927" s="25"/>
      <c r="T927" s="25"/>
      <c r="U927" s="25"/>
      <c r="V927" s="25"/>
      <c r="W927" s="25"/>
      <c r="X927" s="25"/>
    </row>
    <row r="928" spans="1:24" x14ac:dyDescent="0.25">
      <c r="A928" s="31" t="s">
        <v>1488</v>
      </c>
      <c r="B928" s="32"/>
      <c r="C928" s="50" t="str">
        <f>IF(B928="","",VLOOKUP(B928,'Product Master'!$B:$G,2,FALSE))</f>
        <v/>
      </c>
      <c r="D928" s="50" t="str">
        <f>IF(B928="","",VLOOKUP(B928,'Product Master'!$B:$G,3,FALSE))</f>
        <v/>
      </c>
      <c r="E928" s="50"/>
      <c r="F928" s="50">
        <f>SUMIF('Stock Purchase'!$D:$D,B928,'Stock Purchase'!$F:$F)</f>
        <v>0</v>
      </c>
      <c r="G928" s="50">
        <f>SUMIFS('Stock Adjustment'!$E:$E,'Stock Adjustment'!$B:$B,$A928,'Stock Adjustment'!$D:$D,"Customer Returned")</f>
        <v>0</v>
      </c>
      <c r="H928" s="50">
        <f>SUMIF('Daily Sales Entry'!$D:$D,B928,'Daily Sales Entry'!$G:$G)</f>
        <v>0</v>
      </c>
      <c r="I928" s="50">
        <f>SUMIFS('Stock Adjustment'!$E:$E,'Stock Adjustment'!$B:$B,$A928,'Stock Adjustment'!$D:$D,"Staff Consumption")</f>
        <v>0</v>
      </c>
      <c r="J928" s="50">
        <f>SUMIFS('Stock Adjustment'!$E:$E,'Stock Adjustment'!$B:$B,$A928,'Stock Adjustment'!$D:$D,"Damaged")</f>
        <v>0</v>
      </c>
      <c r="K928" s="50">
        <f>SUMIFS('Stock Adjustment'!$E:$E,'Stock Adjustment'!$B:$B,$A928,'Stock Adjustment'!$D:$D,"Expired")</f>
        <v>0</v>
      </c>
      <c r="L928" s="50">
        <f>SUMIFS('Stock Adjustment'!$E:$E,'Stock Adjustment'!$B:$B,$A928,'Stock Adjustment'!$D:$D,"Supplier Returned")</f>
        <v>0</v>
      </c>
      <c r="M9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8" s="53" t="str">
        <f>IF(B928="","",VLOOKUP(B928,'Product Master'!$B:$G,4,FALSE))</f>
        <v/>
      </c>
      <c r="O928" s="53" t="str">
        <f>IF(B928="","",VLOOKUP(B928,'Product Master'!$B:$G,5,FALSE))</f>
        <v/>
      </c>
      <c r="P928" s="50" t="str">
        <f>IF(B928="","",VLOOKUP(B928,'Product Master'!$B:$I,7,FALSE))</f>
        <v/>
      </c>
      <c r="Q928" s="158"/>
      <c r="R928" s="58" t="str">
        <f t="shared" si="14"/>
        <v/>
      </c>
      <c r="S928" s="25"/>
      <c r="T928" s="25"/>
      <c r="U928" s="25"/>
      <c r="V928" s="25"/>
      <c r="W928" s="25"/>
      <c r="X928" s="25"/>
    </row>
    <row r="929" spans="1:24" x14ac:dyDescent="0.25">
      <c r="A929" s="31" t="s">
        <v>1489</v>
      </c>
      <c r="B929" s="32"/>
      <c r="C929" s="50" t="str">
        <f>IF(B929="","",VLOOKUP(B929,'Product Master'!$B:$G,2,FALSE))</f>
        <v/>
      </c>
      <c r="D929" s="50" t="str">
        <f>IF(B929="","",VLOOKUP(B929,'Product Master'!$B:$G,3,FALSE))</f>
        <v/>
      </c>
      <c r="E929" s="50"/>
      <c r="F929" s="50">
        <f>SUMIF('Stock Purchase'!$D:$D,B929,'Stock Purchase'!$F:$F)</f>
        <v>0</v>
      </c>
      <c r="G929" s="50">
        <f>SUMIFS('Stock Adjustment'!$E:$E,'Stock Adjustment'!$B:$B,$A929,'Stock Adjustment'!$D:$D,"Customer Returned")</f>
        <v>0</v>
      </c>
      <c r="H929" s="50">
        <f>SUMIF('Daily Sales Entry'!$D:$D,B929,'Daily Sales Entry'!$G:$G)</f>
        <v>0</v>
      </c>
      <c r="I929" s="50">
        <f>SUMIFS('Stock Adjustment'!$E:$E,'Stock Adjustment'!$B:$B,$A929,'Stock Adjustment'!$D:$D,"Staff Consumption")</f>
        <v>0</v>
      </c>
      <c r="J929" s="50">
        <f>SUMIFS('Stock Adjustment'!$E:$E,'Stock Adjustment'!$B:$B,$A929,'Stock Adjustment'!$D:$D,"Damaged")</f>
        <v>0</v>
      </c>
      <c r="K929" s="50">
        <f>SUMIFS('Stock Adjustment'!$E:$E,'Stock Adjustment'!$B:$B,$A929,'Stock Adjustment'!$D:$D,"Expired")</f>
        <v>0</v>
      </c>
      <c r="L929" s="50">
        <f>SUMIFS('Stock Adjustment'!$E:$E,'Stock Adjustment'!$B:$B,$A929,'Stock Adjustment'!$D:$D,"Supplier Returned")</f>
        <v>0</v>
      </c>
      <c r="M9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29" s="53" t="str">
        <f>IF(B929="","",VLOOKUP(B929,'Product Master'!$B:$G,4,FALSE))</f>
        <v/>
      </c>
      <c r="O929" s="53" t="str">
        <f>IF(B929="","",VLOOKUP(B929,'Product Master'!$B:$G,5,FALSE))</f>
        <v/>
      </c>
      <c r="P929" s="50" t="str">
        <f>IF(B929="","",VLOOKUP(B929,'Product Master'!$B:$I,7,FALSE))</f>
        <v/>
      </c>
      <c r="Q929" s="158"/>
      <c r="R929" s="58" t="str">
        <f t="shared" si="14"/>
        <v/>
      </c>
      <c r="S929" s="25"/>
      <c r="T929" s="25"/>
      <c r="U929" s="25"/>
      <c r="V929" s="25"/>
      <c r="W929" s="25"/>
      <c r="X929" s="25"/>
    </row>
    <row r="930" spans="1:24" x14ac:dyDescent="0.25">
      <c r="A930" s="31" t="s">
        <v>1490</v>
      </c>
      <c r="B930" s="32"/>
      <c r="C930" s="50" t="str">
        <f>IF(B930="","",VLOOKUP(B930,'Product Master'!$B:$G,2,FALSE))</f>
        <v/>
      </c>
      <c r="D930" s="50" t="str">
        <f>IF(B930="","",VLOOKUP(B930,'Product Master'!$B:$G,3,FALSE))</f>
        <v/>
      </c>
      <c r="E930" s="50"/>
      <c r="F930" s="50">
        <f>SUMIF('Stock Purchase'!$D:$D,B930,'Stock Purchase'!$F:$F)</f>
        <v>0</v>
      </c>
      <c r="G930" s="50">
        <f>SUMIFS('Stock Adjustment'!$E:$E,'Stock Adjustment'!$B:$B,$A930,'Stock Adjustment'!$D:$D,"Customer Returned")</f>
        <v>0</v>
      </c>
      <c r="H930" s="50">
        <f>SUMIF('Daily Sales Entry'!$D:$D,B930,'Daily Sales Entry'!$G:$G)</f>
        <v>0</v>
      </c>
      <c r="I930" s="50">
        <f>SUMIFS('Stock Adjustment'!$E:$E,'Stock Adjustment'!$B:$B,$A930,'Stock Adjustment'!$D:$D,"Staff Consumption")</f>
        <v>0</v>
      </c>
      <c r="J930" s="50">
        <f>SUMIFS('Stock Adjustment'!$E:$E,'Stock Adjustment'!$B:$B,$A930,'Stock Adjustment'!$D:$D,"Damaged")</f>
        <v>0</v>
      </c>
      <c r="K930" s="50">
        <f>SUMIFS('Stock Adjustment'!$E:$E,'Stock Adjustment'!$B:$B,$A930,'Stock Adjustment'!$D:$D,"Expired")</f>
        <v>0</v>
      </c>
      <c r="L930" s="50">
        <f>SUMIFS('Stock Adjustment'!$E:$E,'Stock Adjustment'!$B:$B,$A930,'Stock Adjustment'!$D:$D,"Supplier Returned")</f>
        <v>0</v>
      </c>
      <c r="M9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0" s="53" t="str">
        <f>IF(B930="","",VLOOKUP(B930,'Product Master'!$B:$G,4,FALSE))</f>
        <v/>
      </c>
      <c r="O930" s="53" t="str">
        <f>IF(B930="","",VLOOKUP(B930,'Product Master'!$B:$G,5,FALSE))</f>
        <v/>
      </c>
      <c r="P930" s="50" t="str">
        <f>IF(B930="","",VLOOKUP(B930,'Product Master'!$B:$I,7,FALSE))</f>
        <v/>
      </c>
      <c r="Q930" s="158"/>
      <c r="R930" s="58" t="str">
        <f t="shared" si="14"/>
        <v/>
      </c>
      <c r="S930" s="25"/>
      <c r="T930" s="25"/>
      <c r="U930" s="25"/>
      <c r="V930" s="25"/>
      <c r="W930" s="25"/>
      <c r="X930" s="25"/>
    </row>
    <row r="931" spans="1:24" x14ac:dyDescent="0.25">
      <c r="A931" s="31" t="s">
        <v>1491</v>
      </c>
      <c r="B931" s="32"/>
      <c r="C931" s="50" t="str">
        <f>IF(B931="","",VLOOKUP(B931,'Product Master'!$B:$G,2,FALSE))</f>
        <v/>
      </c>
      <c r="D931" s="50" t="str">
        <f>IF(B931="","",VLOOKUP(B931,'Product Master'!$B:$G,3,FALSE))</f>
        <v/>
      </c>
      <c r="E931" s="50"/>
      <c r="F931" s="50">
        <f>SUMIF('Stock Purchase'!$D:$D,B931,'Stock Purchase'!$F:$F)</f>
        <v>0</v>
      </c>
      <c r="G931" s="50">
        <f>SUMIFS('Stock Adjustment'!$E:$E,'Stock Adjustment'!$B:$B,$A931,'Stock Adjustment'!$D:$D,"Customer Returned")</f>
        <v>0</v>
      </c>
      <c r="H931" s="50">
        <f>SUMIF('Daily Sales Entry'!$D:$D,B931,'Daily Sales Entry'!$G:$G)</f>
        <v>0</v>
      </c>
      <c r="I931" s="50">
        <f>SUMIFS('Stock Adjustment'!$E:$E,'Stock Adjustment'!$B:$B,$A931,'Stock Adjustment'!$D:$D,"Staff Consumption")</f>
        <v>0</v>
      </c>
      <c r="J931" s="50">
        <f>SUMIFS('Stock Adjustment'!$E:$E,'Stock Adjustment'!$B:$B,$A931,'Stock Adjustment'!$D:$D,"Damaged")</f>
        <v>0</v>
      </c>
      <c r="K931" s="50">
        <f>SUMIFS('Stock Adjustment'!$E:$E,'Stock Adjustment'!$B:$B,$A931,'Stock Adjustment'!$D:$D,"Expired")</f>
        <v>0</v>
      </c>
      <c r="L931" s="50">
        <f>SUMIFS('Stock Adjustment'!$E:$E,'Stock Adjustment'!$B:$B,$A931,'Stock Adjustment'!$D:$D,"Supplier Returned")</f>
        <v>0</v>
      </c>
      <c r="M9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1" s="53" t="str">
        <f>IF(B931="","",VLOOKUP(B931,'Product Master'!$B:$G,4,FALSE))</f>
        <v/>
      </c>
      <c r="O931" s="53" t="str">
        <f>IF(B931="","",VLOOKUP(B931,'Product Master'!$B:$G,5,FALSE))</f>
        <v/>
      </c>
      <c r="P931" s="50" t="str">
        <f>IF(B931="","",VLOOKUP(B931,'Product Master'!$B:$I,7,FALSE))</f>
        <v/>
      </c>
      <c r="Q931" s="158"/>
      <c r="R931" s="58" t="str">
        <f t="shared" si="14"/>
        <v/>
      </c>
      <c r="S931" s="25"/>
      <c r="T931" s="25"/>
      <c r="U931" s="25"/>
      <c r="V931" s="25"/>
      <c r="W931" s="25"/>
      <c r="X931" s="25"/>
    </row>
    <row r="932" spans="1:24" x14ac:dyDescent="0.25">
      <c r="A932" s="31" t="s">
        <v>1492</v>
      </c>
      <c r="B932" s="32"/>
      <c r="C932" s="50" t="str">
        <f>IF(B932="","",VLOOKUP(B932,'Product Master'!$B:$G,2,FALSE))</f>
        <v/>
      </c>
      <c r="D932" s="50" t="str">
        <f>IF(B932="","",VLOOKUP(B932,'Product Master'!$B:$G,3,FALSE))</f>
        <v/>
      </c>
      <c r="E932" s="50"/>
      <c r="F932" s="50">
        <f>SUMIF('Stock Purchase'!$D:$D,B932,'Stock Purchase'!$F:$F)</f>
        <v>0</v>
      </c>
      <c r="G932" s="50">
        <f>SUMIFS('Stock Adjustment'!$E:$E,'Stock Adjustment'!$B:$B,$A932,'Stock Adjustment'!$D:$D,"Customer Returned")</f>
        <v>0</v>
      </c>
      <c r="H932" s="50">
        <f>SUMIF('Daily Sales Entry'!$D:$D,B932,'Daily Sales Entry'!$G:$G)</f>
        <v>0</v>
      </c>
      <c r="I932" s="50">
        <f>SUMIFS('Stock Adjustment'!$E:$E,'Stock Adjustment'!$B:$B,$A932,'Stock Adjustment'!$D:$D,"Staff Consumption")</f>
        <v>0</v>
      </c>
      <c r="J932" s="50">
        <f>SUMIFS('Stock Adjustment'!$E:$E,'Stock Adjustment'!$B:$B,$A932,'Stock Adjustment'!$D:$D,"Damaged")</f>
        <v>0</v>
      </c>
      <c r="K932" s="50">
        <f>SUMIFS('Stock Adjustment'!$E:$E,'Stock Adjustment'!$B:$B,$A932,'Stock Adjustment'!$D:$D,"Expired")</f>
        <v>0</v>
      </c>
      <c r="L932" s="50">
        <f>SUMIFS('Stock Adjustment'!$E:$E,'Stock Adjustment'!$B:$B,$A932,'Stock Adjustment'!$D:$D,"Supplier Returned")</f>
        <v>0</v>
      </c>
      <c r="M9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2" s="53" t="str">
        <f>IF(B932="","",VLOOKUP(B932,'Product Master'!$B:$G,4,FALSE))</f>
        <v/>
      </c>
      <c r="O932" s="53" t="str">
        <f>IF(B932="","",VLOOKUP(B932,'Product Master'!$B:$G,5,FALSE))</f>
        <v/>
      </c>
      <c r="P932" s="50" t="str">
        <f>IF(B932="","",VLOOKUP(B932,'Product Master'!$B:$I,7,FALSE))</f>
        <v/>
      </c>
      <c r="Q932" s="158"/>
      <c r="R932" s="58" t="str">
        <f t="shared" si="14"/>
        <v/>
      </c>
      <c r="S932" s="25"/>
      <c r="T932" s="25"/>
      <c r="U932" s="25"/>
      <c r="V932" s="25"/>
      <c r="W932" s="25"/>
      <c r="X932" s="25"/>
    </row>
    <row r="933" spans="1:24" x14ac:dyDescent="0.25">
      <c r="A933" s="31" t="s">
        <v>1493</v>
      </c>
      <c r="B933" s="32"/>
      <c r="C933" s="50" t="str">
        <f>IF(B933="","",VLOOKUP(B933,'Product Master'!$B:$G,2,FALSE))</f>
        <v/>
      </c>
      <c r="D933" s="50" t="str">
        <f>IF(B933="","",VLOOKUP(B933,'Product Master'!$B:$G,3,FALSE))</f>
        <v/>
      </c>
      <c r="E933" s="50"/>
      <c r="F933" s="50">
        <f>SUMIF('Stock Purchase'!$D:$D,B933,'Stock Purchase'!$F:$F)</f>
        <v>0</v>
      </c>
      <c r="G933" s="50">
        <f>SUMIFS('Stock Adjustment'!$E:$E,'Stock Adjustment'!$B:$B,$A933,'Stock Adjustment'!$D:$D,"Customer Returned")</f>
        <v>0</v>
      </c>
      <c r="H933" s="50">
        <f>SUMIF('Daily Sales Entry'!$D:$D,B933,'Daily Sales Entry'!$G:$G)</f>
        <v>0</v>
      </c>
      <c r="I933" s="50">
        <f>SUMIFS('Stock Adjustment'!$E:$E,'Stock Adjustment'!$B:$B,$A933,'Stock Adjustment'!$D:$D,"Staff Consumption")</f>
        <v>0</v>
      </c>
      <c r="J933" s="50">
        <f>SUMIFS('Stock Adjustment'!$E:$E,'Stock Adjustment'!$B:$B,$A933,'Stock Adjustment'!$D:$D,"Damaged")</f>
        <v>0</v>
      </c>
      <c r="K933" s="50">
        <f>SUMIFS('Stock Adjustment'!$E:$E,'Stock Adjustment'!$B:$B,$A933,'Stock Adjustment'!$D:$D,"Expired")</f>
        <v>0</v>
      </c>
      <c r="L933" s="50">
        <f>SUMIFS('Stock Adjustment'!$E:$E,'Stock Adjustment'!$B:$B,$A933,'Stock Adjustment'!$D:$D,"Supplier Returned")</f>
        <v>0</v>
      </c>
      <c r="M9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3" s="53" t="str">
        <f>IF(B933="","",VLOOKUP(B933,'Product Master'!$B:$G,4,FALSE))</f>
        <v/>
      </c>
      <c r="O933" s="53" t="str">
        <f>IF(B933="","",VLOOKUP(B933,'Product Master'!$B:$G,5,FALSE))</f>
        <v/>
      </c>
      <c r="P933" s="50" t="str">
        <f>IF(B933="","",VLOOKUP(B933,'Product Master'!$B:$I,7,FALSE))</f>
        <v/>
      </c>
      <c r="Q933" s="158"/>
      <c r="R933" s="58" t="str">
        <f t="shared" si="14"/>
        <v/>
      </c>
      <c r="S933" s="25"/>
      <c r="T933" s="25"/>
      <c r="U933" s="25"/>
      <c r="V933" s="25"/>
      <c r="W933" s="25"/>
      <c r="X933" s="25"/>
    </row>
    <row r="934" spans="1:24" x14ac:dyDescent="0.25">
      <c r="A934" s="31" t="s">
        <v>1494</v>
      </c>
      <c r="B934" s="32"/>
      <c r="C934" s="50" t="str">
        <f>IF(B934="","",VLOOKUP(B934,'Product Master'!$B:$G,2,FALSE))</f>
        <v/>
      </c>
      <c r="D934" s="50" t="str">
        <f>IF(B934="","",VLOOKUP(B934,'Product Master'!$B:$G,3,FALSE))</f>
        <v/>
      </c>
      <c r="E934" s="50"/>
      <c r="F934" s="50">
        <f>SUMIF('Stock Purchase'!$D:$D,B934,'Stock Purchase'!$F:$F)</f>
        <v>0</v>
      </c>
      <c r="G934" s="50">
        <f>SUMIFS('Stock Adjustment'!$E:$E,'Stock Adjustment'!$B:$B,$A934,'Stock Adjustment'!$D:$D,"Customer Returned")</f>
        <v>0</v>
      </c>
      <c r="H934" s="50">
        <f>SUMIF('Daily Sales Entry'!$D:$D,B934,'Daily Sales Entry'!$G:$G)</f>
        <v>0</v>
      </c>
      <c r="I934" s="50">
        <f>SUMIFS('Stock Adjustment'!$E:$E,'Stock Adjustment'!$B:$B,$A934,'Stock Adjustment'!$D:$D,"Staff Consumption")</f>
        <v>0</v>
      </c>
      <c r="J934" s="50">
        <f>SUMIFS('Stock Adjustment'!$E:$E,'Stock Adjustment'!$B:$B,$A934,'Stock Adjustment'!$D:$D,"Damaged")</f>
        <v>0</v>
      </c>
      <c r="K934" s="50">
        <f>SUMIFS('Stock Adjustment'!$E:$E,'Stock Adjustment'!$B:$B,$A934,'Stock Adjustment'!$D:$D,"Expired")</f>
        <v>0</v>
      </c>
      <c r="L934" s="50">
        <f>SUMIFS('Stock Adjustment'!$E:$E,'Stock Adjustment'!$B:$B,$A934,'Stock Adjustment'!$D:$D,"Supplier Returned")</f>
        <v>0</v>
      </c>
      <c r="M9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4" s="53" t="str">
        <f>IF(B934="","",VLOOKUP(B934,'Product Master'!$B:$G,4,FALSE))</f>
        <v/>
      </c>
      <c r="O934" s="53" t="str">
        <f>IF(B934="","",VLOOKUP(B934,'Product Master'!$B:$G,5,FALSE))</f>
        <v/>
      </c>
      <c r="P934" s="50" t="str">
        <f>IF(B934="","",VLOOKUP(B934,'Product Master'!$B:$I,7,FALSE))</f>
        <v/>
      </c>
      <c r="Q934" s="158"/>
      <c r="R934" s="58" t="str">
        <f t="shared" si="14"/>
        <v/>
      </c>
      <c r="S934" s="25"/>
      <c r="T934" s="25"/>
      <c r="U934" s="25"/>
      <c r="V934" s="25"/>
      <c r="W934" s="25"/>
      <c r="X934" s="25"/>
    </row>
    <row r="935" spans="1:24" x14ac:dyDescent="0.25">
      <c r="A935" s="31" t="s">
        <v>1495</v>
      </c>
      <c r="B935" s="32"/>
      <c r="C935" s="50" t="str">
        <f>IF(B935="","",VLOOKUP(B935,'Product Master'!$B:$G,2,FALSE))</f>
        <v/>
      </c>
      <c r="D935" s="50" t="str">
        <f>IF(B935="","",VLOOKUP(B935,'Product Master'!$B:$G,3,FALSE))</f>
        <v/>
      </c>
      <c r="E935" s="50"/>
      <c r="F935" s="50">
        <f>SUMIF('Stock Purchase'!$D:$D,B935,'Stock Purchase'!$F:$F)</f>
        <v>0</v>
      </c>
      <c r="G935" s="50">
        <f>SUMIFS('Stock Adjustment'!$E:$E,'Stock Adjustment'!$B:$B,$A935,'Stock Adjustment'!$D:$D,"Customer Returned")</f>
        <v>0</v>
      </c>
      <c r="H935" s="50">
        <f>SUMIF('Daily Sales Entry'!$D:$D,B935,'Daily Sales Entry'!$G:$G)</f>
        <v>0</v>
      </c>
      <c r="I935" s="50">
        <f>SUMIFS('Stock Adjustment'!$E:$E,'Stock Adjustment'!$B:$B,$A935,'Stock Adjustment'!$D:$D,"Staff Consumption")</f>
        <v>0</v>
      </c>
      <c r="J935" s="50">
        <f>SUMIFS('Stock Adjustment'!$E:$E,'Stock Adjustment'!$B:$B,$A935,'Stock Adjustment'!$D:$D,"Damaged")</f>
        <v>0</v>
      </c>
      <c r="K935" s="50">
        <f>SUMIFS('Stock Adjustment'!$E:$E,'Stock Adjustment'!$B:$B,$A935,'Stock Adjustment'!$D:$D,"Expired")</f>
        <v>0</v>
      </c>
      <c r="L935" s="50">
        <f>SUMIFS('Stock Adjustment'!$E:$E,'Stock Adjustment'!$B:$B,$A935,'Stock Adjustment'!$D:$D,"Supplier Returned")</f>
        <v>0</v>
      </c>
      <c r="M9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5" s="53" t="str">
        <f>IF(B935="","",VLOOKUP(B935,'Product Master'!$B:$G,4,FALSE))</f>
        <v/>
      </c>
      <c r="O935" s="53" t="str">
        <f>IF(B935="","",VLOOKUP(B935,'Product Master'!$B:$G,5,FALSE))</f>
        <v/>
      </c>
      <c r="P935" s="50" t="str">
        <f>IF(B935="","",VLOOKUP(B935,'Product Master'!$B:$I,7,FALSE))</f>
        <v/>
      </c>
      <c r="Q935" s="158"/>
      <c r="R935" s="58" t="str">
        <f t="shared" si="14"/>
        <v/>
      </c>
      <c r="S935" s="25"/>
      <c r="T935" s="25"/>
      <c r="U935" s="25"/>
      <c r="V935" s="25"/>
      <c r="W935" s="25"/>
      <c r="X935" s="25"/>
    </row>
    <row r="936" spans="1:24" x14ac:dyDescent="0.25">
      <c r="A936" s="31" t="s">
        <v>1496</v>
      </c>
      <c r="B936" s="32"/>
      <c r="C936" s="50" t="str">
        <f>IF(B936="","",VLOOKUP(B936,'Product Master'!$B:$G,2,FALSE))</f>
        <v/>
      </c>
      <c r="D936" s="50" t="str">
        <f>IF(B936="","",VLOOKUP(B936,'Product Master'!$B:$G,3,FALSE))</f>
        <v/>
      </c>
      <c r="E936" s="50"/>
      <c r="F936" s="50">
        <f>SUMIF('Stock Purchase'!$D:$D,B936,'Stock Purchase'!$F:$F)</f>
        <v>0</v>
      </c>
      <c r="G936" s="50">
        <f>SUMIFS('Stock Adjustment'!$E:$E,'Stock Adjustment'!$B:$B,$A936,'Stock Adjustment'!$D:$D,"Customer Returned")</f>
        <v>0</v>
      </c>
      <c r="H936" s="50">
        <f>SUMIF('Daily Sales Entry'!$D:$D,B936,'Daily Sales Entry'!$G:$G)</f>
        <v>0</v>
      </c>
      <c r="I936" s="50">
        <f>SUMIFS('Stock Adjustment'!$E:$E,'Stock Adjustment'!$B:$B,$A936,'Stock Adjustment'!$D:$D,"Staff Consumption")</f>
        <v>0</v>
      </c>
      <c r="J936" s="50">
        <f>SUMIFS('Stock Adjustment'!$E:$E,'Stock Adjustment'!$B:$B,$A936,'Stock Adjustment'!$D:$D,"Damaged")</f>
        <v>0</v>
      </c>
      <c r="K936" s="50">
        <f>SUMIFS('Stock Adjustment'!$E:$E,'Stock Adjustment'!$B:$B,$A936,'Stock Adjustment'!$D:$D,"Expired")</f>
        <v>0</v>
      </c>
      <c r="L936" s="50">
        <f>SUMIFS('Stock Adjustment'!$E:$E,'Stock Adjustment'!$B:$B,$A936,'Stock Adjustment'!$D:$D,"Supplier Returned")</f>
        <v>0</v>
      </c>
      <c r="M9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6" s="53" t="str">
        <f>IF(B936="","",VLOOKUP(B936,'Product Master'!$B:$G,4,FALSE))</f>
        <v/>
      </c>
      <c r="O936" s="53" t="str">
        <f>IF(B936="","",VLOOKUP(B936,'Product Master'!$B:$G,5,FALSE))</f>
        <v/>
      </c>
      <c r="P936" s="50" t="str">
        <f>IF(B936="","",VLOOKUP(B936,'Product Master'!$B:$I,7,FALSE))</f>
        <v/>
      </c>
      <c r="Q936" s="158"/>
      <c r="R936" s="58" t="str">
        <f t="shared" si="14"/>
        <v/>
      </c>
      <c r="S936" s="25"/>
      <c r="T936" s="25"/>
      <c r="U936" s="25"/>
      <c r="V936" s="25"/>
      <c r="W936" s="25"/>
      <c r="X936" s="25"/>
    </row>
    <row r="937" spans="1:24" x14ac:dyDescent="0.25">
      <c r="A937" s="31" t="s">
        <v>1497</v>
      </c>
      <c r="B937" s="32"/>
      <c r="C937" s="50" t="str">
        <f>IF(B937="","",VLOOKUP(B937,'Product Master'!$B:$G,2,FALSE))</f>
        <v/>
      </c>
      <c r="D937" s="50" t="str">
        <f>IF(B937="","",VLOOKUP(B937,'Product Master'!$B:$G,3,FALSE))</f>
        <v/>
      </c>
      <c r="E937" s="50"/>
      <c r="F937" s="50">
        <f>SUMIF('Stock Purchase'!$D:$D,B937,'Stock Purchase'!$F:$F)</f>
        <v>0</v>
      </c>
      <c r="G937" s="50">
        <f>SUMIFS('Stock Adjustment'!$E:$E,'Stock Adjustment'!$B:$B,$A937,'Stock Adjustment'!$D:$D,"Customer Returned")</f>
        <v>0</v>
      </c>
      <c r="H937" s="50">
        <f>SUMIF('Daily Sales Entry'!$D:$D,B937,'Daily Sales Entry'!$G:$G)</f>
        <v>0</v>
      </c>
      <c r="I937" s="50">
        <f>SUMIFS('Stock Adjustment'!$E:$E,'Stock Adjustment'!$B:$B,$A937,'Stock Adjustment'!$D:$D,"Staff Consumption")</f>
        <v>0</v>
      </c>
      <c r="J937" s="50">
        <f>SUMIFS('Stock Adjustment'!$E:$E,'Stock Adjustment'!$B:$B,$A937,'Stock Adjustment'!$D:$D,"Damaged")</f>
        <v>0</v>
      </c>
      <c r="K937" s="50">
        <f>SUMIFS('Stock Adjustment'!$E:$E,'Stock Adjustment'!$B:$B,$A937,'Stock Adjustment'!$D:$D,"Expired")</f>
        <v>0</v>
      </c>
      <c r="L937" s="50">
        <f>SUMIFS('Stock Adjustment'!$E:$E,'Stock Adjustment'!$B:$B,$A937,'Stock Adjustment'!$D:$D,"Supplier Returned")</f>
        <v>0</v>
      </c>
      <c r="M9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7" s="53" t="str">
        <f>IF(B937="","",VLOOKUP(B937,'Product Master'!$B:$G,4,FALSE))</f>
        <v/>
      </c>
      <c r="O937" s="53" t="str">
        <f>IF(B937="","",VLOOKUP(B937,'Product Master'!$B:$G,5,FALSE))</f>
        <v/>
      </c>
      <c r="P937" s="50" t="str">
        <f>IF(B937="","",VLOOKUP(B937,'Product Master'!$B:$I,7,FALSE))</f>
        <v/>
      </c>
      <c r="Q937" s="158"/>
      <c r="R937" s="58" t="str">
        <f t="shared" si="14"/>
        <v/>
      </c>
      <c r="S937" s="25"/>
      <c r="T937" s="25"/>
      <c r="U937" s="25"/>
      <c r="V937" s="25"/>
      <c r="W937" s="25"/>
      <c r="X937" s="25"/>
    </row>
    <row r="938" spans="1:24" x14ac:dyDescent="0.25">
      <c r="A938" s="31" t="s">
        <v>1498</v>
      </c>
      <c r="B938" s="32"/>
      <c r="C938" s="50" t="str">
        <f>IF(B938="","",VLOOKUP(B938,'Product Master'!$B:$G,2,FALSE))</f>
        <v/>
      </c>
      <c r="D938" s="50" t="str">
        <f>IF(B938="","",VLOOKUP(B938,'Product Master'!$B:$G,3,FALSE))</f>
        <v/>
      </c>
      <c r="E938" s="50"/>
      <c r="F938" s="50">
        <f>SUMIF('Stock Purchase'!$D:$D,B938,'Stock Purchase'!$F:$F)</f>
        <v>0</v>
      </c>
      <c r="G938" s="50">
        <f>SUMIFS('Stock Adjustment'!$E:$E,'Stock Adjustment'!$B:$B,$A938,'Stock Adjustment'!$D:$D,"Customer Returned")</f>
        <v>0</v>
      </c>
      <c r="H938" s="50">
        <f>SUMIF('Daily Sales Entry'!$D:$D,B938,'Daily Sales Entry'!$G:$G)</f>
        <v>0</v>
      </c>
      <c r="I938" s="50">
        <f>SUMIFS('Stock Adjustment'!$E:$E,'Stock Adjustment'!$B:$B,$A938,'Stock Adjustment'!$D:$D,"Staff Consumption")</f>
        <v>0</v>
      </c>
      <c r="J938" s="50">
        <f>SUMIFS('Stock Adjustment'!$E:$E,'Stock Adjustment'!$B:$B,$A938,'Stock Adjustment'!$D:$D,"Damaged")</f>
        <v>0</v>
      </c>
      <c r="K938" s="50">
        <f>SUMIFS('Stock Adjustment'!$E:$E,'Stock Adjustment'!$B:$B,$A938,'Stock Adjustment'!$D:$D,"Expired")</f>
        <v>0</v>
      </c>
      <c r="L938" s="50">
        <f>SUMIFS('Stock Adjustment'!$E:$E,'Stock Adjustment'!$B:$B,$A938,'Stock Adjustment'!$D:$D,"Supplier Returned")</f>
        <v>0</v>
      </c>
      <c r="M9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8" s="53" t="str">
        <f>IF(B938="","",VLOOKUP(B938,'Product Master'!$B:$G,4,FALSE))</f>
        <v/>
      </c>
      <c r="O938" s="53" t="str">
        <f>IF(B938="","",VLOOKUP(B938,'Product Master'!$B:$G,5,FALSE))</f>
        <v/>
      </c>
      <c r="P938" s="50" t="str">
        <f>IF(B938="","",VLOOKUP(B938,'Product Master'!$B:$I,7,FALSE))</f>
        <v/>
      </c>
      <c r="Q938" s="158"/>
      <c r="R938" s="58" t="str">
        <f t="shared" si="14"/>
        <v/>
      </c>
      <c r="S938" s="25"/>
      <c r="T938" s="25"/>
      <c r="U938" s="25"/>
      <c r="V938" s="25"/>
      <c r="W938" s="25"/>
      <c r="X938" s="25"/>
    </row>
    <row r="939" spans="1:24" x14ac:dyDescent="0.25">
      <c r="A939" s="31" t="s">
        <v>1499</v>
      </c>
      <c r="B939" s="32"/>
      <c r="C939" s="50" t="str">
        <f>IF(B939="","",VLOOKUP(B939,'Product Master'!$B:$G,2,FALSE))</f>
        <v/>
      </c>
      <c r="D939" s="50" t="str">
        <f>IF(B939="","",VLOOKUP(B939,'Product Master'!$B:$G,3,FALSE))</f>
        <v/>
      </c>
      <c r="E939" s="50"/>
      <c r="F939" s="50">
        <f>SUMIF('Stock Purchase'!$D:$D,B939,'Stock Purchase'!$F:$F)</f>
        <v>0</v>
      </c>
      <c r="G939" s="50">
        <f>SUMIFS('Stock Adjustment'!$E:$E,'Stock Adjustment'!$B:$B,$A939,'Stock Adjustment'!$D:$D,"Customer Returned")</f>
        <v>0</v>
      </c>
      <c r="H939" s="50">
        <f>SUMIF('Daily Sales Entry'!$D:$D,B939,'Daily Sales Entry'!$G:$G)</f>
        <v>0</v>
      </c>
      <c r="I939" s="50">
        <f>SUMIFS('Stock Adjustment'!$E:$E,'Stock Adjustment'!$B:$B,$A939,'Stock Adjustment'!$D:$D,"Staff Consumption")</f>
        <v>0</v>
      </c>
      <c r="J939" s="50">
        <f>SUMIFS('Stock Adjustment'!$E:$E,'Stock Adjustment'!$B:$B,$A939,'Stock Adjustment'!$D:$D,"Damaged")</f>
        <v>0</v>
      </c>
      <c r="K939" s="50">
        <f>SUMIFS('Stock Adjustment'!$E:$E,'Stock Adjustment'!$B:$B,$A939,'Stock Adjustment'!$D:$D,"Expired")</f>
        <v>0</v>
      </c>
      <c r="L939" s="50">
        <f>SUMIFS('Stock Adjustment'!$E:$E,'Stock Adjustment'!$B:$B,$A939,'Stock Adjustment'!$D:$D,"Supplier Returned")</f>
        <v>0</v>
      </c>
      <c r="M93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39" s="53" t="str">
        <f>IF(B939="","",VLOOKUP(B939,'Product Master'!$B:$G,4,FALSE))</f>
        <v/>
      </c>
      <c r="O939" s="53" t="str">
        <f>IF(B939="","",VLOOKUP(B939,'Product Master'!$B:$G,5,FALSE))</f>
        <v/>
      </c>
      <c r="P939" s="50" t="str">
        <f>IF(B939="","",VLOOKUP(B939,'Product Master'!$B:$I,7,FALSE))</f>
        <v/>
      </c>
      <c r="Q939" s="158"/>
      <c r="R939" s="58" t="str">
        <f t="shared" si="14"/>
        <v/>
      </c>
      <c r="S939" s="25"/>
      <c r="T939" s="25"/>
      <c r="U939" s="25"/>
      <c r="V939" s="25"/>
      <c r="W939" s="25"/>
      <c r="X939" s="25"/>
    </row>
    <row r="940" spans="1:24" x14ac:dyDescent="0.25">
      <c r="A940" s="31" t="s">
        <v>1500</v>
      </c>
      <c r="B940" s="32"/>
      <c r="C940" s="50" t="str">
        <f>IF(B940="","",VLOOKUP(B940,'Product Master'!$B:$G,2,FALSE))</f>
        <v/>
      </c>
      <c r="D940" s="50" t="str">
        <f>IF(B940="","",VLOOKUP(B940,'Product Master'!$B:$G,3,FALSE))</f>
        <v/>
      </c>
      <c r="E940" s="50"/>
      <c r="F940" s="50">
        <f>SUMIF('Stock Purchase'!$D:$D,B940,'Stock Purchase'!$F:$F)</f>
        <v>0</v>
      </c>
      <c r="G940" s="50">
        <f>SUMIFS('Stock Adjustment'!$E:$E,'Stock Adjustment'!$B:$B,$A940,'Stock Adjustment'!$D:$D,"Customer Returned")</f>
        <v>0</v>
      </c>
      <c r="H940" s="50">
        <f>SUMIF('Daily Sales Entry'!$D:$D,B940,'Daily Sales Entry'!$G:$G)</f>
        <v>0</v>
      </c>
      <c r="I940" s="50">
        <f>SUMIFS('Stock Adjustment'!$E:$E,'Stock Adjustment'!$B:$B,$A940,'Stock Adjustment'!$D:$D,"Staff Consumption")</f>
        <v>0</v>
      </c>
      <c r="J940" s="50">
        <f>SUMIFS('Stock Adjustment'!$E:$E,'Stock Adjustment'!$B:$B,$A940,'Stock Adjustment'!$D:$D,"Damaged")</f>
        <v>0</v>
      </c>
      <c r="K940" s="50">
        <f>SUMIFS('Stock Adjustment'!$E:$E,'Stock Adjustment'!$B:$B,$A940,'Stock Adjustment'!$D:$D,"Expired")</f>
        <v>0</v>
      </c>
      <c r="L940" s="50">
        <f>SUMIFS('Stock Adjustment'!$E:$E,'Stock Adjustment'!$B:$B,$A940,'Stock Adjustment'!$D:$D,"Supplier Returned")</f>
        <v>0</v>
      </c>
      <c r="M94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0" s="53" t="str">
        <f>IF(B940="","",VLOOKUP(B940,'Product Master'!$B:$G,4,FALSE))</f>
        <v/>
      </c>
      <c r="O940" s="53" t="str">
        <f>IF(B940="","",VLOOKUP(B940,'Product Master'!$B:$G,5,FALSE))</f>
        <v/>
      </c>
      <c r="P940" s="50" t="str">
        <f>IF(B940="","",VLOOKUP(B940,'Product Master'!$B:$I,7,FALSE))</f>
        <v/>
      </c>
      <c r="Q940" s="158"/>
      <c r="R940" s="58" t="str">
        <f t="shared" si="14"/>
        <v/>
      </c>
      <c r="S940" s="25"/>
      <c r="T940" s="25"/>
      <c r="U940" s="25"/>
      <c r="V940" s="25"/>
      <c r="W940" s="25"/>
      <c r="X940" s="25"/>
    </row>
    <row r="941" spans="1:24" x14ac:dyDescent="0.25">
      <c r="A941" s="31" t="s">
        <v>1501</v>
      </c>
      <c r="B941" s="32"/>
      <c r="C941" s="50" t="str">
        <f>IF(B941="","",VLOOKUP(B941,'Product Master'!$B:$G,2,FALSE))</f>
        <v/>
      </c>
      <c r="D941" s="50" t="str">
        <f>IF(B941="","",VLOOKUP(B941,'Product Master'!$B:$G,3,FALSE))</f>
        <v/>
      </c>
      <c r="E941" s="50"/>
      <c r="F941" s="50">
        <f>SUMIF('Stock Purchase'!$D:$D,B941,'Stock Purchase'!$F:$F)</f>
        <v>0</v>
      </c>
      <c r="G941" s="50">
        <f>SUMIFS('Stock Adjustment'!$E:$E,'Stock Adjustment'!$B:$B,$A941,'Stock Adjustment'!$D:$D,"Customer Returned")</f>
        <v>0</v>
      </c>
      <c r="H941" s="50">
        <f>SUMIF('Daily Sales Entry'!$D:$D,B941,'Daily Sales Entry'!$G:$G)</f>
        <v>0</v>
      </c>
      <c r="I941" s="50">
        <f>SUMIFS('Stock Adjustment'!$E:$E,'Stock Adjustment'!$B:$B,$A941,'Stock Adjustment'!$D:$D,"Staff Consumption")</f>
        <v>0</v>
      </c>
      <c r="J941" s="50">
        <f>SUMIFS('Stock Adjustment'!$E:$E,'Stock Adjustment'!$B:$B,$A941,'Stock Adjustment'!$D:$D,"Damaged")</f>
        <v>0</v>
      </c>
      <c r="K941" s="50">
        <f>SUMIFS('Stock Adjustment'!$E:$E,'Stock Adjustment'!$B:$B,$A941,'Stock Adjustment'!$D:$D,"Expired")</f>
        <v>0</v>
      </c>
      <c r="L941" s="50">
        <f>SUMIFS('Stock Adjustment'!$E:$E,'Stock Adjustment'!$B:$B,$A941,'Stock Adjustment'!$D:$D,"Supplier Returned")</f>
        <v>0</v>
      </c>
      <c r="M94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1" s="53" t="str">
        <f>IF(B941="","",VLOOKUP(B941,'Product Master'!$B:$G,4,FALSE))</f>
        <v/>
      </c>
      <c r="O941" s="53" t="str">
        <f>IF(B941="","",VLOOKUP(B941,'Product Master'!$B:$G,5,FALSE))</f>
        <v/>
      </c>
      <c r="P941" s="50" t="str">
        <f>IF(B941="","",VLOOKUP(B941,'Product Master'!$B:$I,7,FALSE))</f>
        <v/>
      </c>
      <c r="Q941" s="158"/>
      <c r="R941" s="58" t="str">
        <f t="shared" si="14"/>
        <v/>
      </c>
      <c r="S941" s="25"/>
      <c r="T941" s="25"/>
      <c r="U941" s="25"/>
      <c r="V941" s="25"/>
      <c r="W941" s="25"/>
      <c r="X941" s="25"/>
    </row>
    <row r="942" spans="1:24" x14ac:dyDescent="0.25">
      <c r="A942" s="31" t="s">
        <v>1502</v>
      </c>
      <c r="B942" s="32"/>
      <c r="C942" s="50" t="str">
        <f>IF(B942="","",VLOOKUP(B942,'Product Master'!$B:$G,2,FALSE))</f>
        <v/>
      </c>
      <c r="D942" s="50" t="str">
        <f>IF(B942="","",VLOOKUP(B942,'Product Master'!$B:$G,3,FALSE))</f>
        <v/>
      </c>
      <c r="E942" s="50"/>
      <c r="F942" s="50">
        <f>SUMIF('Stock Purchase'!$D:$D,B942,'Stock Purchase'!$F:$F)</f>
        <v>0</v>
      </c>
      <c r="G942" s="50">
        <f>SUMIFS('Stock Adjustment'!$E:$E,'Stock Adjustment'!$B:$B,$A942,'Stock Adjustment'!$D:$D,"Customer Returned")</f>
        <v>0</v>
      </c>
      <c r="H942" s="50">
        <f>SUMIF('Daily Sales Entry'!$D:$D,B942,'Daily Sales Entry'!$G:$G)</f>
        <v>0</v>
      </c>
      <c r="I942" s="50">
        <f>SUMIFS('Stock Adjustment'!$E:$E,'Stock Adjustment'!$B:$B,$A942,'Stock Adjustment'!$D:$D,"Staff Consumption")</f>
        <v>0</v>
      </c>
      <c r="J942" s="50">
        <f>SUMIFS('Stock Adjustment'!$E:$E,'Stock Adjustment'!$B:$B,$A942,'Stock Adjustment'!$D:$D,"Damaged")</f>
        <v>0</v>
      </c>
      <c r="K942" s="50">
        <f>SUMIFS('Stock Adjustment'!$E:$E,'Stock Adjustment'!$B:$B,$A942,'Stock Adjustment'!$D:$D,"Expired")</f>
        <v>0</v>
      </c>
      <c r="L942" s="50">
        <f>SUMIFS('Stock Adjustment'!$E:$E,'Stock Adjustment'!$B:$B,$A942,'Stock Adjustment'!$D:$D,"Supplier Returned")</f>
        <v>0</v>
      </c>
      <c r="M94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2" s="53" t="str">
        <f>IF(B942="","",VLOOKUP(B942,'Product Master'!$B:$G,4,FALSE))</f>
        <v/>
      </c>
      <c r="O942" s="53" t="str">
        <f>IF(B942="","",VLOOKUP(B942,'Product Master'!$B:$G,5,FALSE))</f>
        <v/>
      </c>
      <c r="P942" s="50" t="str">
        <f>IF(B942="","",VLOOKUP(B942,'Product Master'!$B:$I,7,FALSE))</f>
        <v/>
      </c>
      <c r="Q942" s="158"/>
      <c r="R942" s="58" t="str">
        <f t="shared" si="14"/>
        <v/>
      </c>
      <c r="S942" s="25"/>
      <c r="T942" s="25"/>
      <c r="U942" s="25"/>
      <c r="V942" s="25"/>
      <c r="W942" s="25"/>
      <c r="X942" s="25"/>
    </row>
    <row r="943" spans="1:24" x14ac:dyDescent="0.25">
      <c r="A943" s="31" t="s">
        <v>1503</v>
      </c>
      <c r="B943" s="32"/>
      <c r="C943" s="50" t="str">
        <f>IF(B943="","",VLOOKUP(B943,'Product Master'!$B:$G,2,FALSE))</f>
        <v/>
      </c>
      <c r="D943" s="50" t="str">
        <f>IF(B943="","",VLOOKUP(B943,'Product Master'!$B:$G,3,FALSE))</f>
        <v/>
      </c>
      <c r="E943" s="50"/>
      <c r="F943" s="50">
        <f>SUMIF('Stock Purchase'!$D:$D,B943,'Stock Purchase'!$F:$F)</f>
        <v>0</v>
      </c>
      <c r="G943" s="50">
        <f>SUMIFS('Stock Adjustment'!$E:$E,'Stock Adjustment'!$B:$B,$A943,'Stock Adjustment'!$D:$D,"Customer Returned")</f>
        <v>0</v>
      </c>
      <c r="H943" s="50">
        <f>SUMIF('Daily Sales Entry'!$D:$D,B943,'Daily Sales Entry'!$G:$G)</f>
        <v>0</v>
      </c>
      <c r="I943" s="50">
        <f>SUMIFS('Stock Adjustment'!$E:$E,'Stock Adjustment'!$B:$B,$A943,'Stock Adjustment'!$D:$D,"Staff Consumption")</f>
        <v>0</v>
      </c>
      <c r="J943" s="50">
        <f>SUMIFS('Stock Adjustment'!$E:$E,'Stock Adjustment'!$B:$B,$A943,'Stock Adjustment'!$D:$D,"Damaged")</f>
        <v>0</v>
      </c>
      <c r="K943" s="50">
        <f>SUMIFS('Stock Adjustment'!$E:$E,'Stock Adjustment'!$B:$B,$A943,'Stock Adjustment'!$D:$D,"Expired")</f>
        <v>0</v>
      </c>
      <c r="L943" s="50">
        <f>SUMIFS('Stock Adjustment'!$E:$E,'Stock Adjustment'!$B:$B,$A943,'Stock Adjustment'!$D:$D,"Supplier Returned")</f>
        <v>0</v>
      </c>
      <c r="M94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3" s="53" t="str">
        <f>IF(B943="","",VLOOKUP(B943,'Product Master'!$B:$G,4,FALSE))</f>
        <v/>
      </c>
      <c r="O943" s="53" t="str">
        <f>IF(B943="","",VLOOKUP(B943,'Product Master'!$B:$G,5,FALSE))</f>
        <v/>
      </c>
      <c r="P943" s="50" t="str">
        <f>IF(B943="","",VLOOKUP(B943,'Product Master'!$B:$I,7,FALSE))</f>
        <v/>
      </c>
      <c r="Q943" s="158"/>
      <c r="R943" s="58" t="str">
        <f t="shared" si="14"/>
        <v/>
      </c>
      <c r="S943" s="25"/>
      <c r="T943" s="25"/>
      <c r="U943" s="25"/>
      <c r="V943" s="25"/>
      <c r="W943" s="25"/>
      <c r="X943" s="25"/>
    </row>
    <row r="944" spans="1:24" x14ac:dyDescent="0.25">
      <c r="A944" s="31" t="s">
        <v>1504</v>
      </c>
      <c r="B944" s="32"/>
      <c r="C944" s="50" t="str">
        <f>IF(B944="","",VLOOKUP(B944,'Product Master'!$B:$G,2,FALSE))</f>
        <v/>
      </c>
      <c r="D944" s="50" t="str">
        <f>IF(B944="","",VLOOKUP(B944,'Product Master'!$B:$G,3,FALSE))</f>
        <v/>
      </c>
      <c r="E944" s="50"/>
      <c r="F944" s="50">
        <f>SUMIF('Stock Purchase'!$D:$D,B944,'Stock Purchase'!$F:$F)</f>
        <v>0</v>
      </c>
      <c r="G944" s="50">
        <f>SUMIFS('Stock Adjustment'!$E:$E,'Stock Adjustment'!$B:$B,$A944,'Stock Adjustment'!$D:$D,"Customer Returned")</f>
        <v>0</v>
      </c>
      <c r="H944" s="50">
        <f>SUMIF('Daily Sales Entry'!$D:$D,B944,'Daily Sales Entry'!$G:$G)</f>
        <v>0</v>
      </c>
      <c r="I944" s="50">
        <f>SUMIFS('Stock Adjustment'!$E:$E,'Stock Adjustment'!$B:$B,$A944,'Stock Adjustment'!$D:$D,"Staff Consumption")</f>
        <v>0</v>
      </c>
      <c r="J944" s="50">
        <f>SUMIFS('Stock Adjustment'!$E:$E,'Stock Adjustment'!$B:$B,$A944,'Stock Adjustment'!$D:$D,"Damaged")</f>
        <v>0</v>
      </c>
      <c r="K944" s="50">
        <f>SUMIFS('Stock Adjustment'!$E:$E,'Stock Adjustment'!$B:$B,$A944,'Stock Adjustment'!$D:$D,"Expired")</f>
        <v>0</v>
      </c>
      <c r="L944" s="50">
        <f>SUMIFS('Stock Adjustment'!$E:$E,'Stock Adjustment'!$B:$B,$A944,'Stock Adjustment'!$D:$D,"Supplier Returned")</f>
        <v>0</v>
      </c>
      <c r="M94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4" s="53" t="str">
        <f>IF(B944="","",VLOOKUP(B944,'Product Master'!$B:$G,4,FALSE))</f>
        <v/>
      </c>
      <c r="O944" s="53" t="str">
        <f>IF(B944="","",VLOOKUP(B944,'Product Master'!$B:$G,5,FALSE))</f>
        <v/>
      </c>
      <c r="P944" s="50" t="str">
        <f>IF(B944="","",VLOOKUP(B944,'Product Master'!$B:$I,7,FALSE))</f>
        <v/>
      </c>
      <c r="Q944" s="158"/>
      <c r="R944" s="58" t="str">
        <f t="shared" si="14"/>
        <v/>
      </c>
      <c r="S944" s="25"/>
      <c r="T944" s="25"/>
      <c r="U944" s="25"/>
      <c r="V944" s="25"/>
      <c r="W944" s="25"/>
      <c r="X944" s="25"/>
    </row>
    <row r="945" spans="1:24" x14ac:dyDescent="0.25">
      <c r="A945" s="31" t="s">
        <v>1505</v>
      </c>
      <c r="B945" s="32"/>
      <c r="C945" s="50" t="str">
        <f>IF(B945="","",VLOOKUP(B945,'Product Master'!$B:$G,2,FALSE))</f>
        <v/>
      </c>
      <c r="D945" s="50" t="str">
        <f>IF(B945="","",VLOOKUP(B945,'Product Master'!$B:$G,3,FALSE))</f>
        <v/>
      </c>
      <c r="E945" s="50"/>
      <c r="F945" s="50">
        <f>SUMIF('Stock Purchase'!$D:$D,B945,'Stock Purchase'!$F:$F)</f>
        <v>0</v>
      </c>
      <c r="G945" s="50">
        <f>SUMIFS('Stock Adjustment'!$E:$E,'Stock Adjustment'!$B:$B,$A945,'Stock Adjustment'!$D:$D,"Customer Returned")</f>
        <v>0</v>
      </c>
      <c r="H945" s="50">
        <f>SUMIF('Daily Sales Entry'!$D:$D,B945,'Daily Sales Entry'!$G:$G)</f>
        <v>0</v>
      </c>
      <c r="I945" s="50">
        <f>SUMIFS('Stock Adjustment'!$E:$E,'Stock Adjustment'!$B:$B,$A945,'Stock Adjustment'!$D:$D,"Staff Consumption")</f>
        <v>0</v>
      </c>
      <c r="J945" s="50">
        <f>SUMIFS('Stock Adjustment'!$E:$E,'Stock Adjustment'!$B:$B,$A945,'Stock Adjustment'!$D:$D,"Damaged")</f>
        <v>0</v>
      </c>
      <c r="K945" s="50">
        <f>SUMIFS('Stock Adjustment'!$E:$E,'Stock Adjustment'!$B:$B,$A945,'Stock Adjustment'!$D:$D,"Expired")</f>
        <v>0</v>
      </c>
      <c r="L945" s="50">
        <f>SUMIFS('Stock Adjustment'!$E:$E,'Stock Adjustment'!$B:$B,$A945,'Stock Adjustment'!$D:$D,"Supplier Returned")</f>
        <v>0</v>
      </c>
      <c r="M94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5" s="53" t="str">
        <f>IF(B945="","",VLOOKUP(B945,'Product Master'!$B:$G,4,FALSE))</f>
        <v/>
      </c>
      <c r="O945" s="53" t="str">
        <f>IF(B945="","",VLOOKUP(B945,'Product Master'!$B:$G,5,FALSE))</f>
        <v/>
      </c>
      <c r="P945" s="50" t="str">
        <f>IF(B945="","",VLOOKUP(B945,'Product Master'!$B:$I,7,FALSE))</f>
        <v/>
      </c>
      <c r="Q945" s="158"/>
      <c r="R945" s="58" t="str">
        <f t="shared" si="14"/>
        <v/>
      </c>
      <c r="S945" s="25"/>
      <c r="T945" s="25"/>
      <c r="U945" s="25"/>
      <c r="V945" s="25"/>
      <c r="W945" s="25"/>
      <c r="X945" s="25"/>
    </row>
    <row r="946" spans="1:24" x14ac:dyDescent="0.25">
      <c r="A946" s="31" t="s">
        <v>1506</v>
      </c>
      <c r="B946" s="32"/>
      <c r="C946" s="50" t="str">
        <f>IF(B946="","",VLOOKUP(B946,'Product Master'!$B:$G,2,FALSE))</f>
        <v/>
      </c>
      <c r="D946" s="50" t="str">
        <f>IF(B946="","",VLOOKUP(B946,'Product Master'!$B:$G,3,FALSE))</f>
        <v/>
      </c>
      <c r="E946" s="50"/>
      <c r="F946" s="50">
        <f>SUMIF('Stock Purchase'!$D:$D,B946,'Stock Purchase'!$F:$F)</f>
        <v>0</v>
      </c>
      <c r="G946" s="50">
        <f>SUMIFS('Stock Adjustment'!$E:$E,'Stock Adjustment'!$B:$B,$A946,'Stock Adjustment'!$D:$D,"Customer Returned")</f>
        <v>0</v>
      </c>
      <c r="H946" s="50">
        <f>SUMIF('Daily Sales Entry'!$D:$D,B946,'Daily Sales Entry'!$G:$G)</f>
        <v>0</v>
      </c>
      <c r="I946" s="50">
        <f>SUMIFS('Stock Adjustment'!$E:$E,'Stock Adjustment'!$B:$B,$A946,'Stock Adjustment'!$D:$D,"Staff Consumption")</f>
        <v>0</v>
      </c>
      <c r="J946" s="50">
        <f>SUMIFS('Stock Adjustment'!$E:$E,'Stock Adjustment'!$B:$B,$A946,'Stock Adjustment'!$D:$D,"Damaged")</f>
        <v>0</v>
      </c>
      <c r="K946" s="50">
        <f>SUMIFS('Stock Adjustment'!$E:$E,'Stock Adjustment'!$B:$B,$A946,'Stock Adjustment'!$D:$D,"Expired")</f>
        <v>0</v>
      </c>
      <c r="L946" s="50">
        <f>SUMIFS('Stock Adjustment'!$E:$E,'Stock Adjustment'!$B:$B,$A946,'Stock Adjustment'!$D:$D,"Supplier Returned")</f>
        <v>0</v>
      </c>
      <c r="M94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6" s="53" t="str">
        <f>IF(B946="","",VLOOKUP(B946,'Product Master'!$B:$G,4,FALSE))</f>
        <v/>
      </c>
      <c r="O946" s="53" t="str">
        <f>IF(B946="","",VLOOKUP(B946,'Product Master'!$B:$G,5,FALSE))</f>
        <v/>
      </c>
      <c r="P946" s="50" t="str">
        <f>IF(B946="","",VLOOKUP(B946,'Product Master'!$B:$I,7,FALSE))</f>
        <v/>
      </c>
      <c r="Q946" s="158"/>
      <c r="R946" s="58" t="str">
        <f t="shared" si="14"/>
        <v/>
      </c>
      <c r="S946" s="25"/>
      <c r="T946" s="25"/>
      <c r="U946" s="25"/>
      <c r="V946" s="25"/>
      <c r="W946" s="25"/>
      <c r="X946" s="25"/>
    </row>
    <row r="947" spans="1:24" x14ac:dyDescent="0.25">
      <c r="A947" s="31" t="s">
        <v>1507</v>
      </c>
      <c r="B947" s="32"/>
      <c r="C947" s="50" t="str">
        <f>IF(B947="","",VLOOKUP(B947,'Product Master'!$B:$G,2,FALSE))</f>
        <v/>
      </c>
      <c r="D947" s="50" t="str">
        <f>IF(B947="","",VLOOKUP(B947,'Product Master'!$B:$G,3,FALSE))</f>
        <v/>
      </c>
      <c r="E947" s="50"/>
      <c r="F947" s="50">
        <f>SUMIF('Stock Purchase'!$D:$D,B947,'Stock Purchase'!$F:$F)</f>
        <v>0</v>
      </c>
      <c r="G947" s="50">
        <f>SUMIFS('Stock Adjustment'!$E:$E,'Stock Adjustment'!$B:$B,$A947,'Stock Adjustment'!$D:$D,"Customer Returned")</f>
        <v>0</v>
      </c>
      <c r="H947" s="50">
        <f>SUMIF('Daily Sales Entry'!$D:$D,B947,'Daily Sales Entry'!$G:$G)</f>
        <v>0</v>
      </c>
      <c r="I947" s="50">
        <f>SUMIFS('Stock Adjustment'!$E:$E,'Stock Adjustment'!$B:$B,$A947,'Stock Adjustment'!$D:$D,"Staff Consumption")</f>
        <v>0</v>
      </c>
      <c r="J947" s="50">
        <f>SUMIFS('Stock Adjustment'!$E:$E,'Stock Adjustment'!$B:$B,$A947,'Stock Adjustment'!$D:$D,"Damaged")</f>
        <v>0</v>
      </c>
      <c r="K947" s="50">
        <f>SUMIFS('Stock Adjustment'!$E:$E,'Stock Adjustment'!$B:$B,$A947,'Stock Adjustment'!$D:$D,"Expired")</f>
        <v>0</v>
      </c>
      <c r="L947" s="50">
        <f>SUMIFS('Stock Adjustment'!$E:$E,'Stock Adjustment'!$B:$B,$A947,'Stock Adjustment'!$D:$D,"Supplier Returned")</f>
        <v>0</v>
      </c>
      <c r="M94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7" s="53" t="str">
        <f>IF(B947="","",VLOOKUP(B947,'Product Master'!$B:$G,4,FALSE))</f>
        <v/>
      </c>
      <c r="O947" s="53" t="str">
        <f>IF(B947="","",VLOOKUP(B947,'Product Master'!$B:$G,5,FALSE))</f>
        <v/>
      </c>
      <c r="P947" s="50" t="str">
        <f>IF(B947="","",VLOOKUP(B947,'Product Master'!$B:$I,7,FALSE))</f>
        <v/>
      </c>
      <c r="Q947" s="158"/>
      <c r="R947" s="58" t="str">
        <f t="shared" si="14"/>
        <v/>
      </c>
      <c r="S947" s="25"/>
      <c r="T947" s="25"/>
      <c r="U947" s="25"/>
      <c r="V947" s="25"/>
      <c r="W947" s="25"/>
      <c r="X947" s="25"/>
    </row>
    <row r="948" spans="1:24" x14ac:dyDescent="0.25">
      <c r="A948" s="31" t="s">
        <v>1508</v>
      </c>
      <c r="B948" s="32"/>
      <c r="C948" s="50" t="str">
        <f>IF(B948="","",VLOOKUP(B948,'Product Master'!$B:$G,2,FALSE))</f>
        <v/>
      </c>
      <c r="D948" s="50" t="str">
        <f>IF(B948="","",VLOOKUP(B948,'Product Master'!$B:$G,3,FALSE))</f>
        <v/>
      </c>
      <c r="E948" s="50"/>
      <c r="F948" s="50">
        <f>SUMIF('Stock Purchase'!$D:$D,B948,'Stock Purchase'!$F:$F)</f>
        <v>0</v>
      </c>
      <c r="G948" s="50">
        <f>SUMIFS('Stock Adjustment'!$E:$E,'Stock Adjustment'!$B:$B,$A948,'Stock Adjustment'!$D:$D,"Customer Returned")</f>
        <v>0</v>
      </c>
      <c r="H948" s="50">
        <f>SUMIF('Daily Sales Entry'!$D:$D,B948,'Daily Sales Entry'!$G:$G)</f>
        <v>0</v>
      </c>
      <c r="I948" s="50">
        <f>SUMIFS('Stock Adjustment'!$E:$E,'Stock Adjustment'!$B:$B,$A948,'Stock Adjustment'!$D:$D,"Staff Consumption")</f>
        <v>0</v>
      </c>
      <c r="J948" s="50">
        <f>SUMIFS('Stock Adjustment'!$E:$E,'Stock Adjustment'!$B:$B,$A948,'Stock Adjustment'!$D:$D,"Damaged")</f>
        <v>0</v>
      </c>
      <c r="K948" s="50">
        <f>SUMIFS('Stock Adjustment'!$E:$E,'Stock Adjustment'!$B:$B,$A948,'Stock Adjustment'!$D:$D,"Expired")</f>
        <v>0</v>
      </c>
      <c r="L948" s="50">
        <f>SUMIFS('Stock Adjustment'!$E:$E,'Stock Adjustment'!$B:$B,$A948,'Stock Adjustment'!$D:$D,"Supplier Returned")</f>
        <v>0</v>
      </c>
      <c r="M94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8" s="53" t="str">
        <f>IF(B948="","",VLOOKUP(B948,'Product Master'!$B:$G,4,FALSE))</f>
        <v/>
      </c>
      <c r="O948" s="53" t="str">
        <f>IF(B948="","",VLOOKUP(B948,'Product Master'!$B:$G,5,FALSE))</f>
        <v/>
      </c>
      <c r="P948" s="50" t="str">
        <f>IF(B948="","",VLOOKUP(B948,'Product Master'!$B:$I,7,FALSE))</f>
        <v/>
      </c>
      <c r="Q948" s="158"/>
      <c r="R948" s="58" t="str">
        <f t="shared" si="14"/>
        <v/>
      </c>
      <c r="S948" s="25"/>
      <c r="T948" s="25"/>
      <c r="U948" s="25"/>
      <c r="V948" s="25"/>
      <c r="W948" s="25"/>
      <c r="X948" s="25"/>
    </row>
    <row r="949" spans="1:24" x14ac:dyDescent="0.25">
      <c r="A949" s="31" t="s">
        <v>1509</v>
      </c>
      <c r="B949" s="32"/>
      <c r="C949" s="50" t="str">
        <f>IF(B949="","",VLOOKUP(B949,'Product Master'!$B:$G,2,FALSE))</f>
        <v/>
      </c>
      <c r="D949" s="50" t="str">
        <f>IF(B949="","",VLOOKUP(B949,'Product Master'!$B:$G,3,FALSE))</f>
        <v/>
      </c>
      <c r="E949" s="50"/>
      <c r="F949" s="50">
        <f>SUMIF('Stock Purchase'!$D:$D,B949,'Stock Purchase'!$F:$F)</f>
        <v>0</v>
      </c>
      <c r="G949" s="50">
        <f>SUMIFS('Stock Adjustment'!$E:$E,'Stock Adjustment'!$B:$B,$A949,'Stock Adjustment'!$D:$D,"Customer Returned")</f>
        <v>0</v>
      </c>
      <c r="H949" s="50">
        <f>SUMIF('Daily Sales Entry'!$D:$D,B949,'Daily Sales Entry'!$G:$G)</f>
        <v>0</v>
      </c>
      <c r="I949" s="50">
        <f>SUMIFS('Stock Adjustment'!$E:$E,'Stock Adjustment'!$B:$B,$A949,'Stock Adjustment'!$D:$D,"Staff Consumption")</f>
        <v>0</v>
      </c>
      <c r="J949" s="50">
        <f>SUMIFS('Stock Adjustment'!$E:$E,'Stock Adjustment'!$B:$B,$A949,'Stock Adjustment'!$D:$D,"Damaged")</f>
        <v>0</v>
      </c>
      <c r="K949" s="50">
        <f>SUMIFS('Stock Adjustment'!$E:$E,'Stock Adjustment'!$B:$B,$A949,'Stock Adjustment'!$D:$D,"Expired")</f>
        <v>0</v>
      </c>
      <c r="L949" s="50">
        <f>SUMIFS('Stock Adjustment'!$E:$E,'Stock Adjustment'!$B:$B,$A949,'Stock Adjustment'!$D:$D,"Supplier Returned")</f>
        <v>0</v>
      </c>
      <c r="M94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49" s="53" t="str">
        <f>IF(B949="","",VLOOKUP(B949,'Product Master'!$B:$G,4,FALSE))</f>
        <v/>
      </c>
      <c r="O949" s="53" t="str">
        <f>IF(B949="","",VLOOKUP(B949,'Product Master'!$B:$G,5,FALSE))</f>
        <v/>
      </c>
      <c r="P949" s="50" t="str">
        <f>IF(B949="","",VLOOKUP(B949,'Product Master'!$B:$I,7,FALSE))</f>
        <v/>
      </c>
      <c r="Q949" s="158"/>
      <c r="R949" s="58" t="str">
        <f t="shared" si="14"/>
        <v/>
      </c>
      <c r="S949" s="25"/>
      <c r="T949" s="25"/>
      <c r="U949" s="25"/>
      <c r="V949" s="25"/>
      <c r="W949" s="25"/>
      <c r="X949" s="25"/>
    </row>
    <row r="950" spans="1:24" x14ac:dyDescent="0.25">
      <c r="A950" s="31" t="s">
        <v>1510</v>
      </c>
      <c r="B950" s="32"/>
      <c r="C950" s="50" t="str">
        <f>IF(B950="","",VLOOKUP(B950,'Product Master'!$B:$G,2,FALSE))</f>
        <v/>
      </c>
      <c r="D950" s="50" t="str">
        <f>IF(B950="","",VLOOKUP(B950,'Product Master'!$B:$G,3,FALSE))</f>
        <v/>
      </c>
      <c r="E950" s="50"/>
      <c r="F950" s="50">
        <f>SUMIF('Stock Purchase'!$D:$D,B950,'Stock Purchase'!$F:$F)</f>
        <v>0</v>
      </c>
      <c r="G950" s="50">
        <f>SUMIFS('Stock Adjustment'!$E:$E,'Stock Adjustment'!$B:$B,$A950,'Stock Adjustment'!$D:$D,"Customer Returned")</f>
        <v>0</v>
      </c>
      <c r="H950" s="50">
        <f>SUMIF('Daily Sales Entry'!$D:$D,B950,'Daily Sales Entry'!$G:$G)</f>
        <v>0</v>
      </c>
      <c r="I950" s="50">
        <f>SUMIFS('Stock Adjustment'!$E:$E,'Stock Adjustment'!$B:$B,$A950,'Stock Adjustment'!$D:$D,"Staff Consumption")</f>
        <v>0</v>
      </c>
      <c r="J950" s="50">
        <f>SUMIFS('Stock Adjustment'!$E:$E,'Stock Adjustment'!$B:$B,$A950,'Stock Adjustment'!$D:$D,"Damaged")</f>
        <v>0</v>
      </c>
      <c r="K950" s="50">
        <f>SUMIFS('Stock Adjustment'!$E:$E,'Stock Adjustment'!$B:$B,$A950,'Stock Adjustment'!$D:$D,"Expired")</f>
        <v>0</v>
      </c>
      <c r="L950" s="50">
        <f>SUMIFS('Stock Adjustment'!$E:$E,'Stock Adjustment'!$B:$B,$A950,'Stock Adjustment'!$D:$D,"Supplier Returned")</f>
        <v>0</v>
      </c>
      <c r="M95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0" s="53" t="str">
        <f>IF(B950="","",VLOOKUP(B950,'Product Master'!$B:$G,4,FALSE))</f>
        <v/>
      </c>
      <c r="O950" s="53" t="str">
        <f>IF(B950="","",VLOOKUP(B950,'Product Master'!$B:$G,5,FALSE))</f>
        <v/>
      </c>
      <c r="P950" s="50" t="str">
        <f>IF(B950="","",VLOOKUP(B950,'Product Master'!$B:$I,7,FALSE))</f>
        <v/>
      </c>
      <c r="Q950" s="158"/>
      <c r="R950" s="58" t="str">
        <f t="shared" si="14"/>
        <v/>
      </c>
      <c r="S950" s="25"/>
      <c r="T950" s="25"/>
      <c r="U950" s="25"/>
      <c r="V950" s="25"/>
      <c r="W950" s="25"/>
      <c r="X950" s="25"/>
    </row>
    <row r="951" spans="1:24" x14ac:dyDescent="0.25">
      <c r="A951" s="31" t="s">
        <v>1511</v>
      </c>
      <c r="B951" s="32"/>
      <c r="C951" s="50" t="str">
        <f>IF(B951="","",VLOOKUP(B951,'Product Master'!$B:$G,2,FALSE))</f>
        <v/>
      </c>
      <c r="D951" s="50" t="str">
        <f>IF(B951="","",VLOOKUP(B951,'Product Master'!$B:$G,3,FALSE))</f>
        <v/>
      </c>
      <c r="E951" s="50"/>
      <c r="F951" s="50">
        <f>SUMIF('Stock Purchase'!$D:$D,B951,'Stock Purchase'!$F:$F)</f>
        <v>0</v>
      </c>
      <c r="G951" s="50">
        <f>SUMIFS('Stock Adjustment'!$E:$E,'Stock Adjustment'!$B:$B,$A951,'Stock Adjustment'!$D:$D,"Customer Returned")</f>
        <v>0</v>
      </c>
      <c r="H951" s="50">
        <f>SUMIF('Daily Sales Entry'!$D:$D,B951,'Daily Sales Entry'!$G:$G)</f>
        <v>0</v>
      </c>
      <c r="I951" s="50">
        <f>SUMIFS('Stock Adjustment'!$E:$E,'Stock Adjustment'!$B:$B,$A951,'Stock Adjustment'!$D:$D,"Staff Consumption")</f>
        <v>0</v>
      </c>
      <c r="J951" s="50">
        <f>SUMIFS('Stock Adjustment'!$E:$E,'Stock Adjustment'!$B:$B,$A951,'Stock Adjustment'!$D:$D,"Damaged")</f>
        <v>0</v>
      </c>
      <c r="K951" s="50">
        <f>SUMIFS('Stock Adjustment'!$E:$E,'Stock Adjustment'!$B:$B,$A951,'Stock Adjustment'!$D:$D,"Expired")</f>
        <v>0</v>
      </c>
      <c r="L951" s="50">
        <f>SUMIFS('Stock Adjustment'!$E:$E,'Stock Adjustment'!$B:$B,$A951,'Stock Adjustment'!$D:$D,"Supplier Returned")</f>
        <v>0</v>
      </c>
      <c r="M95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1" s="53" t="str">
        <f>IF(B951="","",VLOOKUP(B951,'Product Master'!$B:$G,4,FALSE))</f>
        <v/>
      </c>
      <c r="O951" s="53" t="str">
        <f>IF(B951="","",VLOOKUP(B951,'Product Master'!$B:$G,5,FALSE))</f>
        <v/>
      </c>
      <c r="P951" s="50" t="str">
        <f>IF(B951="","",VLOOKUP(B951,'Product Master'!$B:$I,7,FALSE))</f>
        <v/>
      </c>
      <c r="Q951" s="158"/>
      <c r="R951" s="58" t="str">
        <f t="shared" si="14"/>
        <v/>
      </c>
      <c r="S951" s="25"/>
      <c r="T951" s="25"/>
      <c r="U951" s="25"/>
      <c r="V951" s="25"/>
      <c r="W951" s="25"/>
      <c r="X951" s="25"/>
    </row>
    <row r="952" spans="1:24" x14ac:dyDescent="0.25">
      <c r="A952" s="31" t="s">
        <v>1512</v>
      </c>
      <c r="B952" s="32"/>
      <c r="C952" s="50" t="str">
        <f>IF(B952="","",VLOOKUP(B952,'Product Master'!$B:$G,2,FALSE))</f>
        <v/>
      </c>
      <c r="D952" s="50" t="str">
        <f>IF(B952="","",VLOOKUP(B952,'Product Master'!$B:$G,3,FALSE))</f>
        <v/>
      </c>
      <c r="E952" s="50"/>
      <c r="F952" s="50">
        <f>SUMIF('Stock Purchase'!$D:$D,B952,'Stock Purchase'!$F:$F)</f>
        <v>0</v>
      </c>
      <c r="G952" s="50">
        <f>SUMIFS('Stock Adjustment'!$E:$E,'Stock Adjustment'!$B:$B,$A952,'Stock Adjustment'!$D:$D,"Customer Returned")</f>
        <v>0</v>
      </c>
      <c r="H952" s="50">
        <f>SUMIF('Daily Sales Entry'!$D:$D,B952,'Daily Sales Entry'!$G:$G)</f>
        <v>0</v>
      </c>
      <c r="I952" s="50">
        <f>SUMIFS('Stock Adjustment'!$E:$E,'Stock Adjustment'!$B:$B,$A952,'Stock Adjustment'!$D:$D,"Staff Consumption")</f>
        <v>0</v>
      </c>
      <c r="J952" s="50">
        <f>SUMIFS('Stock Adjustment'!$E:$E,'Stock Adjustment'!$B:$B,$A952,'Stock Adjustment'!$D:$D,"Damaged")</f>
        <v>0</v>
      </c>
      <c r="K952" s="50">
        <f>SUMIFS('Stock Adjustment'!$E:$E,'Stock Adjustment'!$B:$B,$A952,'Stock Adjustment'!$D:$D,"Expired")</f>
        <v>0</v>
      </c>
      <c r="L952" s="50">
        <f>SUMIFS('Stock Adjustment'!$E:$E,'Stock Adjustment'!$B:$B,$A952,'Stock Adjustment'!$D:$D,"Supplier Returned")</f>
        <v>0</v>
      </c>
      <c r="M95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2" s="53" t="str">
        <f>IF(B952="","",VLOOKUP(B952,'Product Master'!$B:$G,4,FALSE))</f>
        <v/>
      </c>
      <c r="O952" s="53" t="str">
        <f>IF(B952="","",VLOOKUP(B952,'Product Master'!$B:$G,5,FALSE))</f>
        <v/>
      </c>
      <c r="P952" s="50" t="str">
        <f>IF(B952="","",VLOOKUP(B952,'Product Master'!$B:$I,7,FALSE))</f>
        <v/>
      </c>
      <c r="Q952" s="158"/>
      <c r="R952" s="58" t="str">
        <f t="shared" si="14"/>
        <v/>
      </c>
      <c r="S952" s="25"/>
      <c r="T952" s="25"/>
      <c r="U952" s="25"/>
      <c r="V952" s="25"/>
      <c r="W952" s="25"/>
      <c r="X952" s="25"/>
    </row>
    <row r="953" spans="1:24" x14ac:dyDescent="0.25">
      <c r="A953" s="31" t="s">
        <v>1513</v>
      </c>
      <c r="B953" s="32"/>
      <c r="C953" s="50" t="str">
        <f>IF(B953="","",VLOOKUP(B953,'Product Master'!$B:$G,2,FALSE))</f>
        <v/>
      </c>
      <c r="D953" s="50" t="str">
        <f>IF(B953="","",VLOOKUP(B953,'Product Master'!$B:$G,3,FALSE))</f>
        <v/>
      </c>
      <c r="E953" s="50"/>
      <c r="F953" s="50">
        <f>SUMIF('Stock Purchase'!$D:$D,B953,'Stock Purchase'!$F:$F)</f>
        <v>0</v>
      </c>
      <c r="G953" s="50">
        <f>SUMIFS('Stock Adjustment'!$E:$E,'Stock Adjustment'!$B:$B,$A953,'Stock Adjustment'!$D:$D,"Customer Returned")</f>
        <v>0</v>
      </c>
      <c r="H953" s="50">
        <f>SUMIF('Daily Sales Entry'!$D:$D,B953,'Daily Sales Entry'!$G:$G)</f>
        <v>0</v>
      </c>
      <c r="I953" s="50">
        <f>SUMIFS('Stock Adjustment'!$E:$E,'Stock Adjustment'!$B:$B,$A953,'Stock Adjustment'!$D:$D,"Staff Consumption")</f>
        <v>0</v>
      </c>
      <c r="J953" s="50">
        <f>SUMIFS('Stock Adjustment'!$E:$E,'Stock Adjustment'!$B:$B,$A953,'Stock Adjustment'!$D:$D,"Damaged")</f>
        <v>0</v>
      </c>
      <c r="K953" s="50">
        <f>SUMIFS('Stock Adjustment'!$E:$E,'Stock Adjustment'!$B:$B,$A953,'Stock Adjustment'!$D:$D,"Expired")</f>
        <v>0</v>
      </c>
      <c r="L953" s="50">
        <f>SUMIFS('Stock Adjustment'!$E:$E,'Stock Adjustment'!$B:$B,$A953,'Stock Adjustment'!$D:$D,"Supplier Returned")</f>
        <v>0</v>
      </c>
      <c r="M95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3" s="53" t="str">
        <f>IF(B953="","",VLOOKUP(B953,'Product Master'!$B:$G,4,FALSE))</f>
        <v/>
      </c>
      <c r="O953" s="53" t="str">
        <f>IF(B953="","",VLOOKUP(B953,'Product Master'!$B:$G,5,FALSE))</f>
        <v/>
      </c>
      <c r="P953" s="50" t="str">
        <f>IF(B953="","",VLOOKUP(B953,'Product Master'!$B:$I,7,FALSE))</f>
        <v/>
      </c>
      <c r="Q953" s="158"/>
      <c r="R953" s="58" t="str">
        <f t="shared" si="14"/>
        <v/>
      </c>
      <c r="S953" s="25"/>
      <c r="T953" s="25"/>
      <c r="U953" s="25"/>
      <c r="V953" s="25"/>
      <c r="W953" s="25"/>
      <c r="X953" s="25"/>
    </row>
    <row r="954" spans="1:24" x14ac:dyDescent="0.25">
      <c r="A954" s="31" t="s">
        <v>1514</v>
      </c>
      <c r="B954" s="32"/>
      <c r="C954" s="50" t="str">
        <f>IF(B954="","",VLOOKUP(B954,'Product Master'!$B:$G,2,FALSE))</f>
        <v/>
      </c>
      <c r="D954" s="50" t="str">
        <f>IF(B954="","",VLOOKUP(B954,'Product Master'!$B:$G,3,FALSE))</f>
        <v/>
      </c>
      <c r="E954" s="50"/>
      <c r="F954" s="50">
        <f>SUMIF('Stock Purchase'!$D:$D,B954,'Stock Purchase'!$F:$F)</f>
        <v>0</v>
      </c>
      <c r="G954" s="50">
        <f>SUMIFS('Stock Adjustment'!$E:$E,'Stock Adjustment'!$B:$B,$A954,'Stock Adjustment'!$D:$D,"Customer Returned")</f>
        <v>0</v>
      </c>
      <c r="H954" s="50">
        <f>SUMIF('Daily Sales Entry'!$D:$D,B954,'Daily Sales Entry'!$G:$G)</f>
        <v>0</v>
      </c>
      <c r="I954" s="50">
        <f>SUMIFS('Stock Adjustment'!$E:$E,'Stock Adjustment'!$B:$B,$A954,'Stock Adjustment'!$D:$D,"Staff Consumption")</f>
        <v>0</v>
      </c>
      <c r="J954" s="50">
        <f>SUMIFS('Stock Adjustment'!$E:$E,'Stock Adjustment'!$B:$B,$A954,'Stock Adjustment'!$D:$D,"Damaged")</f>
        <v>0</v>
      </c>
      <c r="K954" s="50">
        <f>SUMIFS('Stock Adjustment'!$E:$E,'Stock Adjustment'!$B:$B,$A954,'Stock Adjustment'!$D:$D,"Expired")</f>
        <v>0</v>
      </c>
      <c r="L954" s="50">
        <f>SUMIFS('Stock Adjustment'!$E:$E,'Stock Adjustment'!$B:$B,$A954,'Stock Adjustment'!$D:$D,"Supplier Returned")</f>
        <v>0</v>
      </c>
      <c r="M95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4" s="53" t="str">
        <f>IF(B954="","",VLOOKUP(B954,'Product Master'!$B:$G,4,FALSE))</f>
        <v/>
      </c>
      <c r="O954" s="53" t="str">
        <f>IF(B954="","",VLOOKUP(B954,'Product Master'!$B:$G,5,FALSE))</f>
        <v/>
      </c>
      <c r="P954" s="50" t="str">
        <f>IF(B954="","",VLOOKUP(B954,'Product Master'!$B:$I,7,FALSE))</f>
        <v/>
      </c>
      <c r="Q954" s="158"/>
      <c r="R954" s="58" t="str">
        <f t="shared" si="14"/>
        <v/>
      </c>
      <c r="S954" s="25"/>
      <c r="T954" s="25"/>
      <c r="U954" s="25"/>
      <c r="V954" s="25"/>
      <c r="W954" s="25"/>
      <c r="X954" s="25"/>
    </row>
    <row r="955" spans="1:24" x14ac:dyDescent="0.25">
      <c r="A955" s="31" t="s">
        <v>1515</v>
      </c>
      <c r="B955" s="32"/>
      <c r="C955" s="50" t="str">
        <f>IF(B955="","",VLOOKUP(B955,'Product Master'!$B:$G,2,FALSE))</f>
        <v/>
      </c>
      <c r="D955" s="50" t="str">
        <f>IF(B955="","",VLOOKUP(B955,'Product Master'!$B:$G,3,FALSE))</f>
        <v/>
      </c>
      <c r="E955" s="50"/>
      <c r="F955" s="50">
        <f>SUMIF('Stock Purchase'!$D:$D,B955,'Stock Purchase'!$F:$F)</f>
        <v>0</v>
      </c>
      <c r="G955" s="50">
        <f>SUMIFS('Stock Adjustment'!$E:$E,'Stock Adjustment'!$B:$B,$A955,'Stock Adjustment'!$D:$D,"Customer Returned")</f>
        <v>0</v>
      </c>
      <c r="H955" s="50">
        <f>SUMIF('Daily Sales Entry'!$D:$D,B955,'Daily Sales Entry'!$G:$G)</f>
        <v>0</v>
      </c>
      <c r="I955" s="50">
        <f>SUMIFS('Stock Adjustment'!$E:$E,'Stock Adjustment'!$B:$B,$A955,'Stock Adjustment'!$D:$D,"Staff Consumption")</f>
        <v>0</v>
      </c>
      <c r="J955" s="50">
        <f>SUMIFS('Stock Adjustment'!$E:$E,'Stock Adjustment'!$B:$B,$A955,'Stock Adjustment'!$D:$D,"Damaged")</f>
        <v>0</v>
      </c>
      <c r="K955" s="50">
        <f>SUMIFS('Stock Adjustment'!$E:$E,'Stock Adjustment'!$B:$B,$A955,'Stock Adjustment'!$D:$D,"Expired")</f>
        <v>0</v>
      </c>
      <c r="L955" s="50">
        <f>SUMIFS('Stock Adjustment'!$E:$E,'Stock Adjustment'!$B:$B,$A955,'Stock Adjustment'!$D:$D,"Supplier Returned")</f>
        <v>0</v>
      </c>
      <c r="M95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5" s="53" t="str">
        <f>IF(B955="","",VLOOKUP(B955,'Product Master'!$B:$G,4,FALSE))</f>
        <v/>
      </c>
      <c r="O955" s="53" t="str">
        <f>IF(B955="","",VLOOKUP(B955,'Product Master'!$B:$G,5,FALSE))</f>
        <v/>
      </c>
      <c r="P955" s="50" t="str">
        <f>IF(B955="","",VLOOKUP(B955,'Product Master'!$B:$I,7,FALSE))</f>
        <v/>
      </c>
      <c r="Q955" s="158"/>
      <c r="R955" s="58" t="str">
        <f t="shared" si="14"/>
        <v/>
      </c>
      <c r="S955" s="25"/>
      <c r="T955" s="25"/>
      <c r="U955" s="25"/>
      <c r="V955" s="25"/>
      <c r="W955" s="25"/>
      <c r="X955" s="25"/>
    </row>
    <row r="956" spans="1:24" x14ac:dyDescent="0.25">
      <c r="A956" s="31" t="s">
        <v>1516</v>
      </c>
      <c r="B956" s="32"/>
      <c r="C956" s="50" t="str">
        <f>IF(B956="","",VLOOKUP(B956,'Product Master'!$B:$G,2,FALSE))</f>
        <v/>
      </c>
      <c r="D956" s="50" t="str">
        <f>IF(B956="","",VLOOKUP(B956,'Product Master'!$B:$G,3,FALSE))</f>
        <v/>
      </c>
      <c r="E956" s="50"/>
      <c r="F956" s="50">
        <f>SUMIF('Stock Purchase'!$D:$D,B956,'Stock Purchase'!$F:$F)</f>
        <v>0</v>
      </c>
      <c r="G956" s="50">
        <f>SUMIFS('Stock Adjustment'!$E:$E,'Stock Adjustment'!$B:$B,$A956,'Stock Adjustment'!$D:$D,"Customer Returned")</f>
        <v>0</v>
      </c>
      <c r="H956" s="50">
        <f>SUMIF('Daily Sales Entry'!$D:$D,B956,'Daily Sales Entry'!$G:$G)</f>
        <v>0</v>
      </c>
      <c r="I956" s="50">
        <f>SUMIFS('Stock Adjustment'!$E:$E,'Stock Adjustment'!$B:$B,$A956,'Stock Adjustment'!$D:$D,"Staff Consumption")</f>
        <v>0</v>
      </c>
      <c r="J956" s="50">
        <f>SUMIFS('Stock Adjustment'!$E:$E,'Stock Adjustment'!$B:$B,$A956,'Stock Adjustment'!$D:$D,"Damaged")</f>
        <v>0</v>
      </c>
      <c r="K956" s="50">
        <f>SUMIFS('Stock Adjustment'!$E:$E,'Stock Adjustment'!$B:$B,$A956,'Stock Adjustment'!$D:$D,"Expired")</f>
        <v>0</v>
      </c>
      <c r="L956" s="50">
        <f>SUMIFS('Stock Adjustment'!$E:$E,'Stock Adjustment'!$B:$B,$A956,'Stock Adjustment'!$D:$D,"Supplier Returned")</f>
        <v>0</v>
      </c>
      <c r="M95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6" s="53" t="str">
        <f>IF(B956="","",VLOOKUP(B956,'Product Master'!$B:$G,4,FALSE))</f>
        <v/>
      </c>
      <c r="O956" s="53" t="str">
        <f>IF(B956="","",VLOOKUP(B956,'Product Master'!$B:$G,5,FALSE))</f>
        <v/>
      </c>
      <c r="P956" s="50" t="str">
        <f>IF(B956="","",VLOOKUP(B956,'Product Master'!$B:$I,7,FALSE))</f>
        <v/>
      </c>
      <c r="Q956" s="158"/>
      <c r="R956" s="58" t="str">
        <f t="shared" si="14"/>
        <v/>
      </c>
      <c r="S956" s="25"/>
      <c r="T956" s="25"/>
      <c r="U956" s="25"/>
      <c r="V956" s="25"/>
      <c r="W956" s="25"/>
      <c r="X956" s="25"/>
    </row>
    <row r="957" spans="1:24" x14ac:dyDescent="0.25">
      <c r="A957" s="31" t="s">
        <v>1517</v>
      </c>
      <c r="B957" s="32"/>
      <c r="C957" s="50" t="str">
        <f>IF(B957="","",VLOOKUP(B957,'Product Master'!$B:$G,2,FALSE))</f>
        <v/>
      </c>
      <c r="D957" s="50" t="str">
        <f>IF(B957="","",VLOOKUP(B957,'Product Master'!$B:$G,3,FALSE))</f>
        <v/>
      </c>
      <c r="E957" s="50"/>
      <c r="F957" s="50">
        <f>SUMIF('Stock Purchase'!$D:$D,B957,'Stock Purchase'!$F:$F)</f>
        <v>0</v>
      </c>
      <c r="G957" s="50">
        <f>SUMIFS('Stock Adjustment'!$E:$E,'Stock Adjustment'!$B:$B,$A957,'Stock Adjustment'!$D:$D,"Customer Returned")</f>
        <v>0</v>
      </c>
      <c r="H957" s="50">
        <f>SUMIF('Daily Sales Entry'!$D:$D,B957,'Daily Sales Entry'!$G:$G)</f>
        <v>0</v>
      </c>
      <c r="I957" s="50">
        <f>SUMIFS('Stock Adjustment'!$E:$E,'Stock Adjustment'!$B:$B,$A957,'Stock Adjustment'!$D:$D,"Staff Consumption")</f>
        <v>0</v>
      </c>
      <c r="J957" s="50">
        <f>SUMIFS('Stock Adjustment'!$E:$E,'Stock Adjustment'!$B:$B,$A957,'Stock Adjustment'!$D:$D,"Damaged")</f>
        <v>0</v>
      </c>
      <c r="K957" s="50">
        <f>SUMIFS('Stock Adjustment'!$E:$E,'Stock Adjustment'!$B:$B,$A957,'Stock Adjustment'!$D:$D,"Expired")</f>
        <v>0</v>
      </c>
      <c r="L957" s="50">
        <f>SUMIFS('Stock Adjustment'!$E:$E,'Stock Adjustment'!$B:$B,$A957,'Stock Adjustment'!$D:$D,"Supplier Returned")</f>
        <v>0</v>
      </c>
      <c r="M95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7" s="53" t="str">
        <f>IF(B957="","",VLOOKUP(B957,'Product Master'!$B:$G,4,FALSE))</f>
        <v/>
      </c>
      <c r="O957" s="53" t="str">
        <f>IF(B957="","",VLOOKUP(B957,'Product Master'!$B:$G,5,FALSE))</f>
        <v/>
      </c>
      <c r="P957" s="50" t="str">
        <f>IF(B957="","",VLOOKUP(B957,'Product Master'!$B:$I,7,FALSE))</f>
        <v/>
      </c>
      <c r="Q957" s="158"/>
      <c r="R957" s="58" t="str">
        <f t="shared" si="14"/>
        <v/>
      </c>
      <c r="S957" s="25"/>
      <c r="T957" s="25"/>
      <c r="U957" s="25"/>
      <c r="V957" s="25"/>
      <c r="W957" s="25"/>
      <c r="X957" s="25"/>
    </row>
    <row r="958" spans="1:24" x14ac:dyDescent="0.25">
      <c r="A958" s="31" t="s">
        <v>1518</v>
      </c>
      <c r="B958" s="32"/>
      <c r="C958" s="50" t="str">
        <f>IF(B958="","",VLOOKUP(B958,'Product Master'!$B:$G,2,FALSE))</f>
        <v/>
      </c>
      <c r="D958" s="50" t="str">
        <f>IF(B958="","",VLOOKUP(B958,'Product Master'!$B:$G,3,FALSE))</f>
        <v/>
      </c>
      <c r="E958" s="50"/>
      <c r="F958" s="50">
        <f>SUMIF('Stock Purchase'!$D:$D,B958,'Stock Purchase'!$F:$F)</f>
        <v>0</v>
      </c>
      <c r="G958" s="50">
        <f>SUMIFS('Stock Adjustment'!$E:$E,'Stock Adjustment'!$B:$B,$A958,'Stock Adjustment'!$D:$D,"Customer Returned")</f>
        <v>0</v>
      </c>
      <c r="H958" s="50">
        <f>SUMIF('Daily Sales Entry'!$D:$D,B958,'Daily Sales Entry'!$G:$G)</f>
        <v>0</v>
      </c>
      <c r="I958" s="50">
        <f>SUMIFS('Stock Adjustment'!$E:$E,'Stock Adjustment'!$B:$B,$A958,'Stock Adjustment'!$D:$D,"Staff Consumption")</f>
        <v>0</v>
      </c>
      <c r="J958" s="50">
        <f>SUMIFS('Stock Adjustment'!$E:$E,'Stock Adjustment'!$B:$B,$A958,'Stock Adjustment'!$D:$D,"Damaged")</f>
        <v>0</v>
      </c>
      <c r="K958" s="50">
        <f>SUMIFS('Stock Adjustment'!$E:$E,'Stock Adjustment'!$B:$B,$A958,'Stock Adjustment'!$D:$D,"Expired")</f>
        <v>0</v>
      </c>
      <c r="L958" s="50">
        <f>SUMIFS('Stock Adjustment'!$E:$E,'Stock Adjustment'!$B:$B,$A958,'Stock Adjustment'!$D:$D,"Supplier Returned")</f>
        <v>0</v>
      </c>
      <c r="M95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8" s="53" t="str">
        <f>IF(B958="","",VLOOKUP(B958,'Product Master'!$B:$G,4,FALSE))</f>
        <v/>
      </c>
      <c r="O958" s="53" t="str">
        <f>IF(B958="","",VLOOKUP(B958,'Product Master'!$B:$G,5,FALSE))</f>
        <v/>
      </c>
      <c r="P958" s="50" t="str">
        <f>IF(B958="","",VLOOKUP(B958,'Product Master'!$B:$I,7,FALSE))</f>
        <v/>
      </c>
      <c r="Q958" s="158"/>
      <c r="R958" s="58" t="str">
        <f t="shared" si="14"/>
        <v/>
      </c>
      <c r="S958" s="25"/>
      <c r="T958" s="25"/>
      <c r="U958" s="25"/>
      <c r="V958" s="25"/>
      <c r="W958" s="25"/>
      <c r="X958" s="25"/>
    </row>
    <row r="959" spans="1:24" x14ac:dyDescent="0.25">
      <c r="A959" s="31" t="s">
        <v>1519</v>
      </c>
      <c r="B959" s="32"/>
      <c r="C959" s="50" t="str">
        <f>IF(B959="","",VLOOKUP(B959,'Product Master'!$B:$G,2,FALSE))</f>
        <v/>
      </c>
      <c r="D959" s="50" t="str">
        <f>IF(B959="","",VLOOKUP(B959,'Product Master'!$B:$G,3,FALSE))</f>
        <v/>
      </c>
      <c r="E959" s="50"/>
      <c r="F959" s="50">
        <f>SUMIF('Stock Purchase'!$D:$D,B959,'Stock Purchase'!$F:$F)</f>
        <v>0</v>
      </c>
      <c r="G959" s="50">
        <f>SUMIFS('Stock Adjustment'!$E:$E,'Stock Adjustment'!$B:$B,$A959,'Stock Adjustment'!$D:$D,"Customer Returned")</f>
        <v>0</v>
      </c>
      <c r="H959" s="50">
        <f>SUMIF('Daily Sales Entry'!$D:$D,B959,'Daily Sales Entry'!$G:$G)</f>
        <v>0</v>
      </c>
      <c r="I959" s="50">
        <f>SUMIFS('Stock Adjustment'!$E:$E,'Stock Adjustment'!$B:$B,$A959,'Stock Adjustment'!$D:$D,"Staff Consumption")</f>
        <v>0</v>
      </c>
      <c r="J959" s="50">
        <f>SUMIFS('Stock Adjustment'!$E:$E,'Stock Adjustment'!$B:$B,$A959,'Stock Adjustment'!$D:$D,"Damaged")</f>
        <v>0</v>
      </c>
      <c r="K959" s="50">
        <f>SUMIFS('Stock Adjustment'!$E:$E,'Stock Adjustment'!$B:$B,$A959,'Stock Adjustment'!$D:$D,"Expired")</f>
        <v>0</v>
      </c>
      <c r="L959" s="50">
        <f>SUMIFS('Stock Adjustment'!$E:$E,'Stock Adjustment'!$B:$B,$A959,'Stock Adjustment'!$D:$D,"Supplier Returned")</f>
        <v>0</v>
      </c>
      <c r="M95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59" s="53" t="str">
        <f>IF(B959="","",VLOOKUP(B959,'Product Master'!$B:$G,4,FALSE))</f>
        <v/>
      </c>
      <c r="O959" s="53" t="str">
        <f>IF(B959="","",VLOOKUP(B959,'Product Master'!$B:$G,5,FALSE))</f>
        <v/>
      </c>
      <c r="P959" s="50" t="str">
        <f>IF(B959="","",VLOOKUP(B959,'Product Master'!$B:$I,7,FALSE))</f>
        <v/>
      </c>
      <c r="Q959" s="158"/>
      <c r="R959" s="58" t="str">
        <f t="shared" si="14"/>
        <v/>
      </c>
      <c r="S959" s="25"/>
      <c r="T959" s="25"/>
      <c r="U959" s="25"/>
      <c r="V959" s="25"/>
      <c r="W959" s="25"/>
      <c r="X959" s="25"/>
    </row>
    <row r="960" spans="1:24" x14ac:dyDescent="0.25">
      <c r="A960" s="31" t="s">
        <v>1520</v>
      </c>
      <c r="B960" s="32"/>
      <c r="C960" s="50" t="str">
        <f>IF(B960="","",VLOOKUP(B960,'Product Master'!$B:$G,2,FALSE))</f>
        <v/>
      </c>
      <c r="D960" s="50" t="str">
        <f>IF(B960="","",VLOOKUP(B960,'Product Master'!$B:$G,3,FALSE))</f>
        <v/>
      </c>
      <c r="E960" s="50"/>
      <c r="F960" s="50">
        <f>SUMIF('Stock Purchase'!$D:$D,B960,'Stock Purchase'!$F:$F)</f>
        <v>0</v>
      </c>
      <c r="G960" s="50">
        <f>SUMIFS('Stock Adjustment'!$E:$E,'Stock Adjustment'!$B:$B,$A960,'Stock Adjustment'!$D:$D,"Customer Returned")</f>
        <v>0</v>
      </c>
      <c r="H960" s="50">
        <f>SUMIF('Daily Sales Entry'!$D:$D,B960,'Daily Sales Entry'!$G:$G)</f>
        <v>0</v>
      </c>
      <c r="I960" s="50">
        <f>SUMIFS('Stock Adjustment'!$E:$E,'Stock Adjustment'!$B:$B,$A960,'Stock Adjustment'!$D:$D,"Staff Consumption")</f>
        <v>0</v>
      </c>
      <c r="J960" s="50">
        <f>SUMIFS('Stock Adjustment'!$E:$E,'Stock Adjustment'!$B:$B,$A960,'Stock Adjustment'!$D:$D,"Damaged")</f>
        <v>0</v>
      </c>
      <c r="K960" s="50">
        <f>SUMIFS('Stock Adjustment'!$E:$E,'Stock Adjustment'!$B:$B,$A960,'Stock Adjustment'!$D:$D,"Expired")</f>
        <v>0</v>
      </c>
      <c r="L960" s="50">
        <f>SUMIFS('Stock Adjustment'!$E:$E,'Stock Adjustment'!$B:$B,$A960,'Stock Adjustment'!$D:$D,"Supplier Returned")</f>
        <v>0</v>
      </c>
      <c r="M96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0" s="53" t="str">
        <f>IF(B960="","",VLOOKUP(B960,'Product Master'!$B:$G,4,FALSE))</f>
        <v/>
      </c>
      <c r="O960" s="53" t="str">
        <f>IF(B960="","",VLOOKUP(B960,'Product Master'!$B:$G,5,FALSE))</f>
        <v/>
      </c>
      <c r="P960" s="50" t="str">
        <f>IF(B960="","",VLOOKUP(B960,'Product Master'!$B:$I,7,FALSE))</f>
        <v/>
      </c>
      <c r="Q960" s="158"/>
      <c r="R960" s="58" t="str">
        <f t="shared" si="14"/>
        <v/>
      </c>
      <c r="S960" s="25"/>
      <c r="T960" s="25"/>
      <c r="U960" s="25"/>
      <c r="V960" s="25"/>
      <c r="W960" s="25"/>
      <c r="X960" s="25"/>
    </row>
    <row r="961" spans="1:24" x14ac:dyDescent="0.25">
      <c r="A961" s="31" t="s">
        <v>1521</v>
      </c>
      <c r="B961" s="32"/>
      <c r="C961" s="50" t="str">
        <f>IF(B961="","",VLOOKUP(B961,'Product Master'!$B:$G,2,FALSE))</f>
        <v/>
      </c>
      <c r="D961" s="50" t="str">
        <f>IF(B961="","",VLOOKUP(B961,'Product Master'!$B:$G,3,FALSE))</f>
        <v/>
      </c>
      <c r="E961" s="50"/>
      <c r="F961" s="50">
        <f>SUMIF('Stock Purchase'!$D:$D,B961,'Stock Purchase'!$F:$F)</f>
        <v>0</v>
      </c>
      <c r="G961" s="50">
        <f>SUMIFS('Stock Adjustment'!$E:$E,'Stock Adjustment'!$B:$B,$A961,'Stock Adjustment'!$D:$D,"Customer Returned")</f>
        <v>0</v>
      </c>
      <c r="H961" s="50">
        <f>SUMIF('Daily Sales Entry'!$D:$D,B961,'Daily Sales Entry'!$G:$G)</f>
        <v>0</v>
      </c>
      <c r="I961" s="50">
        <f>SUMIFS('Stock Adjustment'!$E:$E,'Stock Adjustment'!$B:$B,$A961,'Stock Adjustment'!$D:$D,"Staff Consumption")</f>
        <v>0</v>
      </c>
      <c r="J961" s="50">
        <f>SUMIFS('Stock Adjustment'!$E:$E,'Stock Adjustment'!$B:$B,$A961,'Stock Adjustment'!$D:$D,"Damaged")</f>
        <v>0</v>
      </c>
      <c r="K961" s="50">
        <f>SUMIFS('Stock Adjustment'!$E:$E,'Stock Adjustment'!$B:$B,$A961,'Stock Adjustment'!$D:$D,"Expired")</f>
        <v>0</v>
      </c>
      <c r="L961" s="50">
        <f>SUMIFS('Stock Adjustment'!$E:$E,'Stock Adjustment'!$B:$B,$A961,'Stock Adjustment'!$D:$D,"Supplier Returned")</f>
        <v>0</v>
      </c>
      <c r="M96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1" s="53" t="str">
        <f>IF(B961="","",VLOOKUP(B961,'Product Master'!$B:$G,4,FALSE))</f>
        <v/>
      </c>
      <c r="O961" s="53" t="str">
        <f>IF(B961="","",VLOOKUP(B961,'Product Master'!$B:$G,5,FALSE))</f>
        <v/>
      </c>
      <c r="P961" s="50" t="str">
        <f>IF(B961="","",VLOOKUP(B961,'Product Master'!$B:$I,7,FALSE))</f>
        <v/>
      </c>
      <c r="Q961" s="158"/>
      <c r="R961" s="58" t="str">
        <f t="shared" si="14"/>
        <v/>
      </c>
      <c r="S961" s="25"/>
      <c r="T961" s="25"/>
      <c r="U961" s="25"/>
      <c r="V961" s="25"/>
      <c r="W961" s="25"/>
      <c r="X961" s="25"/>
    </row>
    <row r="962" spans="1:24" x14ac:dyDescent="0.25">
      <c r="A962" s="31" t="s">
        <v>1522</v>
      </c>
      <c r="B962" s="32"/>
      <c r="C962" s="50" t="str">
        <f>IF(B962="","",VLOOKUP(B962,'Product Master'!$B:$G,2,FALSE))</f>
        <v/>
      </c>
      <c r="D962" s="50" t="str">
        <f>IF(B962="","",VLOOKUP(B962,'Product Master'!$B:$G,3,FALSE))</f>
        <v/>
      </c>
      <c r="E962" s="50"/>
      <c r="F962" s="50">
        <f>SUMIF('Stock Purchase'!$D:$D,B962,'Stock Purchase'!$F:$F)</f>
        <v>0</v>
      </c>
      <c r="G962" s="50">
        <f>SUMIFS('Stock Adjustment'!$E:$E,'Stock Adjustment'!$B:$B,$A962,'Stock Adjustment'!$D:$D,"Customer Returned")</f>
        <v>0</v>
      </c>
      <c r="H962" s="50">
        <f>SUMIF('Daily Sales Entry'!$D:$D,B962,'Daily Sales Entry'!$G:$G)</f>
        <v>0</v>
      </c>
      <c r="I962" s="50">
        <f>SUMIFS('Stock Adjustment'!$E:$E,'Stock Adjustment'!$B:$B,$A962,'Stock Adjustment'!$D:$D,"Staff Consumption")</f>
        <v>0</v>
      </c>
      <c r="J962" s="50">
        <f>SUMIFS('Stock Adjustment'!$E:$E,'Stock Adjustment'!$B:$B,$A962,'Stock Adjustment'!$D:$D,"Damaged")</f>
        <v>0</v>
      </c>
      <c r="K962" s="50">
        <f>SUMIFS('Stock Adjustment'!$E:$E,'Stock Adjustment'!$B:$B,$A962,'Stock Adjustment'!$D:$D,"Expired")</f>
        <v>0</v>
      </c>
      <c r="L962" s="50">
        <f>SUMIFS('Stock Adjustment'!$E:$E,'Stock Adjustment'!$B:$B,$A962,'Stock Adjustment'!$D:$D,"Supplier Returned")</f>
        <v>0</v>
      </c>
      <c r="M96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2" s="53" t="str">
        <f>IF(B962="","",VLOOKUP(B962,'Product Master'!$B:$G,4,FALSE))</f>
        <v/>
      </c>
      <c r="O962" s="53" t="str">
        <f>IF(B962="","",VLOOKUP(B962,'Product Master'!$B:$G,5,FALSE))</f>
        <v/>
      </c>
      <c r="P962" s="50" t="str">
        <f>IF(B962="","",VLOOKUP(B962,'Product Master'!$B:$I,7,FALSE))</f>
        <v/>
      </c>
      <c r="Q962" s="158"/>
      <c r="R962" s="58" t="str">
        <f t="shared" ref="R962:R1025" si="15">IF(B962="","",IF(M962=0,"Out of Stock",IF(M962&lt;=10,"Low Stock","In Stock")))</f>
        <v/>
      </c>
      <c r="S962" s="25"/>
      <c r="T962" s="25"/>
      <c r="U962" s="25"/>
      <c r="V962" s="25"/>
      <c r="W962" s="25"/>
      <c r="X962" s="25"/>
    </row>
    <row r="963" spans="1:24" x14ac:dyDescent="0.25">
      <c r="A963" s="31" t="s">
        <v>1523</v>
      </c>
      <c r="B963" s="32"/>
      <c r="C963" s="50" t="str">
        <f>IF(B963="","",VLOOKUP(B963,'Product Master'!$B:$G,2,FALSE))</f>
        <v/>
      </c>
      <c r="D963" s="50" t="str">
        <f>IF(B963="","",VLOOKUP(B963,'Product Master'!$B:$G,3,FALSE))</f>
        <v/>
      </c>
      <c r="E963" s="50"/>
      <c r="F963" s="50">
        <f>SUMIF('Stock Purchase'!$D:$D,B963,'Stock Purchase'!$F:$F)</f>
        <v>0</v>
      </c>
      <c r="G963" s="50">
        <f>SUMIFS('Stock Adjustment'!$E:$E,'Stock Adjustment'!$B:$B,$A963,'Stock Adjustment'!$D:$D,"Customer Returned")</f>
        <v>0</v>
      </c>
      <c r="H963" s="50">
        <f>SUMIF('Daily Sales Entry'!$D:$D,B963,'Daily Sales Entry'!$G:$G)</f>
        <v>0</v>
      </c>
      <c r="I963" s="50">
        <f>SUMIFS('Stock Adjustment'!$E:$E,'Stock Adjustment'!$B:$B,$A963,'Stock Adjustment'!$D:$D,"Staff Consumption")</f>
        <v>0</v>
      </c>
      <c r="J963" s="50">
        <f>SUMIFS('Stock Adjustment'!$E:$E,'Stock Adjustment'!$B:$B,$A963,'Stock Adjustment'!$D:$D,"Damaged")</f>
        <v>0</v>
      </c>
      <c r="K963" s="50">
        <f>SUMIFS('Stock Adjustment'!$E:$E,'Stock Adjustment'!$B:$B,$A963,'Stock Adjustment'!$D:$D,"Expired")</f>
        <v>0</v>
      </c>
      <c r="L963" s="50">
        <f>SUMIFS('Stock Adjustment'!$E:$E,'Stock Adjustment'!$B:$B,$A963,'Stock Adjustment'!$D:$D,"Supplier Returned")</f>
        <v>0</v>
      </c>
      <c r="M96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3" s="53" t="str">
        <f>IF(B963="","",VLOOKUP(B963,'Product Master'!$B:$G,4,FALSE))</f>
        <v/>
      </c>
      <c r="O963" s="53" t="str">
        <f>IF(B963="","",VLOOKUP(B963,'Product Master'!$B:$G,5,FALSE))</f>
        <v/>
      </c>
      <c r="P963" s="50" t="str">
        <f>IF(B963="","",VLOOKUP(B963,'Product Master'!$B:$I,7,FALSE))</f>
        <v/>
      </c>
      <c r="Q963" s="158"/>
      <c r="R963" s="58" t="str">
        <f t="shared" si="15"/>
        <v/>
      </c>
      <c r="S963" s="25"/>
      <c r="T963" s="25"/>
      <c r="U963" s="25"/>
      <c r="V963" s="25"/>
      <c r="W963" s="25"/>
      <c r="X963" s="25"/>
    </row>
    <row r="964" spans="1:24" x14ac:dyDescent="0.25">
      <c r="A964" s="31" t="s">
        <v>1524</v>
      </c>
      <c r="B964" s="32"/>
      <c r="C964" s="50" t="str">
        <f>IF(B964="","",VLOOKUP(B964,'Product Master'!$B:$G,2,FALSE))</f>
        <v/>
      </c>
      <c r="D964" s="50" t="str">
        <f>IF(B964="","",VLOOKUP(B964,'Product Master'!$B:$G,3,FALSE))</f>
        <v/>
      </c>
      <c r="E964" s="50"/>
      <c r="F964" s="50">
        <f>SUMIF('Stock Purchase'!$D:$D,B964,'Stock Purchase'!$F:$F)</f>
        <v>0</v>
      </c>
      <c r="G964" s="50">
        <f>SUMIFS('Stock Adjustment'!$E:$E,'Stock Adjustment'!$B:$B,$A964,'Stock Adjustment'!$D:$D,"Customer Returned")</f>
        <v>0</v>
      </c>
      <c r="H964" s="50">
        <f>SUMIF('Daily Sales Entry'!$D:$D,B964,'Daily Sales Entry'!$G:$G)</f>
        <v>0</v>
      </c>
      <c r="I964" s="50">
        <f>SUMIFS('Stock Adjustment'!$E:$E,'Stock Adjustment'!$B:$B,$A964,'Stock Adjustment'!$D:$D,"Staff Consumption")</f>
        <v>0</v>
      </c>
      <c r="J964" s="50">
        <f>SUMIFS('Stock Adjustment'!$E:$E,'Stock Adjustment'!$B:$B,$A964,'Stock Adjustment'!$D:$D,"Damaged")</f>
        <v>0</v>
      </c>
      <c r="K964" s="50">
        <f>SUMIFS('Stock Adjustment'!$E:$E,'Stock Adjustment'!$B:$B,$A964,'Stock Adjustment'!$D:$D,"Expired")</f>
        <v>0</v>
      </c>
      <c r="L964" s="50">
        <f>SUMIFS('Stock Adjustment'!$E:$E,'Stock Adjustment'!$B:$B,$A964,'Stock Adjustment'!$D:$D,"Supplier Returned")</f>
        <v>0</v>
      </c>
      <c r="M96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4" s="53" t="str">
        <f>IF(B964="","",VLOOKUP(B964,'Product Master'!$B:$G,4,FALSE))</f>
        <v/>
      </c>
      <c r="O964" s="53" t="str">
        <f>IF(B964="","",VLOOKUP(B964,'Product Master'!$B:$G,5,FALSE))</f>
        <v/>
      </c>
      <c r="P964" s="50" t="str">
        <f>IF(B964="","",VLOOKUP(B964,'Product Master'!$B:$I,7,FALSE))</f>
        <v/>
      </c>
      <c r="Q964" s="158"/>
      <c r="R964" s="58" t="str">
        <f t="shared" si="15"/>
        <v/>
      </c>
      <c r="S964" s="25"/>
      <c r="T964" s="25"/>
      <c r="U964" s="25"/>
      <c r="V964" s="25"/>
      <c r="W964" s="25"/>
      <c r="X964" s="25"/>
    </row>
    <row r="965" spans="1:24" x14ac:dyDescent="0.25">
      <c r="A965" s="31" t="s">
        <v>1525</v>
      </c>
      <c r="B965" s="32"/>
      <c r="C965" s="50" t="str">
        <f>IF(B965="","",VLOOKUP(B965,'Product Master'!$B:$G,2,FALSE))</f>
        <v/>
      </c>
      <c r="D965" s="50" t="str">
        <f>IF(B965="","",VLOOKUP(B965,'Product Master'!$B:$G,3,FALSE))</f>
        <v/>
      </c>
      <c r="E965" s="50"/>
      <c r="F965" s="50">
        <f>SUMIF('Stock Purchase'!$D:$D,B965,'Stock Purchase'!$F:$F)</f>
        <v>0</v>
      </c>
      <c r="G965" s="50">
        <f>SUMIFS('Stock Adjustment'!$E:$E,'Stock Adjustment'!$B:$B,$A965,'Stock Adjustment'!$D:$D,"Customer Returned")</f>
        <v>0</v>
      </c>
      <c r="H965" s="50">
        <f>SUMIF('Daily Sales Entry'!$D:$D,B965,'Daily Sales Entry'!$G:$G)</f>
        <v>0</v>
      </c>
      <c r="I965" s="50">
        <f>SUMIFS('Stock Adjustment'!$E:$E,'Stock Adjustment'!$B:$B,$A965,'Stock Adjustment'!$D:$D,"Staff Consumption")</f>
        <v>0</v>
      </c>
      <c r="J965" s="50">
        <f>SUMIFS('Stock Adjustment'!$E:$E,'Stock Adjustment'!$B:$B,$A965,'Stock Adjustment'!$D:$D,"Damaged")</f>
        <v>0</v>
      </c>
      <c r="K965" s="50">
        <f>SUMIFS('Stock Adjustment'!$E:$E,'Stock Adjustment'!$B:$B,$A965,'Stock Adjustment'!$D:$D,"Expired")</f>
        <v>0</v>
      </c>
      <c r="L965" s="50">
        <f>SUMIFS('Stock Adjustment'!$E:$E,'Stock Adjustment'!$B:$B,$A965,'Stock Adjustment'!$D:$D,"Supplier Returned")</f>
        <v>0</v>
      </c>
      <c r="M96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5" s="53" t="str">
        <f>IF(B965="","",VLOOKUP(B965,'Product Master'!$B:$G,4,FALSE))</f>
        <v/>
      </c>
      <c r="O965" s="53" t="str">
        <f>IF(B965="","",VLOOKUP(B965,'Product Master'!$B:$G,5,FALSE))</f>
        <v/>
      </c>
      <c r="P965" s="50" t="str">
        <f>IF(B965="","",VLOOKUP(B965,'Product Master'!$B:$I,7,FALSE))</f>
        <v/>
      </c>
      <c r="Q965" s="158"/>
      <c r="R965" s="58" t="str">
        <f t="shared" si="15"/>
        <v/>
      </c>
      <c r="S965" s="25"/>
      <c r="T965" s="25"/>
      <c r="U965" s="25"/>
      <c r="V965" s="25"/>
      <c r="W965" s="25"/>
      <c r="X965" s="25"/>
    </row>
    <row r="966" spans="1:24" x14ac:dyDescent="0.25">
      <c r="A966" s="31" t="s">
        <v>1526</v>
      </c>
      <c r="B966" s="32"/>
      <c r="C966" s="50" t="str">
        <f>IF(B966="","",VLOOKUP(B966,'Product Master'!$B:$G,2,FALSE))</f>
        <v/>
      </c>
      <c r="D966" s="50" t="str">
        <f>IF(B966="","",VLOOKUP(B966,'Product Master'!$B:$G,3,FALSE))</f>
        <v/>
      </c>
      <c r="E966" s="50"/>
      <c r="F966" s="50">
        <f>SUMIF('Stock Purchase'!$D:$D,B966,'Stock Purchase'!$F:$F)</f>
        <v>0</v>
      </c>
      <c r="G966" s="50">
        <f>SUMIFS('Stock Adjustment'!$E:$E,'Stock Adjustment'!$B:$B,$A966,'Stock Adjustment'!$D:$D,"Customer Returned")</f>
        <v>0</v>
      </c>
      <c r="H966" s="50">
        <f>SUMIF('Daily Sales Entry'!$D:$D,B966,'Daily Sales Entry'!$G:$G)</f>
        <v>0</v>
      </c>
      <c r="I966" s="50">
        <f>SUMIFS('Stock Adjustment'!$E:$E,'Stock Adjustment'!$B:$B,$A966,'Stock Adjustment'!$D:$D,"Staff Consumption")</f>
        <v>0</v>
      </c>
      <c r="J966" s="50">
        <f>SUMIFS('Stock Adjustment'!$E:$E,'Stock Adjustment'!$B:$B,$A966,'Stock Adjustment'!$D:$D,"Damaged")</f>
        <v>0</v>
      </c>
      <c r="K966" s="50">
        <f>SUMIFS('Stock Adjustment'!$E:$E,'Stock Adjustment'!$B:$B,$A966,'Stock Adjustment'!$D:$D,"Expired")</f>
        <v>0</v>
      </c>
      <c r="L966" s="50">
        <f>SUMIFS('Stock Adjustment'!$E:$E,'Stock Adjustment'!$B:$B,$A966,'Stock Adjustment'!$D:$D,"Supplier Returned")</f>
        <v>0</v>
      </c>
      <c r="M96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6" s="53" t="str">
        <f>IF(B966="","",VLOOKUP(B966,'Product Master'!$B:$G,4,FALSE))</f>
        <v/>
      </c>
      <c r="O966" s="53" t="str">
        <f>IF(B966="","",VLOOKUP(B966,'Product Master'!$B:$G,5,FALSE))</f>
        <v/>
      </c>
      <c r="P966" s="50" t="str">
        <f>IF(B966="","",VLOOKUP(B966,'Product Master'!$B:$I,7,FALSE))</f>
        <v/>
      </c>
      <c r="Q966" s="158"/>
      <c r="R966" s="58" t="str">
        <f t="shared" si="15"/>
        <v/>
      </c>
      <c r="S966" s="25"/>
      <c r="T966" s="25"/>
      <c r="U966" s="25"/>
      <c r="V966" s="25"/>
      <c r="W966" s="25"/>
      <c r="X966" s="25"/>
    </row>
    <row r="967" spans="1:24" x14ac:dyDescent="0.25">
      <c r="A967" s="31" t="s">
        <v>1527</v>
      </c>
      <c r="B967" s="32"/>
      <c r="C967" s="50" t="str">
        <f>IF(B967="","",VLOOKUP(B967,'Product Master'!$B:$G,2,FALSE))</f>
        <v/>
      </c>
      <c r="D967" s="50" t="str">
        <f>IF(B967="","",VLOOKUP(B967,'Product Master'!$B:$G,3,FALSE))</f>
        <v/>
      </c>
      <c r="E967" s="50"/>
      <c r="F967" s="50">
        <f>SUMIF('Stock Purchase'!$D:$D,B967,'Stock Purchase'!$F:$F)</f>
        <v>0</v>
      </c>
      <c r="G967" s="50">
        <f>SUMIFS('Stock Adjustment'!$E:$E,'Stock Adjustment'!$B:$B,$A967,'Stock Adjustment'!$D:$D,"Customer Returned")</f>
        <v>0</v>
      </c>
      <c r="H967" s="50">
        <f>SUMIF('Daily Sales Entry'!$D:$D,B967,'Daily Sales Entry'!$G:$G)</f>
        <v>0</v>
      </c>
      <c r="I967" s="50">
        <f>SUMIFS('Stock Adjustment'!$E:$E,'Stock Adjustment'!$B:$B,$A967,'Stock Adjustment'!$D:$D,"Staff Consumption")</f>
        <v>0</v>
      </c>
      <c r="J967" s="50">
        <f>SUMIFS('Stock Adjustment'!$E:$E,'Stock Adjustment'!$B:$B,$A967,'Stock Adjustment'!$D:$D,"Damaged")</f>
        <v>0</v>
      </c>
      <c r="K967" s="50">
        <f>SUMIFS('Stock Adjustment'!$E:$E,'Stock Adjustment'!$B:$B,$A967,'Stock Adjustment'!$D:$D,"Expired")</f>
        <v>0</v>
      </c>
      <c r="L967" s="50">
        <f>SUMIFS('Stock Adjustment'!$E:$E,'Stock Adjustment'!$B:$B,$A967,'Stock Adjustment'!$D:$D,"Supplier Returned")</f>
        <v>0</v>
      </c>
      <c r="M96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7" s="53" t="str">
        <f>IF(B967="","",VLOOKUP(B967,'Product Master'!$B:$G,4,FALSE))</f>
        <v/>
      </c>
      <c r="O967" s="53" t="str">
        <f>IF(B967="","",VLOOKUP(B967,'Product Master'!$B:$G,5,FALSE))</f>
        <v/>
      </c>
      <c r="P967" s="50" t="str">
        <f>IF(B967="","",VLOOKUP(B967,'Product Master'!$B:$I,7,FALSE))</f>
        <v/>
      </c>
      <c r="Q967" s="158"/>
      <c r="R967" s="58" t="str">
        <f t="shared" si="15"/>
        <v/>
      </c>
      <c r="S967" s="25"/>
      <c r="T967" s="25"/>
      <c r="U967" s="25"/>
      <c r="V967" s="25"/>
      <c r="W967" s="25"/>
      <c r="X967" s="25"/>
    </row>
    <row r="968" spans="1:24" x14ac:dyDescent="0.25">
      <c r="A968" s="31" t="s">
        <v>1528</v>
      </c>
      <c r="B968" s="32"/>
      <c r="C968" s="50" t="str">
        <f>IF(B968="","",VLOOKUP(B968,'Product Master'!$B:$G,2,FALSE))</f>
        <v/>
      </c>
      <c r="D968" s="50" t="str">
        <f>IF(B968="","",VLOOKUP(B968,'Product Master'!$B:$G,3,FALSE))</f>
        <v/>
      </c>
      <c r="E968" s="50"/>
      <c r="F968" s="50">
        <f>SUMIF('Stock Purchase'!$D:$D,B968,'Stock Purchase'!$F:$F)</f>
        <v>0</v>
      </c>
      <c r="G968" s="50">
        <f>SUMIFS('Stock Adjustment'!$E:$E,'Stock Adjustment'!$B:$B,$A968,'Stock Adjustment'!$D:$D,"Customer Returned")</f>
        <v>0</v>
      </c>
      <c r="H968" s="50">
        <f>SUMIF('Daily Sales Entry'!$D:$D,B968,'Daily Sales Entry'!$G:$G)</f>
        <v>0</v>
      </c>
      <c r="I968" s="50">
        <f>SUMIFS('Stock Adjustment'!$E:$E,'Stock Adjustment'!$B:$B,$A968,'Stock Adjustment'!$D:$D,"Staff Consumption")</f>
        <v>0</v>
      </c>
      <c r="J968" s="50">
        <f>SUMIFS('Stock Adjustment'!$E:$E,'Stock Adjustment'!$B:$B,$A968,'Stock Adjustment'!$D:$D,"Damaged")</f>
        <v>0</v>
      </c>
      <c r="K968" s="50">
        <f>SUMIFS('Stock Adjustment'!$E:$E,'Stock Adjustment'!$B:$B,$A968,'Stock Adjustment'!$D:$D,"Expired")</f>
        <v>0</v>
      </c>
      <c r="L968" s="50">
        <f>SUMIFS('Stock Adjustment'!$E:$E,'Stock Adjustment'!$B:$B,$A968,'Stock Adjustment'!$D:$D,"Supplier Returned")</f>
        <v>0</v>
      </c>
      <c r="M96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8" s="53" t="str">
        <f>IF(B968="","",VLOOKUP(B968,'Product Master'!$B:$G,4,FALSE))</f>
        <v/>
      </c>
      <c r="O968" s="53" t="str">
        <f>IF(B968="","",VLOOKUP(B968,'Product Master'!$B:$G,5,FALSE))</f>
        <v/>
      </c>
      <c r="P968" s="50" t="str">
        <f>IF(B968="","",VLOOKUP(B968,'Product Master'!$B:$I,7,FALSE))</f>
        <v/>
      </c>
      <c r="Q968" s="158"/>
      <c r="R968" s="58" t="str">
        <f t="shared" si="15"/>
        <v/>
      </c>
      <c r="S968" s="25"/>
      <c r="T968" s="25"/>
      <c r="U968" s="25"/>
      <c r="V968" s="25"/>
      <c r="W968" s="25"/>
      <c r="X968" s="25"/>
    </row>
    <row r="969" spans="1:24" x14ac:dyDescent="0.25">
      <c r="A969" s="31" t="s">
        <v>1529</v>
      </c>
      <c r="B969" s="32"/>
      <c r="C969" s="50" t="str">
        <f>IF(B969="","",VLOOKUP(B969,'Product Master'!$B:$G,2,FALSE))</f>
        <v/>
      </c>
      <c r="D969" s="50" t="str">
        <f>IF(B969="","",VLOOKUP(B969,'Product Master'!$B:$G,3,FALSE))</f>
        <v/>
      </c>
      <c r="E969" s="50"/>
      <c r="F969" s="50">
        <f>SUMIF('Stock Purchase'!$D:$D,B969,'Stock Purchase'!$F:$F)</f>
        <v>0</v>
      </c>
      <c r="G969" s="50">
        <f>SUMIFS('Stock Adjustment'!$E:$E,'Stock Adjustment'!$B:$B,$A969,'Stock Adjustment'!$D:$D,"Customer Returned")</f>
        <v>0</v>
      </c>
      <c r="H969" s="50">
        <f>SUMIF('Daily Sales Entry'!$D:$D,B969,'Daily Sales Entry'!$G:$G)</f>
        <v>0</v>
      </c>
      <c r="I969" s="50">
        <f>SUMIFS('Stock Adjustment'!$E:$E,'Stock Adjustment'!$B:$B,$A969,'Stock Adjustment'!$D:$D,"Staff Consumption")</f>
        <v>0</v>
      </c>
      <c r="J969" s="50">
        <f>SUMIFS('Stock Adjustment'!$E:$E,'Stock Adjustment'!$B:$B,$A969,'Stock Adjustment'!$D:$D,"Damaged")</f>
        <v>0</v>
      </c>
      <c r="K969" s="50">
        <f>SUMIFS('Stock Adjustment'!$E:$E,'Stock Adjustment'!$B:$B,$A969,'Stock Adjustment'!$D:$D,"Expired")</f>
        <v>0</v>
      </c>
      <c r="L969" s="50">
        <f>SUMIFS('Stock Adjustment'!$E:$E,'Stock Adjustment'!$B:$B,$A969,'Stock Adjustment'!$D:$D,"Supplier Returned")</f>
        <v>0</v>
      </c>
      <c r="M96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69" s="53" t="str">
        <f>IF(B969="","",VLOOKUP(B969,'Product Master'!$B:$G,4,FALSE))</f>
        <v/>
      </c>
      <c r="O969" s="53" t="str">
        <f>IF(B969="","",VLOOKUP(B969,'Product Master'!$B:$G,5,FALSE))</f>
        <v/>
      </c>
      <c r="P969" s="50" t="str">
        <f>IF(B969="","",VLOOKUP(B969,'Product Master'!$B:$I,7,FALSE))</f>
        <v/>
      </c>
      <c r="Q969" s="158"/>
      <c r="R969" s="58" t="str">
        <f t="shared" si="15"/>
        <v/>
      </c>
      <c r="S969" s="25"/>
      <c r="T969" s="25"/>
      <c r="U969" s="25"/>
      <c r="V969" s="25"/>
      <c r="W969" s="25"/>
      <c r="X969" s="25"/>
    </row>
    <row r="970" spans="1:24" x14ac:dyDescent="0.25">
      <c r="A970" s="31" t="s">
        <v>1530</v>
      </c>
      <c r="B970" s="32"/>
      <c r="C970" s="50" t="str">
        <f>IF(B970="","",VLOOKUP(B970,'Product Master'!$B:$G,2,FALSE))</f>
        <v/>
      </c>
      <c r="D970" s="50" t="str">
        <f>IF(B970="","",VLOOKUP(B970,'Product Master'!$B:$G,3,FALSE))</f>
        <v/>
      </c>
      <c r="E970" s="50"/>
      <c r="F970" s="50">
        <f>SUMIF('Stock Purchase'!$D:$D,B970,'Stock Purchase'!$F:$F)</f>
        <v>0</v>
      </c>
      <c r="G970" s="50">
        <f>SUMIFS('Stock Adjustment'!$E:$E,'Stock Adjustment'!$B:$B,$A970,'Stock Adjustment'!$D:$D,"Customer Returned")</f>
        <v>0</v>
      </c>
      <c r="H970" s="50">
        <f>SUMIF('Daily Sales Entry'!$D:$D,B970,'Daily Sales Entry'!$G:$G)</f>
        <v>0</v>
      </c>
      <c r="I970" s="50">
        <f>SUMIFS('Stock Adjustment'!$E:$E,'Stock Adjustment'!$B:$B,$A970,'Stock Adjustment'!$D:$D,"Staff Consumption")</f>
        <v>0</v>
      </c>
      <c r="J970" s="50">
        <f>SUMIFS('Stock Adjustment'!$E:$E,'Stock Adjustment'!$B:$B,$A970,'Stock Adjustment'!$D:$D,"Damaged")</f>
        <v>0</v>
      </c>
      <c r="K970" s="50">
        <f>SUMIFS('Stock Adjustment'!$E:$E,'Stock Adjustment'!$B:$B,$A970,'Stock Adjustment'!$D:$D,"Expired")</f>
        <v>0</v>
      </c>
      <c r="L970" s="50">
        <f>SUMIFS('Stock Adjustment'!$E:$E,'Stock Adjustment'!$B:$B,$A970,'Stock Adjustment'!$D:$D,"Supplier Returned")</f>
        <v>0</v>
      </c>
      <c r="M97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0" s="53" t="str">
        <f>IF(B970="","",VLOOKUP(B970,'Product Master'!$B:$G,4,FALSE))</f>
        <v/>
      </c>
      <c r="O970" s="53" t="str">
        <f>IF(B970="","",VLOOKUP(B970,'Product Master'!$B:$G,5,FALSE))</f>
        <v/>
      </c>
      <c r="P970" s="50" t="str">
        <f>IF(B970="","",VLOOKUP(B970,'Product Master'!$B:$I,7,FALSE))</f>
        <v/>
      </c>
      <c r="Q970" s="158"/>
      <c r="R970" s="58" t="str">
        <f t="shared" si="15"/>
        <v/>
      </c>
      <c r="S970" s="25"/>
      <c r="T970" s="25"/>
      <c r="U970" s="25"/>
      <c r="V970" s="25"/>
      <c r="W970" s="25"/>
      <c r="X970" s="25"/>
    </row>
    <row r="971" spans="1:24" x14ac:dyDescent="0.25">
      <c r="A971" s="31" t="s">
        <v>1531</v>
      </c>
      <c r="B971" s="32"/>
      <c r="C971" s="50" t="str">
        <f>IF(B971="","",VLOOKUP(B971,'Product Master'!$B:$G,2,FALSE))</f>
        <v/>
      </c>
      <c r="D971" s="50" t="str">
        <f>IF(B971="","",VLOOKUP(B971,'Product Master'!$B:$G,3,FALSE))</f>
        <v/>
      </c>
      <c r="E971" s="50"/>
      <c r="F971" s="50">
        <f>SUMIF('Stock Purchase'!$D:$D,B971,'Stock Purchase'!$F:$F)</f>
        <v>0</v>
      </c>
      <c r="G971" s="50">
        <f>SUMIFS('Stock Adjustment'!$E:$E,'Stock Adjustment'!$B:$B,$A971,'Stock Adjustment'!$D:$D,"Customer Returned")</f>
        <v>0</v>
      </c>
      <c r="H971" s="50">
        <f>SUMIF('Daily Sales Entry'!$D:$D,B971,'Daily Sales Entry'!$G:$G)</f>
        <v>0</v>
      </c>
      <c r="I971" s="50">
        <f>SUMIFS('Stock Adjustment'!$E:$E,'Stock Adjustment'!$B:$B,$A971,'Stock Adjustment'!$D:$D,"Staff Consumption")</f>
        <v>0</v>
      </c>
      <c r="J971" s="50">
        <f>SUMIFS('Stock Adjustment'!$E:$E,'Stock Adjustment'!$B:$B,$A971,'Stock Adjustment'!$D:$D,"Damaged")</f>
        <v>0</v>
      </c>
      <c r="K971" s="50">
        <f>SUMIFS('Stock Adjustment'!$E:$E,'Stock Adjustment'!$B:$B,$A971,'Stock Adjustment'!$D:$D,"Expired")</f>
        <v>0</v>
      </c>
      <c r="L971" s="50">
        <f>SUMIFS('Stock Adjustment'!$E:$E,'Stock Adjustment'!$B:$B,$A971,'Stock Adjustment'!$D:$D,"Supplier Returned")</f>
        <v>0</v>
      </c>
      <c r="M97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1" s="53" t="str">
        <f>IF(B971="","",VLOOKUP(B971,'Product Master'!$B:$G,4,FALSE))</f>
        <v/>
      </c>
      <c r="O971" s="53" t="str">
        <f>IF(B971="","",VLOOKUP(B971,'Product Master'!$B:$G,5,FALSE))</f>
        <v/>
      </c>
      <c r="P971" s="50" t="str">
        <f>IF(B971="","",VLOOKUP(B971,'Product Master'!$B:$I,7,FALSE))</f>
        <v/>
      </c>
      <c r="Q971" s="158"/>
      <c r="R971" s="58" t="str">
        <f t="shared" si="15"/>
        <v/>
      </c>
      <c r="S971" s="25"/>
      <c r="T971" s="25"/>
      <c r="U971" s="25"/>
      <c r="V971" s="25"/>
      <c r="W971" s="25"/>
      <c r="X971" s="25"/>
    </row>
    <row r="972" spans="1:24" x14ac:dyDescent="0.25">
      <c r="A972" s="31" t="s">
        <v>1532</v>
      </c>
      <c r="B972" s="32"/>
      <c r="C972" s="50" t="str">
        <f>IF(B972="","",VLOOKUP(B972,'Product Master'!$B:$G,2,FALSE))</f>
        <v/>
      </c>
      <c r="D972" s="50" t="str">
        <f>IF(B972="","",VLOOKUP(B972,'Product Master'!$B:$G,3,FALSE))</f>
        <v/>
      </c>
      <c r="E972" s="50"/>
      <c r="F972" s="50">
        <f>SUMIF('Stock Purchase'!$D:$D,B972,'Stock Purchase'!$F:$F)</f>
        <v>0</v>
      </c>
      <c r="G972" s="50">
        <f>SUMIFS('Stock Adjustment'!$E:$E,'Stock Adjustment'!$B:$B,$A972,'Stock Adjustment'!$D:$D,"Customer Returned")</f>
        <v>0</v>
      </c>
      <c r="H972" s="50">
        <f>SUMIF('Daily Sales Entry'!$D:$D,B972,'Daily Sales Entry'!$G:$G)</f>
        <v>0</v>
      </c>
      <c r="I972" s="50">
        <f>SUMIFS('Stock Adjustment'!$E:$E,'Stock Adjustment'!$B:$B,$A972,'Stock Adjustment'!$D:$D,"Staff Consumption")</f>
        <v>0</v>
      </c>
      <c r="J972" s="50">
        <f>SUMIFS('Stock Adjustment'!$E:$E,'Stock Adjustment'!$B:$B,$A972,'Stock Adjustment'!$D:$D,"Damaged")</f>
        <v>0</v>
      </c>
      <c r="K972" s="50">
        <f>SUMIFS('Stock Adjustment'!$E:$E,'Stock Adjustment'!$B:$B,$A972,'Stock Adjustment'!$D:$D,"Expired")</f>
        <v>0</v>
      </c>
      <c r="L972" s="50">
        <f>SUMIFS('Stock Adjustment'!$E:$E,'Stock Adjustment'!$B:$B,$A972,'Stock Adjustment'!$D:$D,"Supplier Returned")</f>
        <v>0</v>
      </c>
      <c r="M97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2" s="53" t="str">
        <f>IF(B972="","",VLOOKUP(B972,'Product Master'!$B:$G,4,FALSE))</f>
        <v/>
      </c>
      <c r="O972" s="53" t="str">
        <f>IF(B972="","",VLOOKUP(B972,'Product Master'!$B:$G,5,FALSE))</f>
        <v/>
      </c>
      <c r="P972" s="50" t="str">
        <f>IF(B972="","",VLOOKUP(B972,'Product Master'!$B:$I,7,FALSE))</f>
        <v/>
      </c>
      <c r="Q972" s="158"/>
      <c r="R972" s="58" t="str">
        <f t="shared" si="15"/>
        <v/>
      </c>
      <c r="S972" s="25"/>
      <c r="T972" s="25"/>
      <c r="U972" s="25"/>
      <c r="V972" s="25"/>
      <c r="W972" s="25"/>
      <c r="X972" s="25"/>
    </row>
    <row r="973" spans="1:24" x14ac:dyDescent="0.25">
      <c r="A973" s="31" t="s">
        <v>1533</v>
      </c>
      <c r="B973" s="32"/>
      <c r="C973" s="50" t="str">
        <f>IF(B973="","",VLOOKUP(B973,'Product Master'!$B:$G,2,FALSE))</f>
        <v/>
      </c>
      <c r="D973" s="50" t="str">
        <f>IF(B973="","",VLOOKUP(B973,'Product Master'!$B:$G,3,FALSE))</f>
        <v/>
      </c>
      <c r="E973" s="50"/>
      <c r="F973" s="50">
        <f>SUMIF('Stock Purchase'!$D:$D,B973,'Stock Purchase'!$F:$F)</f>
        <v>0</v>
      </c>
      <c r="G973" s="50">
        <f>SUMIFS('Stock Adjustment'!$E:$E,'Stock Adjustment'!$B:$B,$A973,'Stock Adjustment'!$D:$D,"Customer Returned")</f>
        <v>0</v>
      </c>
      <c r="H973" s="50">
        <f>SUMIF('Daily Sales Entry'!$D:$D,B973,'Daily Sales Entry'!$G:$G)</f>
        <v>0</v>
      </c>
      <c r="I973" s="50">
        <f>SUMIFS('Stock Adjustment'!$E:$E,'Stock Adjustment'!$B:$B,$A973,'Stock Adjustment'!$D:$D,"Staff Consumption")</f>
        <v>0</v>
      </c>
      <c r="J973" s="50">
        <f>SUMIFS('Stock Adjustment'!$E:$E,'Stock Adjustment'!$B:$B,$A973,'Stock Adjustment'!$D:$D,"Damaged")</f>
        <v>0</v>
      </c>
      <c r="K973" s="50">
        <f>SUMIFS('Stock Adjustment'!$E:$E,'Stock Adjustment'!$B:$B,$A973,'Stock Adjustment'!$D:$D,"Expired")</f>
        <v>0</v>
      </c>
      <c r="L973" s="50">
        <f>SUMIFS('Stock Adjustment'!$E:$E,'Stock Adjustment'!$B:$B,$A973,'Stock Adjustment'!$D:$D,"Supplier Returned")</f>
        <v>0</v>
      </c>
      <c r="M97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3" s="53" t="str">
        <f>IF(B973="","",VLOOKUP(B973,'Product Master'!$B:$G,4,FALSE))</f>
        <v/>
      </c>
      <c r="O973" s="53" t="str">
        <f>IF(B973="","",VLOOKUP(B973,'Product Master'!$B:$G,5,FALSE))</f>
        <v/>
      </c>
      <c r="P973" s="50" t="str">
        <f>IF(B973="","",VLOOKUP(B973,'Product Master'!$B:$I,7,FALSE))</f>
        <v/>
      </c>
      <c r="Q973" s="158"/>
      <c r="R973" s="58" t="str">
        <f t="shared" si="15"/>
        <v/>
      </c>
      <c r="S973" s="25"/>
      <c r="T973" s="25"/>
      <c r="U973" s="25"/>
      <c r="V973" s="25"/>
      <c r="W973" s="25"/>
      <c r="X973" s="25"/>
    </row>
    <row r="974" spans="1:24" x14ac:dyDescent="0.25">
      <c r="A974" s="31" t="s">
        <v>1534</v>
      </c>
      <c r="B974" s="32"/>
      <c r="C974" s="50" t="str">
        <f>IF(B974="","",VLOOKUP(B974,'Product Master'!$B:$G,2,FALSE))</f>
        <v/>
      </c>
      <c r="D974" s="50" t="str">
        <f>IF(B974="","",VLOOKUP(B974,'Product Master'!$B:$G,3,FALSE))</f>
        <v/>
      </c>
      <c r="E974" s="50"/>
      <c r="F974" s="50">
        <f>SUMIF('Stock Purchase'!$D:$D,B974,'Stock Purchase'!$F:$F)</f>
        <v>0</v>
      </c>
      <c r="G974" s="50">
        <f>SUMIFS('Stock Adjustment'!$E:$E,'Stock Adjustment'!$B:$B,$A974,'Stock Adjustment'!$D:$D,"Customer Returned")</f>
        <v>0</v>
      </c>
      <c r="H974" s="50">
        <f>SUMIF('Daily Sales Entry'!$D:$D,B974,'Daily Sales Entry'!$G:$G)</f>
        <v>0</v>
      </c>
      <c r="I974" s="50">
        <f>SUMIFS('Stock Adjustment'!$E:$E,'Stock Adjustment'!$B:$B,$A974,'Stock Adjustment'!$D:$D,"Staff Consumption")</f>
        <v>0</v>
      </c>
      <c r="J974" s="50">
        <f>SUMIFS('Stock Adjustment'!$E:$E,'Stock Adjustment'!$B:$B,$A974,'Stock Adjustment'!$D:$D,"Damaged")</f>
        <v>0</v>
      </c>
      <c r="K974" s="50">
        <f>SUMIFS('Stock Adjustment'!$E:$E,'Stock Adjustment'!$B:$B,$A974,'Stock Adjustment'!$D:$D,"Expired")</f>
        <v>0</v>
      </c>
      <c r="L974" s="50">
        <f>SUMIFS('Stock Adjustment'!$E:$E,'Stock Adjustment'!$B:$B,$A974,'Stock Adjustment'!$D:$D,"Supplier Returned")</f>
        <v>0</v>
      </c>
      <c r="M97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4" s="53" t="str">
        <f>IF(B974="","",VLOOKUP(B974,'Product Master'!$B:$G,4,FALSE))</f>
        <v/>
      </c>
      <c r="O974" s="53" t="str">
        <f>IF(B974="","",VLOOKUP(B974,'Product Master'!$B:$G,5,FALSE))</f>
        <v/>
      </c>
      <c r="P974" s="50" t="str">
        <f>IF(B974="","",VLOOKUP(B974,'Product Master'!$B:$I,7,FALSE))</f>
        <v/>
      </c>
      <c r="Q974" s="158"/>
      <c r="R974" s="58" t="str">
        <f t="shared" si="15"/>
        <v/>
      </c>
      <c r="S974" s="25"/>
      <c r="T974" s="25"/>
      <c r="U974" s="25"/>
      <c r="V974" s="25"/>
      <c r="W974" s="25"/>
      <c r="X974" s="25"/>
    </row>
    <row r="975" spans="1:24" x14ac:dyDescent="0.25">
      <c r="A975" s="31" t="s">
        <v>1535</v>
      </c>
      <c r="B975" s="32"/>
      <c r="C975" s="50" t="str">
        <f>IF(B975="","",VLOOKUP(B975,'Product Master'!$B:$G,2,FALSE))</f>
        <v/>
      </c>
      <c r="D975" s="50" t="str">
        <f>IF(B975="","",VLOOKUP(B975,'Product Master'!$B:$G,3,FALSE))</f>
        <v/>
      </c>
      <c r="E975" s="50"/>
      <c r="F975" s="50">
        <f>SUMIF('Stock Purchase'!$D:$D,B975,'Stock Purchase'!$F:$F)</f>
        <v>0</v>
      </c>
      <c r="G975" s="50">
        <f>SUMIFS('Stock Adjustment'!$E:$E,'Stock Adjustment'!$B:$B,$A975,'Stock Adjustment'!$D:$D,"Customer Returned")</f>
        <v>0</v>
      </c>
      <c r="H975" s="50">
        <f>SUMIF('Daily Sales Entry'!$D:$D,B975,'Daily Sales Entry'!$G:$G)</f>
        <v>0</v>
      </c>
      <c r="I975" s="50">
        <f>SUMIFS('Stock Adjustment'!$E:$E,'Stock Adjustment'!$B:$B,$A975,'Stock Adjustment'!$D:$D,"Staff Consumption")</f>
        <v>0</v>
      </c>
      <c r="J975" s="50">
        <f>SUMIFS('Stock Adjustment'!$E:$E,'Stock Adjustment'!$B:$B,$A975,'Stock Adjustment'!$D:$D,"Damaged")</f>
        <v>0</v>
      </c>
      <c r="K975" s="50">
        <f>SUMIFS('Stock Adjustment'!$E:$E,'Stock Adjustment'!$B:$B,$A975,'Stock Adjustment'!$D:$D,"Expired")</f>
        <v>0</v>
      </c>
      <c r="L975" s="50">
        <f>SUMIFS('Stock Adjustment'!$E:$E,'Stock Adjustment'!$B:$B,$A975,'Stock Adjustment'!$D:$D,"Supplier Returned")</f>
        <v>0</v>
      </c>
      <c r="M97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5" s="53" t="str">
        <f>IF(B975="","",VLOOKUP(B975,'Product Master'!$B:$G,4,FALSE))</f>
        <v/>
      </c>
      <c r="O975" s="53" t="str">
        <f>IF(B975="","",VLOOKUP(B975,'Product Master'!$B:$G,5,FALSE))</f>
        <v/>
      </c>
      <c r="P975" s="50" t="str">
        <f>IF(B975="","",VLOOKUP(B975,'Product Master'!$B:$I,7,FALSE))</f>
        <v/>
      </c>
      <c r="Q975" s="158"/>
      <c r="R975" s="58" t="str">
        <f t="shared" si="15"/>
        <v/>
      </c>
      <c r="S975" s="25"/>
      <c r="T975" s="25"/>
      <c r="U975" s="25"/>
      <c r="V975" s="25"/>
      <c r="W975" s="25"/>
      <c r="X975" s="25"/>
    </row>
    <row r="976" spans="1:24" x14ac:dyDescent="0.25">
      <c r="A976" s="31" t="s">
        <v>1536</v>
      </c>
      <c r="B976" s="32"/>
      <c r="C976" s="50" t="str">
        <f>IF(B976="","",VLOOKUP(B976,'Product Master'!$B:$G,2,FALSE))</f>
        <v/>
      </c>
      <c r="D976" s="50" t="str">
        <f>IF(B976="","",VLOOKUP(B976,'Product Master'!$B:$G,3,FALSE))</f>
        <v/>
      </c>
      <c r="E976" s="50"/>
      <c r="F976" s="50">
        <f>SUMIF('Stock Purchase'!$D:$D,B976,'Stock Purchase'!$F:$F)</f>
        <v>0</v>
      </c>
      <c r="G976" s="50">
        <f>SUMIFS('Stock Adjustment'!$E:$E,'Stock Adjustment'!$B:$B,$A976,'Stock Adjustment'!$D:$D,"Customer Returned")</f>
        <v>0</v>
      </c>
      <c r="H976" s="50">
        <f>SUMIF('Daily Sales Entry'!$D:$D,B976,'Daily Sales Entry'!$G:$G)</f>
        <v>0</v>
      </c>
      <c r="I976" s="50">
        <f>SUMIFS('Stock Adjustment'!$E:$E,'Stock Adjustment'!$B:$B,$A976,'Stock Adjustment'!$D:$D,"Staff Consumption")</f>
        <v>0</v>
      </c>
      <c r="J976" s="50">
        <f>SUMIFS('Stock Adjustment'!$E:$E,'Stock Adjustment'!$B:$B,$A976,'Stock Adjustment'!$D:$D,"Damaged")</f>
        <v>0</v>
      </c>
      <c r="K976" s="50">
        <f>SUMIFS('Stock Adjustment'!$E:$E,'Stock Adjustment'!$B:$B,$A976,'Stock Adjustment'!$D:$D,"Expired")</f>
        <v>0</v>
      </c>
      <c r="L976" s="50">
        <f>SUMIFS('Stock Adjustment'!$E:$E,'Stock Adjustment'!$B:$B,$A976,'Stock Adjustment'!$D:$D,"Supplier Returned")</f>
        <v>0</v>
      </c>
      <c r="M97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6" s="53" t="str">
        <f>IF(B976="","",VLOOKUP(B976,'Product Master'!$B:$G,4,FALSE))</f>
        <v/>
      </c>
      <c r="O976" s="53" t="str">
        <f>IF(B976="","",VLOOKUP(B976,'Product Master'!$B:$G,5,FALSE))</f>
        <v/>
      </c>
      <c r="P976" s="50" t="str">
        <f>IF(B976="","",VLOOKUP(B976,'Product Master'!$B:$I,7,FALSE))</f>
        <v/>
      </c>
      <c r="Q976" s="158"/>
      <c r="R976" s="58" t="str">
        <f t="shared" si="15"/>
        <v/>
      </c>
      <c r="S976" s="25"/>
      <c r="T976" s="25"/>
      <c r="U976" s="25"/>
      <c r="V976" s="25"/>
      <c r="W976" s="25"/>
      <c r="X976" s="25"/>
    </row>
    <row r="977" spans="1:24" x14ac:dyDescent="0.25">
      <c r="A977" s="31" t="s">
        <v>1537</v>
      </c>
      <c r="B977" s="32"/>
      <c r="C977" s="50" t="str">
        <f>IF(B977="","",VLOOKUP(B977,'Product Master'!$B:$G,2,FALSE))</f>
        <v/>
      </c>
      <c r="D977" s="50" t="str">
        <f>IF(B977="","",VLOOKUP(B977,'Product Master'!$B:$G,3,FALSE))</f>
        <v/>
      </c>
      <c r="E977" s="50"/>
      <c r="F977" s="50">
        <f>SUMIF('Stock Purchase'!$D:$D,B977,'Stock Purchase'!$F:$F)</f>
        <v>0</v>
      </c>
      <c r="G977" s="50">
        <f>SUMIFS('Stock Adjustment'!$E:$E,'Stock Adjustment'!$B:$B,$A977,'Stock Adjustment'!$D:$D,"Customer Returned")</f>
        <v>0</v>
      </c>
      <c r="H977" s="50">
        <f>SUMIF('Daily Sales Entry'!$D:$D,B977,'Daily Sales Entry'!$G:$G)</f>
        <v>0</v>
      </c>
      <c r="I977" s="50">
        <f>SUMIFS('Stock Adjustment'!$E:$E,'Stock Adjustment'!$B:$B,$A977,'Stock Adjustment'!$D:$D,"Staff Consumption")</f>
        <v>0</v>
      </c>
      <c r="J977" s="50">
        <f>SUMIFS('Stock Adjustment'!$E:$E,'Stock Adjustment'!$B:$B,$A977,'Stock Adjustment'!$D:$D,"Damaged")</f>
        <v>0</v>
      </c>
      <c r="K977" s="50">
        <f>SUMIFS('Stock Adjustment'!$E:$E,'Stock Adjustment'!$B:$B,$A977,'Stock Adjustment'!$D:$D,"Expired")</f>
        <v>0</v>
      </c>
      <c r="L977" s="50">
        <f>SUMIFS('Stock Adjustment'!$E:$E,'Stock Adjustment'!$B:$B,$A977,'Stock Adjustment'!$D:$D,"Supplier Returned")</f>
        <v>0</v>
      </c>
      <c r="M97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7" s="53" t="str">
        <f>IF(B977="","",VLOOKUP(B977,'Product Master'!$B:$G,4,FALSE))</f>
        <v/>
      </c>
      <c r="O977" s="53" t="str">
        <f>IF(B977="","",VLOOKUP(B977,'Product Master'!$B:$G,5,FALSE))</f>
        <v/>
      </c>
      <c r="P977" s="50" t="str">
        <f>IF(B977="","",VLOOKUP(B977,'Product Master'!$B:$I,7,FALSE))</f>
        <v/>
      </c>
      <c r="Q977" s="158"/>
      <c r="R977" s="58" t="str">
        <f t="shared" si="15"/>
        <v/>
      </c>
      <c r="S977" s="25"/>
      <c r="T977" s="25"/>
      <c r="U977" s="25"/>
      <c r="V977" s="25"/>
      <c r="W977" s="25"/>
      <c r="X977" s="25"/>
    </row>
    <row r="978" spans="1:24" x14ac:dyDescent="0.25">
      <c r="A978" s="31" t="s">
        <v>1538</v>
      </c>
      <c r="B978" s="32"/>
      <c r="C978" s="50" t="str">
        <f>IF(B978="","",VLOOKUP(B978,'Product Master'!$B:$G,2,FALSE))</f>
        <v/>
      </c>
      <c r="D978" s="50" t="str">
        <f>IF(B978="","",VLOOKUP(B978,'Product Master'!$B:$G,3,FALSE))</f>
        <v/>
      </c>
      <c r="E978" s="50"/>
      <c r="F978" s="50">
        <f>SUMIF('Stock Purchase'!$D:$D,B978,'Stock Purchase'!$F:$F)</f>
        <v>0</v>
      </c>
      <c r="G978" s="50">
        <f>SUMIFS('Stock Adjustment'!$E:$E,'Stock Adjustment'!$B:$B,$A978,'Stock Adjustment'!$D:$D,"Customer Returned")</f>
        <v>0</v>
      </c>
      <c r="H978" s="50">
        <f>SUMIF('Daily Sales Entry'!$D:$D,B978,'Daily Sales Entry'!$G:$G)</f>
        <v>0</v>
      </c>
      <c r="I978" s="50">
        <f>SUMIFS('Stock Adjustment'!$E:$E,'Stock Adjustment'!$B:$B,$A978,'Stock Adjustment'!$D:$D,"Staff Consumption")</f>
        <v>0</v>
      </c>
      <c r="J978" s="50">
        <f>SUMIFS('Stock Adjustment'!$E:$E,'Stock Adjustment'!$B:$B,$A978,'Stock Adjustment'!$D:$D,"Damaged")</f>
        <v>0</v>
      </c>
      <c r="K978" s="50">
        <f>SUMIFS('Stock Adjustment'!$E:$E,'Stock Adjustment'!$B:$B,$A978,'Stock Adjustment'!$D:$D,"Expired")</f>
        <v>0</v>
      </c>
      <c r="L978" s="50">
        <f>SUMIFS('Stock Adjustment'!$E:$E,'Stock Adjustment'!$B:$B,$A978,'Stock Adjustment'!$D:$D,"Supplier Returned")</f>
        <v>0</v>
      </c>
      <c r="M97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8" s="53" t="str">
        <f>IF(B978="","",VLOOKUP(B978,'Product Master'!$B:$G,4,FALSE))</f>
        <v/>
      </c>
      <c r="O978" s="53" t="str">
        <f>IF(B978="","",VLOOKUP(B978,'Product Master'!$B:$G,5,FALSE))</f>
        <v/>
      </c>
      <c r="P978" s="50" t="str">
        <f>IF(B978="","",VLOOKUP(B978,'Product Master'!$B:$I,7,FALSE))</f>
        <v/>
      </c>
      <c r="Q978" s="158"/>
      <c r="R978" s="58" t="str">
        <f t="shared" si="15"/>
        <v/>
      </c>
      <c r="S978" s="25"/>
      <c r="T978" s="25"/>
      <c r="U978" s="25"/>
      <c r="V978" s="25"/>
      <c r="W978" s="25"/>
      <c r="X978" s="25"/>
    </row>
    <row r="979" spans="1:24" x14ac:dyDescent="0.25">
      <c r="A979" s="31" t="s">
        <v>1539</v>
      </c>
      <c r="B979" s="32"/>
      <c r="C979" s="50" t="str">
        <f>IF(B979="","",VLOOKUP(B979,'Product Master'!$B:$G,2,FALSE))</f>
        <v/>
      </c>
      <c r="D979" s="50" t="str">
        <f>IF(B979="","",VLOOKUP(B979,'Product Master'!$B:$G,3,FALSE))</f>
        <v/>
      </c>
      <c r="E979" s="50"/>
      <c r="F979" s="50">
        <f>SUMIF('Stock Purchase'!$D:$D,B979,'Stock Purchase'!$F:$F)</f>
        <v>0</v>
      </c>
      <c r="G979" s="50">
        <f>SUMIFS('Stock Adjustment'!$E:$E,'Stock Adjustment'!$B:$B,$A979,'Stock Adjustment'!$D:$D,"Customer Returned")</f>
        <v>0</v>
      </c>
      <c r="H979" s="50">
        <f>SUMIF('Daily Sales Entry'!$D:$D,B979,'Daily Sales Entry'!$G:$G)</f>
        <v>0</v>
      </c>
      <c r="I979" s="50">
        <f>SUMIFS('Stock Adjustment'!$E:$E,'Stock Adjustment'!$B:$B,$A979,'Stock Adjustment'!$D:$D,"Staff Consumption")</f>
        <v>0</v>
      </c>
      <c r="J979" s="50">
        <f>SUMIFS('Stock Adjustment'!$E:$E,'Stock Adjustment'!$B:$B,$A979,'Stock Adjustment'!$D:$D,"Damaged")</f>
        <v>0</v>
      </c>
      <c r="K979" s="50">
        <f>SUMIFS('Stock Adjustment'!$E:$E,'Stock Adjustment'!$B:$B,$A979,'Stock Adjustment'!$D:$D,"Expired")</f>
        <v>0</v>
      </c>
      <c r="L979" s="50">
        <f>SUMIFS('Stock Adjustment'!$E:$E,'Stock Adjustment'!$B:$B,$A979,'Stock Adjustment'!$D:$D,"Supplier Returned")</f>
        <v>0</v>
      </c>
      <c r="M97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79" s="53" t="str">
        <f>IF(B979="","",VLOOKUP(B979,'Product Master'!$B:$G,4,FALSE))</f>
        <v/>
      </c>
      <c r="O979" s="53" t="str">
        <f>IF(B979="","",VLOOKUP(B979,'Product Master'!$B:$G,5,FALSE))</f>
        <v/>
      </c>
      <c r="P979" s="50" t="str">
        <f>IF(B979="","",VLOOKUP(B979,'Product Master'!$B:$I,7,FALSE))</f>
        <v/>
      </c>
      <c r="Q979" s="158"/>
      <c r="R979" s="58" t="str">
        <f t="shared" si="15"/>
        <v/>
      </c>
      <c r="S979" s="25"/>
      <c r="T979" s="25"/>
      <c r="U979" s="25"/>
      <c r="V979" s="25"/>
      <c r="W979" s="25"/>
      <c r="X979" s="25"/>
    </row>
    <row r="980" spans="1:24" x14ac:dyDescent="0.25">
      <c r="A980" s="31" t="s">
        <v>1540</v>
      </c>
      <c r="B980" s="32"/>
      <c r="C980" s="50" t="str">
        <f>IF(B980="","",VLOOKUP(B980,'Product Master'!$B:$G,2,FALSE))</f>
        <v/>
      </c>
      <c r="D980" s="50" t="str">
        <f>IF(B980="","",VLOOKUP(B980,'Product Master'!$B:$G,3,FALSE))</f>
        <v/>
      </c>
      <c r="E980" s="50"/>
      <c r="F980" s="50">
        <f>SUMIF('Stock Purchase'!$D:$D,B980,'Stock Purchase'!$F:$F)</f>
        <v>0</v>
      </c>
      <c r="G980" s="50">
        <f>SUMIFS('Stock Adjustment'!$E:$E,'Stock Adjustment'!$B:$B,$A980,'Stock Adjustment'!$D:$D,"Customer Returned")</f>
        <v>0</v>
      </c>
      <c r="H980" s="50">
        <f>SUMIF('Daily Sales Entry'!$D:$D,B980,'Daily Sales Entry'!$G:$G)</f>
        <v>0</v>
      </c>
      <c r="I980" s="50">
        <f>SUMIFS('Stock Adjustment'!$E:$E,'Stock Adjustment'!$B:$B,$A980,'Stock Adjustment'!$D:$D,"Staff Consumption")</f>
        <v>0</v>
      </c>
      <c r="J980" s="50">
        <f>SUMIFS('Stock Adjustment'!$E:$E,'Stock Adjustment'!$B:$B,$A980,'Stock Adjustment'!$D:$D,"Damaged")</f>
        <v>0</v>
      </c>
      <c r="K980" s="50">
        <f>SUMIFS('Stock Adjustment'!$E:$E,'Stock Adjustment'!$B:$B,$A980,'Stock Adjustment'!$D:$D,"Expired")</f>
        <v>0</v>
      </c>
      <c r="L980" s="50">
        <f>SUMIFS('Stock Adjustment'!$E:$E,'Stock Adjustment'!$B:$B,$A980,'Stock Adjustment'!$D:$D,"Supplier Returned")</f>
        <v>0</v>
      </c>
      <c r="M98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0" s="53" t="str">
        <f>IF(B980="","",VLOOKUP(B980,'Product Master'!$B:$G,4,FALSE))</f>
        <v/>
      </c>
      <c r="O980" s="53" t="str">
        <f>IF(B980="","",VLOOKUP(B980,'Product Master'!$B:$G,5,FALSE))</f>
        <v/>
      </c>
      <c r="P980" s="50" t="str">
        <f>IF(B980="","",VLOOKUP(B980,'Product Master'!$B:$I,7,FALSE))</f>
        <v/>
      </c>
      <c r="Q980" s="158"/>
      <c r="R980" s="58" t="str">
        <f t="shared" si="15"/>
        <v/>
      </c>
      <c r="S980" s="25"/>
      <c r="T980" s="25"/>
      <c r="U980" s="25"/>
      <c r="V980" s="25"/>
      <c r="W980" s="25"/>
      <c r="X980" s="25"/>
    </row>
    <row r="981" spans="1:24" x14ac:dyDescent="0.25">
      <c r="A981" s="31" t="s">
        <v>1541</v>
      </c>
      <c r="B981" s="32"/>
      <c r="C981" s="50" t="str">
        <f>IF(B981="","",VLOOKUP(B981,'Product Master'!$B:$G,2,FALSE))</f>
        <v/>
      </c>
      <c r="D981" s="50" t="str">
        <f>IF(B981="","",VLOOKUP(B981,'Product Master'!$B:$G,3,FALSE))</f>
        <v/>
      </c>
      <c r="E981" s="50"/>
      <c r="F981" s="50">
        <f>SUMIF('Stock Purchase'!$D:$D,B981,'Stock Purchase'!$F:$F)</f>
        <v>0</v>
      </c>
      <c r="G981" s="50">
        <f>SUMIFS('Stock Adjustment'!$E:$E,'Stock Adjustment'!$B:$B,$A981,'Stock Adjustment'!$D:$D,"Customer Returned")</f>
        <v>0</v>
      </c>
      <c r="H981" s="50">
        <f>SUMIF('Daily Sales Entry'!$D:$D,B981,'Daily Sales Entry'!$G:$G)</f>
        <v>0</v>
      </c>
      <c r="I981" s="50">
        <f>SUMIFS('Stock Adjustment'!$E:$E,'Stock Adjustment'!$B:$B,$A981,'Stock Adjustment'!$D:$D,"Staff Consumption")</f>
        <v>0</v>
      </c>
      <c r="J981" s="50">
        <f>SUMIFS('Stock Adjustment'!$E:$E,'Stock Adjustment'!$B:$B,$A981,'Stock Adjustment'!$D:$D,"Damaged")</f>
        <v>0</v>
      </c>
      <c r="K981" s="50">
        <f>SUMIFS('Stock Adjustment'!$E:$E,'Stock Adjustment'!$B:$B,$A981,'Stock Adjustment'!$D:$D,"Expired")</f>
        <v>0</v>
      </c>
      <c r="L981" s="50">
        <f>SUMIFS('Stock Adjustment'!$E:$E,'Stock Adjustment'!$B:$B,$A981,'Stock Adjustment'!$D:$D,"Supplier Returned")</f>
        <v>0</v>
      </c>
      <c r="M98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1" s="53" t="str">
        <f>IF(B981="","",VLOOKUP(B981,'Product Master'!$B:$G,4,FALSE))</f>
        <v/>
      </c>
      <c r="O981" s="53" t="str">
        <f>IF(B981="","",VLOOKUP(B981,'Product Master'!$B:$G,5,FALSE))</f>
        <v/>
      </c>
      <c r="P981" s="50" t="str">
        <f>IF(B981="","",VLOOKUP(B981,'Product Master'!$B:$I,7,FALSE))</f>
        <v/>
      </c>
      <c r="Q981" s="158"/>
      <c r="R981" s="58" t="str">
        <f t="shared" si="15"/>
        <v/>
      </c>
      <c r="S981" s="25"/>
      <c r="T981" s="25"/>
      <c r="U981" s="25"/>
      <c r="V981" s="25"/>
      <c r="W981" s="25"/>
      <c r="X981" s="25"/>
    </row>
    <row r="982" spans="1:24" x14ac:dyDescent="0.25">
      <c r="A982" s="31" t="s">
        <v>1542</v>
      </c>
      <c r="B982" s="32"/>
      <c r="C982" s="50" t="str">
        <f>IF(B982="","",VLOOKUP(B982,'Product Master'!$B:$G,2,FALSE))</f>
        <v/>
      </c>
      <c r="D982" s="50" t="str">
        <f>IF(B982="","",VLOOKUP(B982,'Product Master'!$B:$G,3,FALSE))</f>
        <v/>
      </c>
      <c r="E982" s="50"/>
      <c r="F982" s="50">
        <f>SUMIF('Stock Purchase'!$D:$D,B982,'Stock Purchase'!$F:$F)</f>
        <v>0</v>
      </c>
      <c r="G982" s="50">
        <f>SUMIFS('Stock Adjustment'!$E:$E,'Stock Adjustment'!$B:$B,$A982,'Stock Adjustment'!$D:$D,"Customer Returned")</f>
        <v>0</v>
      </c>
      <c r="H982" s="50">
        <f>SUMIF('Daily Sales Entry'!$D:$D,B982,'Daily Sales Entry'!$G:$G)</f>
        <v>0</v>
      </c>
      <c r="I982" s="50">
        <f>SUMIFS('Stock Adjustment'!$E:$E,'Stock Adjustment'!$B:$B,$A982,'Stock Adjustment'!$D:$D,"Staff Consumption")</f>
        <v>0</v>
      </c>
      <c r="J982" s="50">
        <f>SUMIFS('Stock Adjustment'!$E:$E,'Stock Adjustment'!$B:$B,$A982,'Stock Adjustment'!$D:$D,"Damaged")</f>
        <v>0</v>
      </c>
      <c r="K982" s="50">
        <f>SUMIFS('Stock Adjustment'!$E:$E,'Stock Adjustment'!$B:$B,$A982,'Stock Adjustment'!$D:$D,"Expired")</f>
        <v>0</v>
      </c>
      <c r="L982" s="50">
        <f>SUMIFS('Stock Adjustment'!$E:$E,'Stock Adjustment'!$B:$B,$A982,'Stock Adjustment'!$D:$D,"Supplier Returned")</f>
        <v>0</v>
      </c>
      <c r="M98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2" s="53" t="str">
        <f>IF(B982="","",VLOOKUP(B982,'Product Master'!$B:$G,4,FALSE))</f>
        <v/>
      </c>
      <c r="O982" s="53" t="str">
        <f>IF(B982="","",VLOOKUP(B982,'Product Master'!$B:$G,5,FALSE))</f>
        <v/>
      </c>
      <c r="P982" s="50" t="str">
        <f>IF(B982="","",VLOOKUP(B982,'Product Master'!$B:$I,7,FALSE))</f>
        <v/>
      </c>
      <c r="Q982" s="158"/>
      <c r="R982" s="58" t="str">
        <f t="shared" si="15"/>
        <v/>
      </c>
      <c r="S982" s="25"/>
      <c r="T982" s="25"/>
      <c r="U982" s="25"/>
      <c r="V982" s="25"/>
      <c r="W982" s="25"/>
      <c r="X982" s="25"/>
    </row>
    <row r="983" spans="1:24" x14ac:dyDescent="0.25">
      <c r="A983" s="31" t="s">
        <v>1543</v>
      </c>
      <c r="B983" s="32"/>
      <c r="C983" s="50" t="str">
        <f>IF(B983="","",VLOOKUP(B983,'Product Master'!$B:$G,2,FALSE))</f>
        <v/>
      </c>
      <c r="D983" s="50" t="str">
        <f>IF(B983="","",VLOOKUP(B983,'Product Master'!$B:$G,3,FALSE))</f>
        <v/>
      </c>
      <c r="E983" s="50"/>
      <c r="F983" s="50">
        <f>SUMIF('Stock Purchase'!$D:$D,B983,'Stock Purchase'!$F:$F)</f>
        <v>0</v>
      </c>
      <c r="G983" s="50">
        <f>SUMIFS('Stock Adjustment'!$E:$E,'Stock Adjustment'!$B:$B,$A983,'Stock Adjustment'!$D:$D,"Customer Returned")</f>
        <v>0</v>
      </c>
      <c r="H983" s="50">
        <f>SUMIF('Daily Sales Entry'!$D:$D,B983,'Daily Sales Entry'!$G:$G)</f>
        <v>0</v>
      </c>
      <c r="I983" s="50">
        <f>SUMIFS('Stock Adjustment'!$E:$E,'Stock Adjustment'!$B:$B,$A983,'Stock Adjustment'!$D:$D,"Staff Consumption")</f>
        <v>0</v>
      </c>
      <c r="J983" s="50">
        <f>SUMIFS('Stock Adjustment'!$E:$E,'Stock Adjustment'!$B:$B,$A983,'Stock Adjustment'!$D:$D,"Damaged")</f>
        <v>0</v>
      </c>
      <c r="K983" s="50">
        <f>SUMIFS('Stock Adjustment'!$E:$E,'Stock Adjustment'!$B:$B,$A983,'Stock Adjustment'!$D:$D,"Expired")</f>
        <v>0</v>
      </c>
      <c r="L983" s="50">
        <f>SUMIFS('Stock Adjustment'!$E:$E,'Stock Adjustment'!$B:$B,$A983,'Stock Adjustment'!$D:$D,"Supplier Returned")</f>
        <v>0</v>
      </c>
      <c r="M98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3" s="53" t="str">
        <f>IF(B983="","",VLOOKUP(B983,'Product Master'!$B:$G,4,FALSE))</f>
        <v/>
      </c>
      <c r="O983" s="53" t="str">
        <f>IF(B983="","",VLOOKUP(B983,'Product Master'!$B:$G,5,FALSE))</f>
        <v/>
      </c>
      <c r="P983" s="50" t="str">
        <f>IF(B983="","",VLOOKUP(B983,'Product Master'!$B:$I,7,FALSE))</f>
        <v/>
      </c>
      <c r="Q983" s="158"/>
      <c r="R983" s="58" t="str">
        <f t="shared" si="15"/>
        <v/>
      </c>
      <c r="S983" s="25"/>
      <c r="T983" s="25"/>
      <c r="U983" s="25"/>
      <c r="V983" s="25"/>
      <c r="W983" s="25"/>
      <c r="X983" s="25"/>
    </row>
    <row r="984" spans="1:24" x14ac:dyDescent="0.25">
      <c r="A984" s="31" t="s">
        <v>1544</v>
      </c>
      <c r="B984" s="32"/>
      <c r="C984" s="50" t="str">
        <f>IF(B984="","",VLOOKUP(B984,'Product Master'!$B:$G,2,FALSE))</f>
        <v/>
      </c>
      <c r="D984" s="50" t="str">
        <f>IF(B984="","",VLOOKUP(B984,'Product Master'!$B:$G,3,FALSE))</f>
        <v/>
      </c>
      <c r="E984" s="50"/>
      <c r="F984" s="50">
        <f>SUMIF('Stock Purchase'!$D:$D,B984,'Stock Purchase'!$F:$F)</f>
        <v>0</v>
      </c>
      <c r="G984" s="50">
        <f>SUMIFS('Stock Adjustment'!$E:$E,'Stock Adjustment'!$B:$B,$A984,'Stock Adjustment'!$D:$D,"Customer Returned")</f>
        <v>0</v>
      </c>
      <c r="H984" s="50">
        <f>SUMIF('Daily Sales Entry'!$D:$D,B984,'Daily Sales Entry'!$G:$G)</f>
        <v>0</v>
      </c>
      <c r="I984" s="50">
        <f>SUMIFS('Stock Adjustment'!$E:$E,'Stock Adjustment'!$B:$B,$A984,'Stock Adjustment'!$D:$D,"Staff Consumption")</f>
        <v>0</v>
      </c>
      <c r="J984" s="50">
        <f>SUMIFS('Stock Adjustment'!$E:$E,'Stock Adjustment'!$B:$B,$A984,'Stock Adjustment'!$D:$D,"Damaged")</f>
        <v>0</v>
      </c>
      <c r="K984" s="50">
        <f>SUMIFS('Stock Adjustment'!$E:$E,'Stock Adjustment'!$B:$B,$A984,'Stock Adjustment'!$D:$D,"Expired")</f>
        <v>0</v>
      </c>
      <c r="L984" s="50">
        <f>SUMIFS('Stock Adjustment'!$E:$E,'Stock Adjustment'!$B:$B,$A984,'Stock Adjustment'!$D:$D,"Supplier Returned")</f>
        <v>0</v>
      </c>
      <c r="M98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4" s="53" t="str">
        <f>IF(B984="","",VLOOKUP(B984,'Product Master'!$B:$G,4,FALSE))</f>
        <v/>
      </c>
      <c r="O984" s="53" t="str">
        <f>IF(B984="","",VLOOKUP(B984,'Product Master'!$B:$G,5,FALSE))</f>
        <v/>
      </c>
      <c r="P984" s="50" t="str">
        <f>IF(B984="","",VLOOKUP(B984,'Product Master'!$B:$I,7,FALSE))</f>
        <v/>
      </c>
      <c r="Q984" s="158"/>
      <c r="R984" s="58" t="str">
        <f t="shared" si="15"/>
        <v/>
      </c>
      <c r="S984" s="25"/>
      <c r="T984" s="25"/>
      <c r="U984" s="25"/>
      <c r="V984" s="25"/>
      <c r="W984" s="25"/>
      <c r="X984" s="25"/>
    </row>
    <row r="985" spans="1:24" x14ac:dyDescent="0.25">
      <c r="A985" s="31" t="s">
        <v>1545</v>
      </c>
      <c r="B985" s="32"/>
      <c r="C985" s="50" t="str">
        <f>IF(B985="","",VLOOKUP(B985,'Product Master'!$B:$G,2,FALSE))</f>
        <v/>
      </c>
      <c r="D985" s="50" t="str">
        <f>IF(B985="","",VLOOKUP(B985,'Product Master'!$B:$G,3,FALSE))</f>
        <v/>
      </c>
      <c r="E985" s="50"/>
      <c r="F985" s="50">
        <f>SUMIF('Stock Purchase'!$D:$D,B985,'Stock Purchase'!$F:$F)</f>
        <v>0</v>
      </c>
      <c r="G985" s="50">
        <f>SUMIFS('Stock Adjustment'!$E:$E,'Stock Adjustment'!$B:$B,$A985,'Stock Adjustment'!$D:$D,"Customer Returned")</f>
        <v>0</v>
      </c>
      <c r="H985" s="50">
        <f>SUMIF('Daily Sales Entry'!$D:$D,B985,'Daily Sales Entry'!$G:$G)</f>
        <v>0</v>
      </c>
      <c r="I985" s="50">
        <f>SUMIFS('Stock Adjustment'!$E:$E,'Stock Adjustment'!$B:$B,$A985,'Stock Adjustment'!$D:$D,"Staff Consumption")</f>
        <v>0</v>
      </c>
      <c r="J985" s="50">
        <f>SUMIFS('Stock Adjustment'!$E:$E,'Stock Adjustment'!$B:$B,$A985,'Stock Adjustment'!$D:$D,"Damaged")</f>
        <v>0</v>
      </c>
      <c r="K985" s="50">
        <f>SUMIFS('Stock Adjustment'!$E:$E,'Stock Adjustment'!$B:$B,$A985,'Stock Adjustment'!$D:$D,"Expired")</f>
        <v>0</v>
      </c>
      <c r="L985" s="50">
        <f>SUMIFS('Stock Adjustment'!$E:$E,'Stock Adjustment'!$B:$B,$A985,'Stock Adjustment'!$D:$D,"Supplier Returned")</f>
        <v>0</v>
      </c>
      <c r="M98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5" s="53" t="str">
        <f>IF(B985="","",VLOOKUP(B985,'Product Master'!$B:$G,4,FALSE))</f>
        <v/>
      </c>
      <c r="O985" s="53" t="str">
        <f>IF(B985="","",VLOOKUP(B985,'Product Master'!$B:$G,5,FALSE))</f>
        <v/>
      </c>
      <c r="P985" s="50" t="str">
        <f>IF(B985="","",VLOOKUP(B985,'Product Master'!$B:$I,7,FALSE))</f>
        <v/>
      </c>
      <c r="Q985" s="158"/>
      <c r="R985" s="58" t="str">
        <f t="shared" si="15"/>
        <v/>
      </c>
      <c r="S985" s="25"/>
      <c r="T985" s="25"/>
      <c r="U985" s="25"/>
      <c r="V985" s="25"/>
      <c r="W985" s="25"/>
      <c r="X985" s="25"/>
    </row>
    <row r="986" spans="1:24" x14ac:dyDescent="0.25">
      <c r="A986" s="31" t="s">
        <v>1546</v>
      </c>
      <c r="B986" s="32"/>
      <c r="C986" s="50" t="str">
        <f>IF(B986="","",VLOOKUP(B986,'Product Master'!$B:$G,2,FALSE))</f>
        <v/>
      </c>
      <c r="D986" s="50" t="str">
        <f>IF(B986="","",VLOOKUP(B986,'Product Master'!$B:$G,3,FALSE))</f>
        <v/>
      </c>
      <c r="E986" s="50"/>
      <c r="F986" s="50">
        <f>SUMIF('Stock Purchase'!$D:$D,B986,'Stock Purchase'!$F:$F)</f>
        <v>0</v>
      </c>
      <c r="G986" s="50">
        <f>SUMIFS('Stock Adjustment'!$E:$E,'Stock Adjustment'!$B:$B,$A986,'Stock Adjustment'!$D:$D,"Customer Returned")</f>
        <v>0</v>
      </c>
      <c r="H986" s="50">
        <f>SUMIF('Daily Sales Entry'!$D:$D,B986,'Daily Sales Entry'!$G:$G)</f>
        <v>0</v>
      </c>
      <c r="I986" s="50">
        <f>SUMIFS('Stock Adjustment'!$E:$E,'Stock Adjustment'!$B:$B,$A986,'Stock Adjustment'!$D:$D,"Staff Consumption")</f>
        <v>0</v>
      </c>
      <c r="J986" s="50">
        <f>SUMIFS('Stock Adjustment'!$E:$E,'Stock Adjustment'!$B:$B,$A986,'Stock Adjustment'!$D:$D,"Damaged")</f>
        <v>0</v>
      </c>
      <c r="K986" s="50">
        <f>SUMIFS('Stock Adjustment'!$E:$E,'Stock Adjustment'!$B:$B,$A986,'Stock Adjustment'!$D:$D,"Expired")</f>
        <v>0</v>
      </c>
      <c r="L986" s="50">
        <f>SUMIFS('Stock Adjustment'!$E:$E,'Stock Adjustment'!$B:$B,$A986,'Stock Adjustment'!$D:$D,"Supplier Returned")</f>
        <v>0</v>
      </c>
      <c r="M98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6" s="53" t="str">
        <f>IF(B986="","",VLOOKUP(B986,'Product Master'!$B:$G,4,FALSE))</f>
        <v/>
      </c>
      <c r="O986" s="53" t="str">
        <f>IF(B986="","",VLOOKUP(B986,'Product Master'!$B:$G,5,FALSE))</f>
        <v/>
      </c>
      <c r="P986" s="50" t="str">
        <f>IF(B986="","",VLOOKUP(B986,'Product Master'!$B:$I,7,FALSE))</f>
        <v/>
      </c>
      <c r="Q986" s="158"/>
      <c r="R986" s="58" t="str">
        <f t="shared" si="15"/>
        <v/>
      </c>
      <c r="S986" s="25"/>
      <c r="T986" s="25"/>
      <c r="U986" s="25"/>
      <c r="V986" s="25"/>
      <c r="W986" s="25"/>
      <c r="X986" s="25"/>
    </row>
    <row r="987" spans="1:24" x14ac:dyDescent="0.25">
      <c r="A987" s="31" t="s">
        <v>1547</v>
      </c>
      <c r="B987" s="32"/>
      <c r="C987" s="50" t="str">
        <f>IF(B987="","",VLOOKUP(B987,'Product Master'!$B:$G,2,FALSE))</f>
        <v/>
      </c>
      <c r="D987" s="50" t="str">
        <f>IF(B987="","",VLOOKUP(B987,'Product Master'!$B:$G,3,FALSE))</f>
        <v/>
      </c>
      <c r="E987" s="50"/>
      <c r="F987" s="50">
        <f>SUMIF('Stock Purchase'!$D:$D,B987,'Stock Purchase'!$F:$F)</f>
        <v>0</v>
      </c>
      <c r="G987" s="50">
        <f>SUMIFS('Stock Adjustment'!$E:$E,'Stock Adjustment'!$B:$B,$A987,'Stock Adjustment'!$D:$D,"Customer Returned")</f>
        <v>0</v>
      </c>
      <c r="H987" s="50">
        <f>SUMIF('Daily Sales Entry'!$D:$D,B987,'Daily Sales Entry'!$G:$G)</f>
        <v>0</v>
      </c>
      <c r="I987" s="50">
        <f>SUMIFS('Stock Adjustment'!$E:$E,'Stock Adjustment'!$B:$B,$A987,'Stock Adjustment'!$D:$D,"Staff Consumption")</f>
        <v>0</v>
      </c>
      <c r="J987" s="50">
        <f>SUMIFS('Stock Adjustment'!$E:$E,'Stock Adjustment'!$B:$B,$A987,'Stock Adjustment'!$D:$D,"Damaged")</f>
        <v>0</v>
      </c>
      <c r="K987" s="50">
        <f>SUMIFS('Stock Adjustment'!$E:$E,'Stock Adjustment'!$B:$B,$A987,'Stock Adjustment'!$D:$D,"Expired")</f>
        <v>0</v>
      </c>
      <c r="L987" s="50">
        <f>SUMIFS('Stock Adjustment'!$E:$E,'Stock Adjustment'!$B:$B,$A987,'Stock Adjustment'!$D:$D,"Supplier Returned")</f>
        <v>0</v>
      </c>
      <c r="M98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7" s="53" t="str">
        <f>IF(B987="","",VLOOKUP(B987,'Product Master'!$B:$G,4,FALSE))</f>
        <v/>
      </c>
      <c r="O987" s="53" t="str">
        <f>IF(B987="","",VLOOKUP(B987,'Product Master'!$B:$G,5,FALSE))</f>
        <v/>
      </c>
      <c r="P987" s="50" t="str">
        <f>IF(B987="","",VLOOKUP(B987,'Product Master'!$B:$I,7,FALSE))</f>
        <v/>
      </c>
      <c r="Q987" s="158"/>
      <c r="R987" s="58" t="str">
        <f t="shared" si="15"/>
        <v/>
      </c>
      <c r="S987" s="25"/>
      <c r="T987" s="25"/>
      <c r="U987" s="25"/>
      <c r="V987" s="25"/>
      <c r="W987" s="25"/>
      <c r="X987" s="25"/>
    </row>
    <row r="988" spans="1:24" x14ac:dyDescent="0.25">
      <c r="A988" s="31" t="s">
        <v>1548</v>
      </c>
      <c r="B988" s="32"/>
      <c r="C988" s="50" t="str">
        <f>IF(B988="","",VLOOKUP(B988,'Product Master'!$B:$G,2,FALSE))</f>
        <v/>
      </c>
      <c r="D988" s="50" t="str">
        <f>IF(B988="","",VLOOKUP(B988,'Product Master'!$B:$G,3,FALSE))</f>
        <v/>
      </c>
      <c r="E988" s="50"/>
      <c r="F988" s="50">
        <f>SUMIF('Stock Purchase'!$D:$D,B988,'Stock Purchase'!$F:$F)</f>
        <v>0</v>
      </c>
      <c r="G988" s="50">
        <f>SUMIFS('Stock Adjustment'!$E:$E,'Stock Adjustment'!$B:$B,$A988,'Stock Adjustment'!$D:$D,"Customer Returned")</f>
        <v>0</v>
      </c>
      <c r="H988" s="50">
        <f>SUMIF('Daily Sales Entry'!$D:$D,B988,'Daily Sales Entry'!$G:$G)</f>
        <v>0</v>
      </c>
      <c r="I988" s="50">
        <f>SUMIFS('Stock Adjustment'!$E:$E,'Stock Adjustment'!$B:$B,$A988,'Stock Adjustment'!$D:$D,"Staff Consumption")</f>
        <v>0</v>
      </c>
      <c r="J988" s="50">
        <f>SUMIFS('Stock Adjustment'!$E:$E,'Stock Adjustment'!$B:$B,$A988,'Stock Adjustment'!$D:$D,"Damaged")</f>
        <v>0</v>
      </c>
      <c r="K988" s="50">
        <f>SUMIFS('Stock Adjustment'!$E:$E,'Stock Adjustment'!$B:$B,$A988,'Stock Adjustment'!$D:$D,"Expired")</f>
        <v>0</v>
      </c>
      <c r="L988" s="50">
        <f>SUMIFS('Stock Adjustment'!$E:$E,'Stock Adjustment'!$B:$B,$A988,'Stock Adjustment'!$D:$D,"Supplier Returned")</f>
        <v>0</v>
      </c>
      <c r="M98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8" s="53" t="str">
        <f>IF(B988="","",VLOOKUP(B988,'Product Master'!$B:$G,4,FALSE))</f>
        <v/>
      </c>
      <c r="O988" s="53" t="str">
        <f>IF(B988="","",VLOOKUP(B988,'Product Master'!$B:$G,5,FALSE))</f>
        <v/>
      </c>
      <c r="P988" s="50" t="str">
        <f>IF(B988="","",VLOOKUP(B988,'Product Master'!$B:$I,7,FALSE))</f>
        <v/>
      </c>
      <c r="Q988" s="158"/>
      <c r="R988" s="58" t="str">
        <f t="shared" si="15"/>
        <v/>
      </c>
      <c r="S988" s="25"/>
      <c r="T988" s="25"/>
      <c r="U988" s="25"/>
      <c r="V988" s="25"/>
      <c r="W988" s="25"/>
      <c r="X988" s="25"/>
    </row>
    <row r="989" spans="1:24" x14ac:dyDescent="0.25">
      <c r="A989" s="31" t="s">
        <v>1549</v>
      </c>
      <c r="B989" s="32"/>
      <c r="C989" s="50" t="str">
        <f>IF(B989="","",VLOOKUP(B989,'Product Master'!$B:$G,2,FALSE))</f>
        <v/>
      </c>
      <c r="D989" s="50" t="str">
        <f>IF(B989="","",VLOOKUP(B989,'Product Master'!$B:$G,3,FALSE))</f>
        <v/>
      </c>
      <c r="E989" s="50"/>
      <c r="F989" s="50">
        <f>SUMIF('Stock Purchase'!$D:$D,B989,'Stock Purchase'!$F:$F)</f>
        <v>0</v>
      </c>
      <c r="G989" s="50">
        <f>SUMIFS('Stock Adjustment'!$E:$E,'Stock Adjustment'!$B:$B,$A989,'Stock Adjustment'!$D:$D,"Customer Returned")</f>
        <v>0</v>
      </c>
      <c r="H989" s="50">
        <f>SUMIF('Daily Sales Entry'!$D:$D,B989,'Daily Sales Entry'!$G:$G)</f>
        <v>0</v>
      </c>
      <c r="I989" s="50">
        <f>SUMIFS('Stock Adjustment'!$E:$E,'Stock Adjustment'!$B:$B,$A989,'Stock Adjustment'!$D:$D,"Staff Consumption")</f>
        <v>0</v>
      </c>
      <c r="J989" s="50">
        <f>SUMIFS('Stock Adjustment'!$E:$E,'Stock Adjustment'!$B:$B,$A989,'Stock Adjustment'!$D:$D,"Damaged")</f>
        <v>0</v>
      </c>
      <c r="K989" s="50">
        <f>SUMIFS('Stock Adjustment'!$E:$E,'Stock Adjustment'!$B:$B,$A989,'Stock Adjustment'!$D:$D,"Expired")</f>
        <v>0</v>
      </c>
      <c r="L989" s="50">
        <f>SUMIFS('Stock Adjustment'!$E:$E,'Stock Adjustment'!$B:$B,$A989,'Stock Adjustment'!$D:$D,"Supplier Returned")</f>
        <v>0</v>
      </c>
      <c r="M98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89" s="53" t="str">
        <f>IF(B989="","",VLOOKUP(B989,'Product Master'!$B:$G,4,FALSE))</f>
        <v/>
      </c>
      <c r="O989" s="53" t="str">
        <f>IF(B989="","",VLOOKUP(B989,'Product Master'!$B:$G,5,FALSE))</f>
        <v/>
      </c>
      <c r="P989" s="50" t="str">
        <f>IF(B989="","",VLOOKUP(B989,'Product Master'!$B:$I,7,FALSE))</f>
        <v/>
      </c>
      <c r="Q989" s="158"/>
      <c r="R989" s="58" t="str">
        <f t="shared" si="15"/>
        <v/>
      </c>
      <c r="S989" s="25"/>
      <c r="T989" s="25"/>
      <c r="U989" s="25"/>
      <c r="V989" s="25"/>
      <c r="W989" s="25"/>
      <c r="X989" s="25"/>
    </row>
    <row r="990" spans="1:24" x14ac:dyDescent="0.25">
      <c r="A990" s="31" t="s">
        <v>1550</v>
      </c>
      <c r="B990" s="32"/>
      <c r="C990" s="50" t="str">
        <f>IF(B990="","",VLOOKUP(B990,'Product Master'!$B:$G,2,FALSE))</f>
        <v/>
      </c>
      <c r="D990" s="50" t="str">
        <f>IF(B990="","",VLOOKUP(B990,'Product Master'!$B:$G,3,FALSE))</f>
        <v/>
      </c>
      <c r="E990" s="50"/>
      <c r="F990" s="50">
        <f>SUMIF('Stock Purchase'!$D:$D,B990,'Stock Purchase'!$F:$F)</f>
        <v>0</v>
      </c>
      <c r="G990" s="50">
        <f>SUMIFS('Stock Adjustment'!$E:$E,'Stock Adjustment'!$B:$B,$A990,'Stock Adjustment'!$D:$D,"Customer Returned")</f>
        <v>0</v>
      </c>
      <c r="H990" s="50">
        <f>SUMIF('Daily Sales Entry'!$D:$D,B990,'Daily Sales Entry'!$G:$G)</f>
        <v>0</v>
      </c>
      <c r="I990" s="50">
        <f>SUMIFS('Stock Adjustment'!$E:$E,'Stock Adjustment'!$B:$B,$A990,'Stock Adjustment'!$D:$D,"Staff Consumption")</f>
        <v>0</v>
      </c>
      <c r="J990" s="50">
        <f>SUMIFS('Stock Adjustment'!$E:$E,'Stock Adjustment'!$B:$B,$A990,'Stock Adjustment'!$D:$D,"Damaged")</f>
        <v>0</v>
      </c>
      <c r="K990" s="50">
        <f>SUMIFS('Stock Adjustment'!$E:$E,'Stock Adjustment'!$B:$B,$A990,'Stock Adjustment'!$D:$D,"Expired")</f>
        <v>0</v>
      </c>
      <c r="L990" s="50">
        <f>SUMIFS('Stock Adjustment'!$E:$E,'Stock Adjustment'!$B:$B,$A990,'Stock Adjustment'!$D:$D,"Supplier Returned")</f>
        <v>0</v>
      </c>
      <c r="M99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0" s="53" t="str">
        <f>IF(B990="","",VLOOKUP(B990,'Product Master'!$B:$G,4,FALSE))</f>
        <v/>
      </c>
      <c r="O990" s="53" t="str">
        <f>IF(B990="","",VLOOKUP(B990,'Product Master'!$B:$G,5,FALSE))</f>
        <v/>
      </c>
      <c r="P990" s="50" t="str">
        <f>IF(B990="","",VLOOKUP(B990,'Product Master'!$B:$I,7,FALSE))</f>
        <v/>
      </c>
      <c r="Q990" s="158"/>
      <c r="R990" s="58" t="str">
        <f t="shared" si="15"/>
        <v/>
      </c>
      <c r="S990" s="25"/>
      <c r="T990" s="25"/>
      <c r="U990" s="25"/>
      <c r="V990" s="25"/>
      <c r="W990" s="25"/>
      <c r="X990" s="25"/>
    </row>
    <row r="991" spans="1:24" x14ac:dyDescent="0.25">
      <c r="A991" s="31" t="s">
        <v>1551</v>
      </c>
      <c r="B991" s="32"/>
      <c r="C991" s="50" t="str">
        <f>IF(B991="","",VLOOKUP(B991,'Product Master'!$B:$G,2,FALSE))</f>
        <v/>
      </c>
      <c r="D991" s="50" t="str">
        <f>IF(B991="","",VLOOKUP(B991,'Product Master'!$B:$G,3,FALSE))</f>
        <v/>
      </c>
      <c r="E991" s="50"/>
      <c r="F991" s="50">
        <f>SUMIF('Stock Purchase'!$D:$D,B991,'Stock Purchase'!$F:$F)</f>
        <v>0</v>
      </c>
      <c r="G991" s="50">
        <f>SUMIFS('Stock Adjustment'!$E:$E,'Stock Adjustment'!$B:$B,$A991,'Stock Adjustment'!$D:$D,"Customer Returned")</f>
        <v>0</v>
      </c>
      <c r="H991" s="50">
        <f>SUMIF('Daily Sales Entry'!$D:$D,B991,'Daily Sales Entry'!$G:$G)</f>
        <v>0</v>
      </c>
      <c r="I991" s="50">
        <f>SUMIFS('Stock Adjustment'!$E:$E,'Stock Adjustment'!$B:$B,$A991,'Stock Adjustment'!$D:$D,"Staff Consumption")</f>
        <v>0</v>
      </c>
      <c r="J991" s="50">
        <f>SUMIFS('Stock Adjustment'!$E:$E,'Stock Adjustment'!$B:$B,$A991,'Stock Adjustment'!$D:$D,"Damaged")</f>
        <v>0</v>
      </c>
      <c r="K991" s="50">
        <f>SUMIFS('Stock Adjustment'!$E:$E,'Stock Adjustment'!$B:$B,$A991,'Stock Adjustment'!$D:$D,"Expired")</f>
        <v>0</v>
      </c>
      <c r="L991" s="50">
        <f>SUMIFS('Stock Adjustment'!$E:$E,'Stock Adjustment'!$B:$B,$A991,'Stock Adjustment'!$D:$D,"Supplier Returned")</f>
        <v>0</v>
      </c>
      <c r="M99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1" s="53" t="str">
        <f>IF(B991="","",VLOOKUP(B991,'Product Master'!$B:$G,4,FALSE))</f>
        <v/>
      </c>
      <c r="O991" s="53" t="str">
        <f>IF(B991="","",VLOOKUP(B991,'Product Master'!$B:$G,5,FALSE))</f>
        <v/>
      </c>
      <c r="P991" s="50" t="str">
        <f>IF(B991="","",VLOOKUP(B991,'Product Master'!$B:$I,7,FALSE))</f>
        <v/>
      </c>
      <c r="Q991" s="158"/>
      <c r="R991" s="58" t="str">
        <f t="shared" si="15"/>
        <v/>
      </c>
      <c r="S991" s="25"/>
      <c r="T991" s="25"/>
      <c r="U991" s="25"/>
      <c r="V991" s="25"/>
      <c r="W991" s="25"/>
      <c r="X991" s="25"/>
    </row>
    <row r="992" spans="1:24" x14ac:dyDescent="0.25">
      <c r="A992" s="31" t="s">
        <v>1552</v>
      </c>
      <c r="B992" s="32"/>
      <c r="C992" s="50" t="str">
        <f>IF(B992="","",VLOOKUP(B992,'Product Master'!$B:$G,2,FALSE))</f>
        <v/>
      </c>
      <c r="D992" s="50" t="str">
        <f>IF(B992="","",VLOOKUP(B992,'Product Master'!$B:$G,3,FALSE))</f>
        <v/>
      </c>
      <c r="E992" s="50"/>
      <c r="F992" s="50">
        <f>SUMIF('Stock Purchase'!$D:$D,B992,'Stock Purchase'!$F:$F)</f>
        <v>0</v>
      </c>
      <c r="G992" s="50">
        <f>SUMIFS('Stock Adjustment'!$E:$E,'Stock Adjustment'!$B:$B,$A992,'Stock Adjustment'!$D:$D,"Customer Returned")</f>
        <v>0</v>
      </c>
      <c r="H992" s="50">
        <f>SUMIF('Daily Sales Entry'!$D:$D,B992,'Daily Sales Entry'!$G:$G)</f>
        <v>0</v>
      </c>
      <c r="I992" s="50">
        <f>SUMIFS('Stock Adjustment'!$E:$E,'Stock Adjustment'!$B:$B,$A992,'Stock Adjustment'!$D:$D,"Staff Consumption")</f>
        <v>0</v>
      </c>
      <c r="J992" s="50">
        <f>SUMIFS('Stock Adjustment'!$E:$E,'Stock Adjustment'!$B:$B,$A992,'Stock Adjustment'!$D:$D,"Damaged")</f>
        <v>0</v>
      </c>
      <c r="K992" s="50">
        <f>SUMIFS('Stock Adjustment'!$E:$E,'Stock Adjustment'!$B:$B,$A992,'Stock Adjustment'!$D:$D,"Expired")</f>
        <v>0</v>
      </c>
      <c r="L992" s="50">
        <f>SUMIFS('Stock Adjustment'!$E:$E,'Stock Adjustment'!$B:$B,$A992,'Stock Adjustment'!$D:$D,"Supplier Returned")</f>
        <v>0</v>
      </c>
      <c r="M99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2" s="53" t="str">
        <f>IF(B992="","",VLOOKUP(B992,'Product Master'!$B:$G,4,FALSE))</f>
        <v/>
      </c>
      <c r="O992" s="53" t="str">
        <f>IF(B992="","",VLOOKUP(B992,'Product Master'!$B:$G,5,FALSE))</f>
        <v/>
      </c>
      <c r="P992" s="50" t="str">
        <f>IF(B992="","",VLOOKUP(B992,'Product Master'!$B:$I,7,FALSE))</f>
        <v/>
      </c>
      <c r="Q992" s="158"/>
      <c r="R992" s="58" t="str">
        <f t="shared" si="15"/>
        <v/>
      </c>
      <c r="S992" s="25"/>
      <c r="T992" s="25"/>
      <c r="U992" s="25"/>
      <c r="V992" s="25"/>
      <c r="W992" s="25"/>
      <c r="X992" s="25"/>
    </row>
    <row r="993" spans="1:24" x14ac:dyDescent="0.25">
      <c r="A993" s="31" t="s">
        <v>1553</v>
      </c>
      <c r="B993" s="32"/>
      <c r="C993" s="50" t="str">
        <f>IF(B993="","",VLOOKUP(B993,'Product Master'!$B:$G,2,FALSE))</f>
        <v/>
      </c>
      <c r="D993" s="50" t="str">
        <f>IF(B993="","",VLOOKUP(B993,'Product Master'!$B:$G,3,FALSE))</f>
        <v/>
      </c>
      <c r="E993" s="50"/>
      <c r="F993" s="50">
        <f>SUMIF('Stock Purchase'!$D:$D,B993,'Stock Purchase'!$F:$F)</f>
        <v>0</v>
      </c>
      <c r="G993" s="50">
        <f>SUMIFS('Stock Adjustment'!$E:$E,'Stock Adjustment'!$B:$B,$A993,'Stock Adjustment'!$D:$D,"Customer Returned")</f>
        <v>0</v>
      </c>
      <c r="H993" s="50">
        <f>SUMIF('Daily Sales Entry'!$D:$D,B993,'Daily Sales Entry'!$G:$G)</f>
        <v>0</v>
      </c>
      <c r="I993" s="50">
        <f>SUMIFS('Stock Adjustment'!$E:$E,'Stock Adjustment'!$B:$B,$A993,'Stock Adjustment'!$D:$D,"Staff Consumption")</f>
        <v>0</v>
      </c>
      <c r="J993" s="50">
        <f>SUMIFS('Stock Adjustment'!$E:$E,'Stock Adjustment'!$B:$B,$A993,'Stock Adjustment'!$D:$D,"Damaged")</f>
        <v>0</v>
      </c>
      <c r="K993" s="50">
        <f>SUMIFS('Stock Adjustment'!$E:$E,'Stock Adjustment'!$B:$B,$A993,'Stock Adjustment'!$D:$D,"Expired")</f>
        <v>0</v>
      </c>
      <c r="L993" s="50">
        <f>SUMIFS('Stock Adjustment'!$E:$E,'Stock Adjustment'!$B:$B,$A993,'Stock Adjustment'!$D:$D,"Supplier Returned")</f>
        <v>0</v>
      </c>
      <c r="M99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3" s="53" t="str">
        <f>IF(B993="","",VLOOKUP(B993,'Product Master'!$B:$G,4,FALSE))</f>
        <v/>
      </c>
      <c r="O993" s="53" t="str">
        <f>IF(B993="","",VLOOKUP(B993,'Product Master'!$B:$G,5,FALSE))</f>
        <v/>
      </c>
      <c r="P993" s="50" t="str">
        <f>IF(B993="","",VLOOKUP(B993,'Product Master'!$B:$I,7,FALSE))</f>
        <v/>
      </c>
      <c r="Q993" s="158"/>
      <c r="R993" s="58" t="str">
        <f t="shared" si="15"/>
        <v/>
      </c>
      <c r="S993" s="25"/>
      <c r="T993" s="25"/>
      <c r="U993" s="25"/>
      <c r="V993" s="25"/>
      <c r="W993" s="25"/>
      <c r="X993" s="25"/>
    </row>
    <row r="994" spans="1:24" x14ac:dyDescent="0.25">
      <c r="A994" s="31" t="s">
        <v>1554</v>
      </c>
      <c r="B994" s="32"/>
      <c r="C994" s="50" t="str">
        <f>IF(B994="","",VLOOKUP(B994,'Product Master'!$B:$G,2,FALSE))</f>
        <v/>
      </c>
      <c r="D994" s="50" t="str">
        <f>IF(B994="","",VLOOKUP(B994,'Product Master'!$B:$G,3,FALSE))</f>
        <v/>
      </c>
      <c r="E994" s="50"/>
      <c r="F994" s="50">
        <f>SUMIF('Stock Purchase'!$D:$D,B994,'Stock Purchase'!$F:$F)</f>
        <v>0</v>
      </c>
      <c r="G994" s="50">
        <f>SUMIFS('Stock Adjustment'!$E:$E,'Stock Adjustment'!$B:$B,$A994,'Stock Adjustment'!$D:$D,"Customer Returned")</f>
        <v>0</v>
      </c>
      <c r="H994" s="50">
        <f>SUMIF('Daily Sales Entry'!$D:$D,B994,'Daily Sales Entry'!$G:$G)</f>
        <v>0</v>
      </c>
      <c r="I994" s="50">
        <f>SUMIFS('Stock Adjustment'!$E:$E,'Stock Adjustment'!$B:$B,$A994,'Stock Adjustment'!$D:$D,"Staff Consumption")</f>
        <v>0</v>
      </c>
      <c r="J994" s="50">
        <f>SUMIFS('Stock Adjustment'!$E:$E,'Stock Adjustment'!$B:$B,$A994,'Stock Adjustment'!$D:$D,"Damaged")</f>
        <v>0</v>
      </c>
      <c r="K994" s="50">
        <f>SUMIFS('Stock Adjustment'!$E:$E,'Stock Adjustment'!$B:$B,$A994,'Stock Adjustment'!$D:$D,"Expired")</f>
        <v>0</v>
      </c>
      <c r="L994" s="50">
        <f>SUMIFS('Stock Adjustment'!$E:$E,'Stock Adjustment'!$B:$B,$A994,'Stock Adjustment'!$D:$D,"Supplier Returned")</f>
        <v>0</v>
      </c>
      <c r="M99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4" s="53" t="str">
        <f>IF(B994="","",VLOOKUP(B994,'Product Master'!$B:$G,4,FALSE))</f>
        <v/>
      </c>
      <c r="O994" s="53" t="str">
        <f>IF(B994="","",VLOOKUP(B994,'Product Master'!$B:$G,5,FALSE))</f>
        <v/>
      </c>
      <c r="P994" s="50" t="str">
        <f>IF(B994="","",VLOOKUP(B994,'Product Master'!$B:$I,7,FALSE))</f>
        <v/>
      </c>
      <c r="Q994" s="158"/>
      <c r="R994" s="58" t="str">
        <f t="shared" si="15"/>
        <v/>
      </c>
      <c r="S994" s="25"/>
      <c r="T994" s="25"/>
      <c r="U994" s="25"/>
      <c r="V994" s="25"/>
      <c r="W994" s="25"/>
      <c r="X994" s="25"/>
    </row>
    <row r="995" spans="1:24" x14ac:dyDescent="0.25">
      <c r="A995" s="31" t="s">
        <v>1555</v>
      </c>
      <c r="B995" s="32"/>
      <c r="C995" s="50" t="str">
        <f>IF(B995="","",VLOOKUP(B995,'Product Master'!$B:$G,2,FALSE))</f>
        <v/>
      </c>
      <c r="D995" s="50" t="str">
        <f>IF(B995="","",VLOOKUP(B995,'Product Master'!$B:$G,3,FALSE))</f>
        <v/>
      </c>
      <c r="E995" s="50"/>
      <c r="F995" s="50">
        <f>SUMIF('Stock Purchase'!$D:$D,B995,'Stock Purchase'!$F:$F)</f>
        <v>0</v>
      </c>
      <c r="G995" s="50">
        <f>SUMIFS('Stock Adjustment'!$E:$E,'Stock Adjustment'!$B:$B,$A995,'Stock Adjustment'!$D:$D,"Customer Returned")</f>
        <v>0</v>
      </c>
      <c r="H995" s="50">
        <f>SUMIF('Daily Sales Entry'!$D:$D,B995,'Daily Sales Entry'!$G:$G)</f>
        <v>0</v>
      </c>
      <c r="I995" s="50">
        <f>SUMIFS('Stock Adjustment'!$E:$E,'Stock Adjustment'!$B:$B,$A995,'Stock Adjustment'!$D:$D,"Staff Consumption")</f>
        <v>0</v>
      </c>
      <c r="J995" s="50">
        <f>SUMIFS('Stock Adjustment'!$E:$E,'Stock Adjustment'!$B:$B,$A995,'Stock Adjustment'!$D:$D,"Damaged")</f>
        <v>0</v>
      </c>
      <c r="K995" s="50">
        <f>SUMIFS('Stock Adjustment'!$E:$E,'Stock Adjustment'!$B:$B,$A995,'Stock Adjustment'!$D:$D,"Expired")</f>
        <v>0</v>
      </c>
      <c r="L995" s="50">
        <f>SUMIFS('Stock Adjustment'!$E:$E,'Stock Adjustment'!$B:$B,$A995,'Stock Adjustment'!$D:$D,"Supplier Returned")</f>
        <v>0</v>
      </c>
      <c r="M99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5" s="53" t="str">
        <f>IF(B995="","",VLOOKUP(B995,'Product Master'!$B:$G,4,FALSE))</f>
        <v/>
      </c>
      <c r="O995" s="53" t="str">
        <f>IF(B995="","",VLOOKUP(B995,'Product Master'!$B:$G,5,FALSE))</f>
        <v/>
      </c>
      <c r="P995" s="50" t="str">
        <f>IF(B995="","",VLOOKUP(B995,'Product Master'!$B:$I,7,FALSE))</f>
        <v/>
      </c>
      <c r="Q995" s="158"/>
      <c r="R995" s="58" t="str">
        <f t="shared" si="15"/>
        <v/>
      </c>
      <c r="S995" s="25"/>
      <c r="T995" s="25"/>
      <c r="U995" s="25"/>
      <c r="V995" s="25"/>
      <c r="W995" s="25"/>
      <c r="X995" s="25"/>
    </row>
    <row r="996" spans="1:24" x14ac:dyDescent="0.25">
      <c r="A996" s="31" t="s">
        <v>1556</v>
      </c>
      <c r="B996" s="32"/>
      <c r="C996" s="50" t="str">
        <f>IF(B996="","",VLOOKUP(B996,'Product Master'!$B:$G,2,FALSE))</f>
        <v/>
      </c>
      <c r="D996" s="50" t="str">
        <f>IF(B996="","",VLOOKUP(B996,'Product Master'!$B:$G,3,FALSE))</f>
        <v/>
      </c>
      <c r="E996" s="50"/>
      <c r="F996" s="50">
        <f>SUMIF('Stock Purchase'!$D:$D,B996,'Stock Purchase'!$F:$F)</f>
        <v>0</v>
      </c>
      <c r="G996" s="50">
        <f>SUMIFS('Stock Adjustment'!$E:$E,'Stock Adjustment'!$B:$B,$A996,'Stock Adjustment'!$D:$D,"Customer Returned")</f>
        <v>0</v>
      </c>
      <c r="H996" s="50">
        <f>SUMIF('Daily Sales Entry'!$D:$D,B996,'Daily Sales Entry'!$G:$G)</f>
        <v>0</v>
      </c>
      <c r="I996" s="50">
        <f>SUMIFS('Stock Adjustment'!$E:$E,'Stock Adjustment'!$B:$B,$A996,'Stock Adjustment'!$D:$D,"Staff Consumption")</f>
        <v>0</v>
      </c>
      <c r="J996" s="50">
        <f>SUMIFS('Stock Adjustment'!$E:$E,'Stock Adjustment'!$B:$B,$A996,'Stock Adjustment'!$D:$D,"Damaged")</f>
        <v>0</v>
      </c>
      <c r="K996" s="50">
        <f>SUMIFS('Stock Adjustment'!$E:$E,'Stock Adjustment'!$B:$B,$A996,'Stock Adjustment'!$D:$D,"Expired")</f>
        <v>0</v>
      </c>
      <c r="L996" s="50">
        <f>SUMIFS('Stock Adjustment'!$E:$E,'Stock Adjustment'!$B:$B,$A996,'Stock Adjustment'!$D:$D,"Supplier Returned")</f>
        <v>0</v>
      </c>
      <c r="M99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6" s="53" t="str">
        <f>IF(B996="","",VLOOKUP(B996,'Product Master'!$B:$G,4,FALSE))</f>
        <v/>
      </c>
      <c r="O996" s="53" t="str">
        <f>IF(B996="","",VLOOKUP(B996,'Product Master'!$B:$G,5,FALSE))</f>
        <v/>
      </c>
      <c r="P996" s="50" t="str">
        <f>IF(B996="","",VLOOKUP(B996,'Product Master'!$B:$I,7,FALSE))</f>
        <v/>
      </c>
      <c r="Q996" s="158"/>
      <c r="R996" s="58" t="str">
        <f t="shared" si="15"/>
        <v/>
      </c>
      <c r="S996" s="25"/>
      <c r="T996" s="25"/>
      <c r="U996" s="25"/>
      <c r="V996" s="25"/>
      <c r="W996" s="25"/>
      <c r="X996" s="25"/>
    </row>
    <row r="997" spans="1:24" x14ac:dyDescent="0.25">
      <c r="A997" s="31" t="s">
        <v>1557</v>
      </c>
      <c r="B997" s="32"/>
      <c r="C997" s="50" t="str">
        <f>IF(B997="","",VLOOKUP(B997,'Product Master'!$B:$G,2,FALSE))</f>
        <v/>
      </c>
      <c r="D997" s="50" t="str">
        <f>IF(B997="","",VLOOKUP(B997,'Product Master'!$B:$G,3,FALSE))</f>
        <v/>
      </c>
      <c r="E997" s="50"/>
      <c r="F997" s="50">
        <f>SUMIF('Stock Purchase'!$D:$D,B997,'Stock Purchase'!$F:$F)</f>
        <v>0</v>
      </c>
      <c r="G997" s="50">
        <f>SUMIFS('Stock Adjustment'!$E:$E,'Stock Adjustment'!$B:$B,$A997,'Stock Adjustment'!$D:$D,"Customer Returned")</f>
        <v>0</v>
      </c>
      <c r="H997" s="50">
        <f>SUMIF('Daily Sales Entry'!$D:$D,B997,'Daily Sales Entry'!$G:$G)</f>
        <v>0</v>
      </c>
      <c r="I997" s="50">
        <f>SUMIFS('Stock Adjustment'!$E:$E,'Stock Adjustment'!$B:$B,$A997,'Stock Adjustment'!$D:$D,"Staff Consumption")</f>
        <v>0</v>
      </c>
      <c r="J997" s="50">
        <f>SUMIFS('Stock Adjustment'!$E:$E,'Stock Adjustment'!$B:$B,$A997,'Stock Adjustment'!$D:$D,"Damaged")</f>
        <v>0</v>
      </c>
      <c r="K997" s="50">
        <f>SUMIFS('Stock Adjustment'!$E:$E,'Stock Adjustment'!$B:$B,$A997,'Stock Adjustment'!$D:$D,"Expired")</f>
        <v>0</v>
      </c>
      <c r="L997" s="50">
        <f>SUMIFS('Stock Adjustment'!$E:$E,'Stock Adjustment'!$B:$B,$A997,'Stock Adjustment'!$D:$D,"Supplier Returned")</f>
        <v>0</v>
      </c>
      <c r="M99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7" s="53" t="str">
        <f>IF(B997="","",VLOOKUP(B997,'Product Master'!$B:$G,4,FALSE))</f>
        <v/>
      </c>
      <c r="O997" s="53" t="str">
        <f>IF(B997="","",VLOOKUP(B997,'Product Master'!$B:$G,5,FALSE))</f>
        <v/>
      </c>
      <c r="P997" s="50" t="str">
        <f>IF(B997="","",VLOOKUP(B997,'Product Master'!$B:$I,7,FALSE))</f>
        <v/>
      </c>
      <c r="Q997" s="158"/>
      <c r="R997" s="58" t="str">
        <f t="shared" si="15"/>
        <v/>
      </c>
      <c r="S997" s="25"/>
      <c r="T997" s="25"/>
      <c r="U997" s="25"/>
      <c r="V997" s="25"/>
      <c r="W997" s="25"/>
      <c r="X997" s="25"/>
    </row>
    <row r="998" spans="1:24" x14ac:dyDescent="0.25">
      <c r="A998" s="31" t="s">
        <v>1558</v>
      </c>
      <c r="B998" s="32"/>
      <c r="C998" s="50" t="str">
        <f>IF(B998="","",VLOOKUP(B998,'Product Master'!$B:$G,2,FALSE))</f>
        <v/>
      </c>
      <c r="D998" s="50" t="str">
        <f>IF(B998="","",VLOOKUP(B998,'Product Master'!$B:$G,3,FALSE))</f>
        <v/>
      </c>
      <c r="E998" s="50"/>
      <c r="F998" s="50">
        <f>SUMIF('Stock Purchase'!$D:$D,B998,'Stock Purchase'!$F:$F)</f>
        <v>0</v>
      </c>
      <c r="G998" s="50">
        <f>SUMIFS('Stock Adjustment'!$E:$E,'Stock Adjustment'!$B:$B,$A998,'Stock Adjustment'!$D:$D,"Customer Returned")</f>
        <v>0</v>
      </c>
      <c r="H998" s="50">
        <f>SUMIF('Daily Sales Entry'!$D:$D,B998,'Daily Sales Entry'!$G:$G)</f>
        <v>0</v>
      </c>
      <c r="I998" s="50">
        <f>SUMIFS('Stock Adjustment'!$E:$E,'Stock Adjustment'!$B:$B,$A998,'Stock Adjustment'!$D:$D,"Staff Consumption")</f>
        <v>0</v>
      </c>
      <c r="J998" s="50">
        <f>SUMIFS('Stock Adjustment'!$E:$E,'Stock Adjustment'!$B:$B,$A998,'Stock Adjustment'!$D:$D,"Damaged")</f>
        <v>0</v>
      </c>
      <c r="K998" s="50">
        <f>SUMIFS('Stock Adjustment'!$E:$E,'Stock Adjustment'!$B:$B,$A998,'Stock Adjustment'!$D:$D,"Expired")</f>
        <v>0</v>
      </c>
      <c r="L998" s="50">
        <f>SUMIFS('Stock Adjustment'!$E:$E,'Stock Adjustment'!$B:$B,$A998,'Stock Adjustment'!$D:$D,"Supplier Returned")</f>
        <v>0</v>
      </c>
      <c r="M99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8" s="53" t="str">
        <f>IF(B998="","",VLOOKUP(B998,'Product Master'!$B:$G,4,FALSE))</f>
        <v/>
      </c>
      <c r="O998" s="53" t="str">
        <f>IF(B998="","",VLOOKUP(B998,'Product Master'!$B:$G,5,FALSE))</f>
        <v/>
      </c>
      <c r="P998" s="50" t="str">
        <f>IF(B998="","",VLOOKUP(B998,'Product Master'!$B:$I,7,FALSE))</f>
        <v/>
      </c>
      <c r="Q998" s="158"/>
      <c r="R998" s="58" t="str">
        <f t="shared" si="15"/>
        <v/>
      </c>
      <c r="S998" s="25"/>
      <c r="T998" s="25"/>
      <c r="U998" s="25"/>
      <c r="V998" s="25"/>
      <c r="W998" s="25"/>
      <c r="X998" s="25"/>
    </row>
    <row r="999" spans="1:24" x14ac:dyDescent="0.25">
      <c r="A999" s="31" t="s">
        <v>1559</v>
      </c>
      <c r="B999" s="32"/>
      <c r="C999" s="50" t="str">
        <f>IF(B999="","",VLOOKUP(B999,'Product Master'!$B:$G,2,FALSE))</f>
        <v/>
      </c>
      <c r="D999" s="50" t="str">
        <f>IF(B999="","",VLOOKUP(B999,'Product Master'!$B:$G,3,FALSE))</f>
        <v/>
      </c>
      <c r="E999" s="50"/>
      <c r="F999" s="50">
        <f>SUMIF('Stock Purchase'!$D:$D,B999,'Stock Purchase'!$F:$F)</f>
        <v>0</v>
      </c>
      <c r="G999" s="50">
        <f>SUMIFS('Stock Adjustment'!$E:$E,'Stock Adjustment'!$B:$B,$A999,'Stock Adjustment'!$D:$D,"Customer Returned")</f>
        <v>0</v>
      </c>
      <c r="H999" s="50">
        <f>SUMIF('Daily Sales Entry'!$D:$D,B999,'Daily Sales Entry'!$G:$G)</f>
        <v>0</v>
      </c>
      <c r="I999" s="50">
        <f>SUMIFS('Stock Adjustment'!$E:$E,'Stock Adjustment'!$B:$B,$A999,'Stock Adjustment'!$D:$D,"Staff Consumption")</f>
        <v>0</v>
      </c>
      <c r="J999" s="50">
        <f>SUMIFS('Stock Adjustment'!$E:$E,'Stock Adjustment'!$B:$B,$A999,'Stock Adjustment'!$D:$D,"Damaged")</f>
        <v>0</v>
      </c>
      <c r="K999" s="50">
        <f>SUMIFS('Stock Adjustment'!$E:$E,'Stock Adjustment'!$B:$B,$A999,'Stock Adjustment'!$D:$D,"Expired")</f>
        <v>0</v>
      </c>
      <c r="L999" s="50">
        <f>SUMIFS('Stock Adjustment'!$E:$E,'Stock Adjustment'!$B:$B,$A999,'Stock Adjustment'!$D:$D,"Supplier Returned")</f>
        <v>0</v>
      </c>
      <c r="M99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999" s="53" t="str">
        <f>IF(B999="","",VLOOKUP(B999,'Product Master'!$B:$G,4,FALSE))</f>
        <v/>
      </c>
      <c r="O999" s="53" t="str">
        <f>IF(B999="","",VLOOKUP(B999,'Product Master'!$B:$G,5,FALSE))</f>
        <v/>
      </c>
      <c r="P999" s="50" t="str">
        <f>IF(B999="","",VLOOKUP(B999,'Product Master'!$B:$I,7,FALSE))</f>
        <v/>
      </c>
      <c r="Q999" s="158"/>
      <c r="R999" s="58" t="str">
        <f t="shared" si="15"/>
        <v/>
      </c>
      <c r="S999" s="25"/>
      <c r="T999" s="25"/>
      <c r="U999" s="25"/>
      <c r="V999" s="25"/>
      <c r="W999" s="25"/>
      <c r="X999" s="25"/>
    </row>
    <row r="1000" spans="1:24" x14ac:dyDescent="0.25">
      <c r="A1000" s="31" t="s">
        <v>1560</v>
      </c>
      <c r="B1000" s="32"/>
      <c r="C1000" s="50" t="str">
        <f>IF(B1000="","",VLOOKUP(B1000,'Product Master'!$B:$G,2,FALSE))</f>
        <v/>
      </c>
      <c r="D1000" s="50" t="str">
        <f>IF(B1000="","",VLOOKUP(B1000,'Product Master'!$B:$G,3,FALSE))</f>
        <v/>
      </c>
      <c r="E1000" s="50"/>
      <c r="F1000" s="50">
        <f>SUMIF('Stock Purchase'!$D:$D,B1000,'Stock Purchase'!$F:$F)</f>
        <v>0</v>
      </c>
      <c r="G1000" s="50">
        <f>SUMIFS('Stock Adjustment'!$E:$E,'Stock Adjustment'!$B:$B,$A1000,'Stock Adjustment'!$D:$D,"Customer Returned")</f>
        <v>0</v>
      </c>
      <c r="H1000" s="50">
        <f>SUMIF('Daily Sales Entry'!$D:$D,B1000,'Daily Sales Entry'!$G:$G)</f>
        <v>0</v>
      </c>
      <c r="I1000" s="50">
        <f>SUMIFS('Stock Adjustment'!$E:$E,'Stock Adjustment'!$B:$B,$A1000,'Stock Adjustment'!$D:$D,"Staff Consumption")</f>
        <v>0</v>
      </c>
      <c r="J1000" s="50">
        <f>SUMIFS('Stock Adjustment'!$E:$E,'Stock Adjustment'!$B:$B,$A1000,'Stock Adjustment'!$D:$D,"Damaged")</f>
        <v>0</v>
      </c>
      <c r="K1000" s="50">
        <f>SUMIFS('Stock Adjustment'!$E:$E,'Stock Adjustment'!$B:$B,$A1000,'Stock Adjustment'!$D:$D,"Expired")</f>
        <v>0</v>
      </c>
      <c r="L1000" s="50">
        <f>SUMIFS('Stock Adjustment'!$E:$E,'Stock Adjustment'!$B:$B,$A1000,'Stock Adjustment'!$D:$D,"Supplier Returned")</f>
        <v>0</v>
      </c>
      <c r="M100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0" s="53" t="str">
        <f>IF(B1000="","",VLOOKUP(B1000,'Product Master'!$B:$G,4,FALSE))</f>
        <v/>
      </c>
      <c r="O1000" s="53" t="str">
        <f>IF(B1000="","",VLOOKUP(B1000,'Product Master'!$B:$G,5,FALSE))</f>
        <v/>
      </c>
      <c r="P1000" s="50" t="str">
        <f>IF(B1000="","",VLOOKUP(B1000,'Product Master'!$B:$I,7,FALSE))</f>
        <v/>
      </c>
      <c r="Q1000" s="158"/>
      <c r="R1000" s="58" t="str">
        <f t="shared" si="15"/>
        <v/>
      </c>
      <c r="S1000" s="25"/>
      <c r="T1000" s="25"/>
      <c r="U1000" s="25"/>
      <c r="V1000" s="25"/>
      <c r="W1000" s="25"/>
      <c r="X1000" s="25"/>
    </row>
    <row r="1001" spans="1:24" x14ac:dyDescent="0.25">
      <c r="A1001" s="31" t="s">
        <v>42</v>
      </c>
      <c r="B1001" s="32"/>
      <c r="C1001" s="50" t="str">
        <f>IF(B1001="","",VLOOKUP(B1001,'Product Master'!$B:$G,2,FALSE))</f>
        <v/>
      </c>
      <c r="D1001" s="50" t="str">
        <f>IF(B1001="","",VLOOKUP(B1001,'Product Master'!$B:$G,3,FALSE))</f>
        <v/>
      </c>
      <c r="E1001" s="50"/>
      <c r="F1001" s="50">
        <f>SUMIF('Stock Purchase'!$D:$D,B1001,'Stock Purchase'!$F:$F)</f>
        <v>0</v>
      </c>
      <c r="G1001" s="50">
        <f>SUMIFS('Stock Adjustment'!$E:$E,'Stock Adjustment'!$B:$B,$A1001,'Stock Adjustment'!$D:$D,"Customer Returned")</f>
        <v>0</v>
      </c>
      <c r="H1001" s="50">
        <f>SUMIF('Daily Sales Entry'!$D:$D,B1001,'Daily Sales Entry'!$G:$G)</f>
        <v>0</v>
      </c>
      <c r="I1001" s="50">
        <f>SUMIFS('Stock Adjustment'!$E:$E,'Stock Adjustment'!$B:$B,$A1001,'Stock Adjustment'!$D:$D,"Staff Consumption")</f>
        <v>0</v>
      </c>
      <c r="J1001" s="50">
        <f>SUMIFS('Stock Adjustment'!$E:$E,'Stock Adjustment'!$B:$B,$A1001,'Stock Adjustment'!$D:$D,"Damaged")</f>
        <v>0</v>
      </c>
      <c r="K1001" s="50">
        <f>SUMIFS('Stock Adjustment'!$E:$E,'Stock Adjustment'!$B:$B,$A1001,'Stock Adjustment'!$D:$D,"Expired")</f>
        <v>0</v>
      </c>
      <c r="L1001" s="50">
        <f>SUMIFS('Stock Adjustment'!$E:$E,'Stock Adjustment'!$B:$B,$A1001,'Stock Adjustment'!$D:$D,"Supplier Returned")</f>
        <v>0</v>
      </c>
      <c r="M100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1" s="53" t="str">
        <f>IF(B1001="","",VLOOKUP(B1001,'Product Master'!$B:$G,4,FALSE))</f>
        <v/>
      </c>
      <c r="O1001" s="53" t="str">
        <f>IF(B1001="","",VLOOKUP(B1001,'Product Master'!$B:$G,5,FALSE))</f>
        <v/>
      </c>
      <c r="P1001" s="50" t="str">
        <f>IF(B1001="","",VLOOKUP(B1001,'Product Master'!$B:$I,7,FALSE))</f>
        <v/>
      </c>
      <c r="Q1001" s="158"/>
      <c r="R1001" s="58" t="str">
        <f t="shared" si="15"/>
        <v/>
      </c>
      <c r="S1001" s="25"/>
      <c r="T1001" s="25"/>
      <c r="U1001" s="25"/>
      <c r="V1001" s="25"/>
      <c r="W1001" s="25"/>
      <c r="X1001" s="25"/>
    </row>
    <row r="1002" spans="1:24" x14ac:dyDescent="0.25">
      <c r="A1002" s="31" t="s">
        <v>43</v>
      </c>
      <c r="B1002" s="32"/>
      <c r="C1002" s="50" t="str">
        <f>IF(B1002="","",VLOOKUP(B1002,'Product Master'!$B:$G,2,FALSE))</f>
        <v/>
      </c>
      <c r="D1002" s="50" t="str">
        <f>IF(B1002="","",VLOOKUP(B1002,'Product Master'!$B:$G,3,FALSE))</f>
        <v/>
      </c>
      <c r="E1002" s="50"/>
      <c r="F1002" s="50">
        <f>SUMIF('Stock Purchase'!$D:$D,B1002,'Stock Purchase'!$F:$F)</f>
        <v>0</v>
      </c>
      <c r="G1002" s="50">
        <f>SUMIFS('Stock Adjustment'!$E:$E,'Stock Adjustment'!$B:$B,$A1002,'Stock Adjustment'!$D:$D,"Customer Returned")</f>
        <v>0</v>
      </c>
      <c r="H1002" s="50">
        <f>SUMIF('Daily Sales Entry'!$D:$D,B1002,'Daily Sales Entry'!$G:$G)</f>
        <v>0</v>
      </c>
      <c r="I1002" s="50">
        <f>SUMIFS('Stock Adjustment'!$E:$E,'Stock Adjustment'!$B:$B,$A1002,'Stock Adjustment'!$D:$D,"Staff Consumption")</f>
        <v>0</v>
      </c>
      <c r="J1002" s="50">
        <f>SUMIFS('Stock Adjustment'!$E:$E,'Stock Adjustment'!$B:$B,$A1002,'Stock Adjustment'!$D:$D,"Damaged")</f>
        <v>0</v>
      </c>
      <c r="K1002" s="50">
        <f>SUMIFS('Stock Adjustment'!$E:$E,'Stock Adjustment'!$B:$B,$A1002,'Stock Adjustment'!$D:$D,"Expired")</f>
        <v>0</v>
      </c>
      <c r="L1002" s="50">
        <f>SUMIFS('Stock Adjustment'!$E:$E,'Stock Adjustment'!$B:$B,$A1002,'Stock Adjustment'!$D:$D,"Supplier Returned")</f>
        <v>0</v>
      </c>
      <c r="M100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2" s="53" t="str">
        <f>IF(B1002="","",VLOOKUP(B1002,'Product Master'!$B:$G,4,FALSE))</f>
        <v/>
      </c>
      <c r="O1002" s="53" t="str">
        <f>IF(B1002="","",VLOOKUP(B1002,'Product Master'!$B:$G,5,FALSE))</f>
        <v/>
      </c>
      <c r="P1002" s="50" t="str">
        <f>IF(B1002="","",VLOOKUP(B1002,'Product Master'!$B:$I,7,FALSE))</f>
        <v/>
      </c>
      <c r="Q1002" s="158"/>
      <c r="R1002" s="58" t="str">
        <f t="shared" si="15"/>
        <v/>
      </c>
      <c r="S1002" s="25"/>
      <c r="T1002" s="25"/>
      <c r="U1002" s="25"/>
      <c r="V1002" s="25"/>
      <c r="W1002" s="25"/>
      <c r="X1002" s="25"/>
    </row>
    <row r="1003" spans="1:24" x14ac:dyDescent="0.25">
      <c r="A1003" s="31" t="s">
        <v>44</v>
      </c>
      <c r="B1003" s="32"/>
      <c r="C1003" s="50" t="str">
        <f>IF(B1003="","",VLOOKUP(B1003,'Product Master'!$B:$G,2,FALSE))</f>
        <v/>
      </c>
      <c r="D1003" s="50" t="str">
        <f>IF(B1003="","",VLOOKUP(B1003,'Product Master'!$B:$G,3,FALSE))</f>
        <v/>
      </c>
      <c r="E1003" s="50"/>
      <c r="F1003" s="50">
        <f>SUMIF('Stock Purchase'!$D:$D,B1003,'Stock Purchase'!$F:$F)</f>
        <v>0</v>
      </c>
      <c r="G1003" s="50">
        <f>SUMIFS('Stock Adjustment'!$E:$E,'Stock Adjustment'!$B:$B,$A1003,'Stock Adjustment'!$D:$D,"Customer Returned")</f>
        <v>0</v>
      </c>
      <c r="H1003" s="50">
        <f>SUMIF('Daily Sales Entry'!$D:$D,B1003,'Daily Sales Entry'!$G:$G)</f>
        <v>0</v>
      </c>
      <c r="I1003" s="50">
        <f>SUMIFS('Stock Adjustment'!$E:$E,'Stock Adjustment'!$B:$B,$A1003,'Stock Adjustment'!$D:$D,"Staff Consumption")</f>
        <v>0</v>
      </c>
      <c r="J1003" s="50">
        <f>SUMIFS('Stock Adjustment'!$E:$E,'Stock Adjustment'!$B:$B,$A1003,'Stock Adjustment'!$D:$D,"Damaged")</f>
        <v>0</v>
      </c>
      <c r="K1003" s="50">
        <f>SUMIFS('Stock Adjustment'!$E:$E,'Stock Adjustment'!$B:$B,$A1003,'Stock Adjustment'!$D:$D,"Expired")</f>
        <v>0</v>
      </c>
      <c r="L1003" s="50">
        <f>SUMIFS('Stock Adjustment'!$E:$E,'Stock Adjustment'!$B:$B,$A1003,'Stock Adjustment'!$D:$D,"Supplier Returned")</f>
        <v>0</v>
      </c>
      <c r="M100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3" s="53" t="str">
        <f>IF(B1003="","",VLOOKUP(B1003,'Product Master'!$B:$G,4,FALSE))</f>
        <v/>
      </c>
      <c r="O1003" s="53" t="str">
        <f>IF(B1003="","",VLOOKUP(B1003,'Product Master'!$B:$G,5,FALSE))</f>
        <v/>
      </c>
      <c r="P1003" s="50" t="str">
        <f>IF(B1003="","",VLOOKUP(B1003,'Product Master'!$B:$I,7,FALSE))</f>
        <v/>
      </c>
      <c r="Q1003" s="158"/>
      <c r="R1003" s="58" t="str">
        <f t="shared" si="15"/>
        <v/>
      </c>
      <c r="S1003" s="25"/>
      <c r="T1003" s="25"/>
      <c r="U1003" s="25"/>
      <c r="V1003" s="25"/>
      <c r="W1003" s="25"/>
      <c r="X1003" s="25"/>
    </row>
    <row r="1004" spans="1:24" x14ac:dyDescent="0.25">
      <c r="A1004" s="31" t="s">
        <v>45</v>
      </c>
      <c r="B1004" s="32"/>
      <c r="C1004" s="50" t="str">
        <f>IF(B1004="","",VLOOKUP(B1004,'Product Master'!$B:$G,2,FALSE))</f>
        <v/>
      </c>
      <c r="D1004" s="50" t="str">
        <f>IF(B1004="","",VLOOKUP(B1004,'Product Master'!$B:$G,3,FALSE))</f>
        <v/>
      </c>
      <c r="E1004" s="50"/>
      <c r="F1004" s="50">
        <f>SUMIF('Stock Purchase'!$D:$D,B1004,'Stock Purchase'!$F:$F)</f>
        <v>0</v>
      </c>
      <c r="G1004" s="50">
        <f>SUMIFS('Stock Adjustment'!$E:$E,'Stock Adjustment'!$B:$B,$A1004,'Stock Adjustment'!$D:$D,"Customer Returned")</f>
        <v>0</v>
      </c>
      <c r="H1004" s="50">
        <f>SUMIF('Daily Sales Entry'!$D:$D,B1004,'Daily Sales Entry'!$G:$G)</f>
        <v>0</v>
      </c>
      <c r="I1004" s="50">
        <f>SUMIFS('Stock Adjustment'!$E:$E,'Stock Adjustment'!$B:$B,$A1004,'Stock Adjustment'!$D:$D,"Staff Consumption")</f>
        <v>0</v>
      </c>
      <c r="J1004" s="50">
        <f>SUMIFS('Stock Adjustment'!$E:$E,'Stock Adjustment'!$B:$B,$A1004,'Stock Adjustment'!$D:$D,"Damaged")</f>
        <v>0</v>
      </c>
      <c r="K1004" s="50">
        <f>SUMIFS('Stock Adjustment'!$E:$E,'Stock Adjustment'!$B:$B,$A1004,'Stock Adjustment'!$D:$D,"Expired")</f>
        <v>0</v>
      </c>
      <c r="L1004" s="50">
        <f>SUMIFS('Stock Adjustment'!$E:$E,'Stock Adjustment'!$B:$B,$A1004,'Stock Adjustment'!$D:$D,"Supplier Returned")</f>
        <v>0</v>
      </c>
      <c r="M100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4" s="53" t="str">
        <f>IF(B1004="","",VLOOKUP(B1004,'Product Master'!$B:$G,4,FALSE))</f>
        <v/>
      </c>
      <c r="O1004" s="53" t="str">
        <f>IF(B1004="","",VLOOKUP(B1004,'Product Master'!$B:$G,5,FALSE))</f>
        <v/>
      </c>
      <c r="P1004" s="50" t="str">
        <f>IF(B1004="","",VLOOKUP(B1004,'Product Master'!$B:$I,7,FALSE))</f>
        <v/>
      </c>
      <c r="Q1004" s="158"/>
      <c r="R1004" s="58" t="str">
        <f t="shared" si="15"/>
        <v/>
      </c>
      <c r="S1004" s="25"/>
      <c r="T1004" s="25"/>
      <c r="U1004" s="25"/>
      <c r="V1004" s="25"/>
      <c r="W1004" s="25"/>
      <c r="X1004" s="25"/>
    </row>
    <row r="1005" spans="1:24" x14ac:dyDescent="0.25">
      <c r="A1005" s="31" t="s">
        <v>46</v>
      </c>
      <c r="B1005" s="32"/>
      <c r="C1005" s="50" t="str">
        <f>IF(B1005="","",VLOOKUP(B1005,'Product Master'!$B:$G,2,FALSE))</f>
        <v/>
      </c>
      <c r="D1005" s="50" t="str">
        <f>IF(B1005="","",VLOOKUP(B1005,'Product Master'!$B:$G,3,FALSE))</f>
        <v/>
      </c>
      <c r="E1005" s="50"/>
      <c r="F1005" s="50">
        <f>SUMIF('Stock Purchase'!$D:$D,B1005,'Stock Purchase'!$F:$F)</f>
        <v>0</v>
      </c>
      <c r="G1005" s="50">
        <f>SUMIFS('Stock Adjustment'!$E:$E,'Stock Adjustment'!$B:$B,$A1005,'Stock Adjustment'!$D:$D,"Customer Returned")</f>
        <v>0</v>
      </c>
      <c r="H1005" s="50">
        <f>SUMIF('Daily Sales Entry'!$D:$D,B1005,'Daily Sales Entry'!$G:$G)</f>
        <v>0</v>
      </c>
      <c r="I1005" s="50">
        <f>SUMIFS('Stock Adjustment'!$E:$E,'Stock Adjustment'!$B:$B,$A1005,'Stock Adjustment'!$D:$D,"Staff Consumption")</f>
        <v>0</v>
      </c>
      <c r="J1005" s="50">
        <f>SUMIFS('Stock Adjustment'!$E:$E,'Stock Adjustment'!$B:$B,$A1005,'Stock Adjustment'!$D:$D,"Damaged")</f>
        <v>0</v>
      </c>
      <c r="K1005" s="50">
        <f>SUMIFS('Stock Adjustment'!$E:$E,'Stock Adjustment'!$B:$B,$A1005,'Stock Adjustment'!$D:$D,"Expired")</f>
        <v>0</v>
      </c>
      <c r="L1005" s="50">
        <f>SUMIFS('Stock Adjustment'!$E:$E,'Stock Adjustment'!$B:$B,$A1005,'Stock Adjustment'!$D:$D,"Supplier Returned")</f>
        <v>0</v>
      </c>
      <c r="M100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5" s="53" t="str">
        <f>IF(B1005="","",VLOOKUP(B1005,'Product Master'!$B:$G,4,FALSE))</f>
        <v/>
      </c>
      <c r="O1005" s="53" t="str">
        <f>IF(B1005="","",VLOOKUP(B1005,'Product Master'!$B:$G,5,FALSE))</f>
        <v/>
      </c>
      <c r="P1005" s="50" t="str">
        <f>IF(B1005="","",VLOOKUP(B1005,'Product Master'!$B:$I,7,FALSE))</f>
        <v/>
      </c>
      <c r="Q1005" s="158"/>
      <c r="R1005" s="58" t="str">
        <f t="shared" si="15"/>
        <v/>
      </c>
      <c r="S1005" s="25"/>
      <c r="T1005" s="25"/>
      <c r="U1005" s="25"/>
      <c r="V1005" s="25"/>
      <c r="W1005" s="25"/>
      <c r="X1005" s="25"/>
    </row>
    <row r="1006" spans="1:24" x14ac:dyDescent="0.25">
      <c r="A1006" s="31" t="s">
        <v>47</v>
      </c>
      <c r="B1006" s="32"/>
      <c r="C1006" s="50" t="str">
        <f>IF(B1006="","",VLOOKUP(B1006,'Product Master'!$B:$G,2,FALSE))</f>
        <v/>
      </c>
      <c r="D1006" s="50" t="str">
        <f>IF(B1006="","",VLOOKUP(B1006,'Product Master'!$B:$G,3,FALSE))</f>
        <v/>
      </c>
      <c r="E1006" s="50"/>
      <c r="F1006" s="50">
        <f>SUMIF('Stock Purchase'!$D:$D,B1006,'Stock Purchase'!$F:$F)</f>
        <v>0</v>
      </c>
      <c r="G1006" s="50">
        <f>SUMIFS('Stock Adjustment'!$E:$E,'Stock Adjustment'!$B:$B,$A1006,'Stock Adjustment'!$D:$D,"Customer Returned")</f>
        <v>0</v>
      </c>
      <c r="H1006" s="50">
        <f>SUMIF('Daily Sales Entry'!$D:$D,B1006,'Daily Sales Entry'!$G:$G)</f>
        <v>0</v>
      </c>
      <c r="I1006" s="50">
        <f>SUMIFS('Stock Adjustment'!$E:$E,'Stock Adjustment'!$B:$B,$A1006,'Stock Adjustment'!$D:$D,"Staff Consumption")</f>
        <v>0</v>
      </c>
      <c r="J1006" s="50">
        <f>SUMIFS('Stock Adjustment'!$E:$E,'Stock Adjustment'!$B:$B,$A1006,'Stock Adjustment'!$D:$D,"Damaged")</f>
        <v>0</v>
      </c>
      <c r="K1006" s="50">
        <f>SUMIFS('Stock Adjustment'!$E:$E,'Stock Adjustment'!$B:$B,$A1006,'Stock Adjustment'!$D:$D,"Expired")</f>
        <v>0</v>
      </c>
      <c r="L1006" s="50">
        <f>SUMIFS('Stock Adjustment'!$E:$E,'Stock Adjustment'!$B:$B,$A1006,'Stock Adjustment'!$D:$D,"Supplier Returned")</f>
        <v>0</v>
      </c>
      <c r="M100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6" s="53" t="str">
        <f>IF(B1006="","",VLOOKUP(B1006,'Product Master'!$B:$G,4,FALSE))</f>
        <v/>
      </c>
      <c r="O1006" s="53" t="str">
        <f>IF(B1006="","",VLOOKUP(B1006,'Product Master'!$B:$G,5,FALSE))</f>
        <v/>
      </c>
      <c r="P1006" s="50" t="str">
        <f>IF(B1006="","",VLOOKUP(B1006,'Product Master'!$B:$I,7,FALSE))</f>
        <v/>
      </c>
      <c r="Q1006" s="158"/>
      <c r="R1006" s="58" t="str">
        <f t="shared" si="15"/>
        <v/>
      </c>
      <c r="S1006" s="25"/>
      <c r="T1006" s="25"/>
      <c r="U1006" s="25"/>
      <c r="V1006" s="25"/>
      <c r="W1006" s="25"/>
      <c r="X1006" s="25"/>
    </row>
    <row r="1007" spans="1:24" x14ac:dyDescent="0.25">
      <c r="A1007" s="31" t="s">
        <v>48</v>
      </c>
      <c r="B1007" s="32"/>
      <c r="C1007" s="50" t="str">
        <f>IF(B1007="","",VLOOKUP(B1007,'Product Master'!$B:$G,2,FALSE))</f>
        <v/>
      </c>
      <c r="D1007" s="50" t="str">
        <f>IF(B1007="","",VLOOKUP(B1007,'Product Master'!$B:$G,3,FALSE))</f>
        <v/>
      </c>
      <c r="E1007" s="50"/>
      <c r="F1007" s="50">
        <f>SUMIF('Stock Purchase'!$D:$D,B1007,'Stock Purchase'!$F:$F)</f>
        <v>0</v>
      </c>
      <c r="G1007" s="50">
        <f>SUMIFS('Stock Adjustment'!$E:$E,'Stock Adjustment'!$B:$B,$A1007,'Stock Adjustment'!$D:$D,"Customer Returned")</f>
        <v>0</v>
      </c>
      <c r="H1007" s="50">
        <f>SUMIF('Daily Sales Entry'!$D:$D,B1007,'Daily Sales Entry'!$G:$G)</f>
        <v>0</v>
      </c>
      <c r="I1007" s="50">
        <f>SUMIFS('Stock Adjustment'!$E:$E,'Stock Adjustment'!$B:$B,$A1007,'Stock Adjustment'!$D:$D,"Staff Consumption")</f>
        <v>0</v>
      </c>
      <c r="J1007" s="50">
        <f>SUMIFS('Stock Adjustment'!$E:$E,'Stock Adjustment'!$B:$B,$A1007,'Stock Adjustment'!$D:$D,"Damaged")</f>
        <v>0</v>
      </c>
      <c r="K1007" s="50">
        <f>SUMIFS('Stock Adjustment'!$E:$E,'Stock Adjustment'!$B:$B,$A1007,'Stock Adjustment'!$D:$D,"Expired")</f>
        <v>0</v>
      </c>
      <c r="L1007" s="50">
        <f>SUMIFS('Stock Adjustment'!$E:$E,'Stock Adjustment'!$B:$B,$A1007,'Stock Adjustment'!$D:$D,"Supplier Returned")</f>
        <v>0</v>
      </c>
      <c r="M100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7" s="53" t="str">
        <f>IF(B1007="","",VLOOKUP(B1007,'Product Master'!$B:$G,4,FALSE))</f>
        <v/>
      </c>
      <c r="O1007" s="53" t="str">
        <f>IF(B1007="","",VLOOKUP(B1007,'Product Master'!$B:$G,5,FALSE))</f>
        <v/>
      </c>
      <c r="P1007" s="50" t="str">
        <f>IF(B1007="","",VLOOKUP(B1007,'Product Master'!$B:$I,7,FALSE))</f>
        <v/>
      </c>
      <c r="Q1007" s="158"/>
      <c r="R1007" s="58" t="str">
        <f t="shared" si="15"/>
        <v/>
      </c>
      <c r="S1007" s="25"/>
      <c r="T1007" s="25"/>
      <c r="U1007" s="25"/>
      <c r="V1007" s="25"/>
      <c r="W1007" s="25"/>
      <c r="X1007" s="25"/>
    </row>
    <row r="1008" spans="1:24" x14ac:dyDescent="0.25">
      <c r="A1008" s="31" t="s">
        <v>49</v>
      </c>
      <c r="B1008" s="32"/>
      <c r="C1008" s="50" t="str">
        <f>IF(B1008="","",VLOOKUP(B1008,'Product Master'!$B:$G,2,FALSE))</f>
        <v/>
      </c>
      <c r="D1008" s="50" t="str">
        <f>IF(B1008="","",VLOOKUP(B1008,'Product Master'!$B:$G,3,FALSE))</f>
        <v/>
      </c>
      <c r="E1008" s="50"/>
      <c r="F1008" s="50">
        <f>SUMIF('Stock Purchase'!$D:$D,B1008,'Stock Purchase'!$F:$F)</f>
        <v>0</v>
      </c>
      <c r="G1008" s="50">
        <f>SUMIFS('Stock Adjustment'!$E:$E,'Stock Adjustment'!$B:$B,$A1008,'Stock Adjustment'!$D:$D,"Customer Returned")</f>
        <v>0</v>
      </c>
      <c r="H1008" s="50">
        <f>SUMIF('Daily Sales Entry'!$D:$D,B1008,'Daily Sales Entry'!$G:$G)</f>
        <v>0</v>
      </c>
      <c r="I1008" s="50">
        <f>SUMIFS('Stock Adjustment'!$E:$E,'Stock Adjustment'!$B:$B,$A1008,'Stock Adjustment'!$D:$D,"Staff Consumption")</f>
        <v>0</v>
      </c>
      <c r="J1008" s="50">
        <f>SUMIFS('Stock Adjustment'!$E:$E,'Stock Adjustment'!$B:$B,$A1008,'Stock Adjustment'!$D:$D,"Damaged")</f>
        <v>0</v>
      </c>
      <c r="K1008" s="50">
        <f>SUMIFS('Stock Adjustment'!$E:$E,'Stock Adjustment'!$B:$B,$A1008,'Stock Adjustment'!$D:$D,"Expired")</f>
        <v>0</v>
      </c>
      <c r="L1008" s="50">
        <f>SUMIFS('Stock Adjustment'!$E:$E,'Stock Adjustment'!$B:$B,$A1008,'Stock Adjustment'!$D:$D,"Supplier Returned")</f>
        <v>0</v>
      </c>
      <c r="M100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8" s="53" t="str">
        <f>IF(B1008="","",VLOOKUP(B1008,'Product Master'!$B:$G,4,FALSE))</f>
        <v/>
      </c>
      <c r="O1008" s="53" t="str">
        <f>IF(B1008="","",VLOOKUP(B1008,'Product Master'!$B:$G,5,FALSE))</f>
        <v/>
      </c>
      <c r="P1008" s="50" t="str">
        <f>IF(B1008="","",VLOOKUP(B1008,'Product Master'!$B:$I,7,FALSE))</f>
        <v/>
      </c>
      <c r="Q1008" s="158"/>
      <c r="R1008" s="58" t="str">
        <f t="shared" si="15"/>
        <v/>
      </c>
      <c r="S1008" s="25"/>
      <c r="T1008" s="25"/>
      <c r="U1008" s="25"/>
      <c r="V1008" s="25"/>
      <c r="W1008" s="25"/>
      <c r="X1008" s="25"/>
    </row>
    <row r="1009" spans="1:24" x14ac:dyDescent="0.25">
      <c r="A1009" s="31" t="s">
        <v>50</v>
      </c>
      <c r="B1009" s="32"/>
      <c r="C1009" s="50" t="str">
        <f>IF(B1009="","",VLOOKUP(B1009,'Product Master'!$B:$G,2,FALSE))</f>
        <v/>
      </c>
      <c r="D1009" s="50" t="str">
        <f>IF(B1009="","",VLOOKUP(B1009,'Product Master'!$B:$G,3,FALSE))</f>
        <v/>
      </c>
      <c r="E1009" s="50"/>
      <c r="F1009" s="50">
        <f>SUMIF('Stock Purchase'!$D:$D,B1009,'Stock Purchase'!$F:$F)</f>
        <v>0</v>
      </c>
      <c r="G1009" s="50">
        <f>SUMIFS('Stock Adjustment'!$E:$E,'Stock Adjustment'!$B:$B,$A1009,'Stock Adjustment'!$D:$D,"Customer Returned")</f>
        <v>0</v>
      </c>
      <c r="H1009" s="50">
        <f>SUMIF('Daily Sales Entry'!$D:$D,B1009,'Daily Sales Entry'!$G:$G)</f>
        <v>0</v>
      </c>
      <c r="I1009" s="50">
        <f>SUMIFS('Stock Adjustment'!$E:$E,'Stock Adjustment'!$B:$B,$A1009,'Stock Adjustment'!$D:$D,"Staff Consumption")</f>
        <v>0</v>
      </c>
      <c r="J1009" s="50">
        <f>SUMIFS('Stock Adjustment'!$E:$E,'Stock Adjustment'!$B:$B,$A1009,'Stock Adjustment'!$D:$D,"Damaged")</f>
        <v>0</v>
      </c>
      <c r="K1009" s="50">
        <f>SUMIFS('Stock Adjustment'!$E:$E,'Stock Adjustment'!$B:$B,$A1009,'Stock Adjustment'!$D:$D,"Expired")</f>
        <v>0</v>
      </c>
      <c r="L1009" s="50">
        <f>SUMIFS('Stock Adjustment'!$E:$E,'Stock Adjustment'!$B:$B,$A1009,'Stock Adjustment'!$D:$D,"Supplier Returned")</f>
        <v>0</v>
      </c>
      <c r="M100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09" s="53" t="str">
        <f>IF(B1009="","",VLOOKUP(B1009,'Product Master'!$B:$G,4,FALSE))</f>
        <v/>
      </c>
      <c r="O1009" s="53" t="str">
        <f>IF(B1009="","",VLOOKUP(B1009,'Product Master'!$B:$G,5,FALSE))</f>
        <v/>
      </c>
      <c r="P1009" s="50" t="str">
        <f>IF(B1009="","",VLOOKUP(B1009,'Product Master'!$B:$I,7,FALSE))</f>
        <v/>
      </c>
      <c r="Q1009" s="158"/>
      <c r="R1009" s="58" t="str">
        <f t="shared" si="15"/>
        <v/>
      </c>
      <c r="S1009" s="25"/>
      <c r="T1009" s="25"/>
      <c r="U1009" s="25"/>
      <c r="V1009" s="25"/>
      <c r="W1009" s="25"/>
      <c r="X1009" s="25"/>
    </row>
    <row r="1010" spans="1:24" x14ac:dyDescent="0.25">
      <c r="A1010" s="31" t="s">
        <v>51</v>
      </c>
      <c r="B1010" s="32"/>
      <c r="C1010" s="50" t="str">
        <f>IF(B1010="","",VLOOKUP(B1010,'Product Master'!$B:$G,2,FALSE))</f>
        <v/>
      </c>
      <c r="D1010" s="50" t="str">
        <f>IF(B1010="","",VLOOKUP(B1010,'Product Master'!$B:$G,3,FALSE))</f>
        <v/>
      </c>
      <c r="E1010" s="50"/>
      <c r="F1010" s="50">
        <f>SUMIF('Stock Purchase'!$D:$D,B1010,'Stock Purchase'!$F:$F)</f>
        <v>0</v>
      </c>
      <c r="G1010" s="50">
        <f>SUMIFS('Stock Adjustment'!$E:$E,'Stock Adjustment'!$B:$B,$A1010,'Stock Adjustment'!$D:$D,"Customer Returned")</f>
        <v>0</v>
      </c>
      <c r="H1010" s="50">
        <f>SUMIF('Daily Sales Entry'!$D:$D,B1010,'Daily Sales Entry'!$G:$G)</f>
        <v>0</v>
      </c>
      <c r="I1010" s="50">
        <f>SUMIFS('Stock Adjustment'!$E:$E,'Stock Adjustment'!$B:$B,$A1010,'Stock Adjustment'!$D:$D,"Staff Consumption")</f>
        <v>0</v>
      </c>
      <c r="J1010" s="50">
        <f>SUMIFS('Stock Adjustment'!$E:$E,'Stock Adjustment'!$B:$B,$A1010,'Stock Adjustment'!$D:$D,"Damaged")</f>
        <v>0</v>
      </c>
      <c r="K1010" s="50">
        <f>SUMIFS('Stock Adjustment'!$E:$E,'Stock Adjustment'!$B:$B,$A1010,'Stock Adjustment'!$D:$D,"Expired")</f>
        <v>0</v>
      </c>
      <c r="L1010" s="50">
        <f>SUMIFS('Stock Adjustment'!$E:$E,'Stock Adjustment'!$B:$B,$A1010,'Stock Adjustment'!$D:$D,"Supplier Returned")</f>
        <v>0</v>
      </c>
      <c r="M101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0" s="53" t="str">
        <f>IF(B1010="","",VLOOKUP(B1010,'Product Master'!$B:$G,4,FALSE))</f>
        <v/>
      </c>
      <c r="O1010" s="53" t="str">
        <f>IF(B1010="","",VLOOKUP(B1010,'Product Master'!$B:$G,5,FALSE))</f>
        <v/>
      </c>
      <c r="P1010" s="50" t="str">
        <f>IF(B1010="","",VLOOKUP(B1010,'Product Master'!$B:$I,7,FALSE))</f>
        <v/>
      </c>
      <c r="Q1010" s="158"/>
      <c r="R1010" s="58" t="str">
        <f t="shared" si="15"/>
        <v/>
      </c>
      <c r="S1010" s="25"/>
      <c r="T1010" s="25"/>
      <c r="U1010" s="25"/>
      <c r="V1010" s="25"/>
      <c r="W1010" s="25"/>
      <c r="X1010" s="25"/>
    </row>
    <row r="1011" spans="1:24" x14ac:dyDescent="0.25">
      <c r="A1011" s="31" t="s">
        <v>52</v>
      </c>
      <c r="B1011" s="32"/>
      <c r="C1011" s="50" t="str">
        <f>IF(B1011="","",VLOOKUP(B1011,'Product Master'!$B:$G,2,FALSE))</f>
        <v/>
      </c>
      <c r="D1011" s="50" t="str">
        <f>IF(B1011="","",VLOOKUP(B1011,'Product Master'!$B:$G,3,FALSE))</f>
        <v/>
      </c>
      <c r="E1011" s="50"/>
      <c r="F1011" s="50">
        <f>SUMIF('Stock Purchase'!$D:$D,B1011,'Stock Purchase'!$F:$F)</f>
        <v>0</v>
      </c>
      <c r="G1011" s="50">
        <f>SUMIFS('Stock Adjustment'!$E:$E,'Stock Adjustment'!$B:$B,$A1011,'Stock Adjustment'!$D:$D,"Customer Returned")</f>
        <v>0</v>
      </c>
      <c r="H1011" s="50">
        <f>SUMIF('Daily Sales Entry'!$D:$D,B1011,'Daily Sales Entry'!$G:$G)</f>
        <v>0</v>
      </c>
      <c r="I1011" s="50">
        <f>SUMIFS('Stock Adjustment'!$E:$E,'Stock Adjustment'!$B:$B,$A1011,'Stock Adjustment'!$D:$D,"Staff Consumption")</f>
        <v>0</v>
      </c>
      <c r="J1011" s="50">
        <f>SUMIFS('Stock Adjustment'!$E:$E,'Stock Adjustment'!$B:$B,$A1011,'Stock Adjustment'!$D:$D,"Damaged")</f>
        <v>0</v>
      </c>
      <c r="K1011" s="50">
        <f>SUMIFS('Stock Adjustment'!$E:$E,'Stock Adjustment'!$B:$B,$A1011,'Stock Adjustment'!$D:$D,"Expired")</f>
        <v>0</v>
      </c>
      <c r="L1011" s="50">
        <f>SUMIFS('Stock Adjustment'!$E:$E,'Stock Adjustment'!$B:$B,$A1011,'Stock Adjustment'!$D:$D,"Supplier Returned")</f>
        <v>0</v>
      </c>
      <c r="M101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1" s="53" t="str">
        <f>IF(B1011="","",VLOOKUP(B1011,'Product Master'!$B:$G,4,FALSE))</f>
        <v/>
      </c>
      <c r="O1011" s="53" t="str">
        <f>IF(B1011="","",VLOOKUP(B1011,'Product Master'!$B:$G,5,FALSE))</f>
        <v/>
      </c>
      <c r="P1011" s="50" t="str">
        <f>IF(B1011="","",VLOOKUP(B1011,'Product Master'!$B:$I,7,FALSE))</f>
        <v/>
      </c>
      <c r="Q1011" s="158"/>
      <c r="R1011" s="58" t="str">
        <f t="shared" si="15"/>
        <v/>
      </c>
      <c r="S1011" s="25"/>
      <c r="T1011" s="25"/>
      <c r="U1011" s="25"/>
      <c r="V1011" s="25"/>
      <c r="W1011" s="25"/>
      <c r="X1011" s="25"/>
    </row>
    <row r="1012" spans="1:24" x14ac:dyDescent="0.25">
      <c r="A1012" s="31" t="s">
        <v>53</v>
      </c>
      <c r="B1012" s="32"/>
      <c r="C1012" s="50" t="str">
        <f>IF(B1012="","",VLOOKUP(B1012,'Product Master'!$B:$G,2,FALSE))</f>
        <v/>
      </c>
      <c r="D1012" s="50" t="str">
        <f>IF(B1012="","",VLOOKUP(B1012,'Product Master'!$B:$G,3,FALSE))</f>
        <v/>
      </c>
      <c r="E1012" s="50"/>
      <c r="F1012" s="50">
        <f>SUMIF('Stock Purchase'!$D:$D,B1012,'Stock Purchase'!$F:$F)</f>
        <v>0</v>
      </c>
      <c r="G1012" s="50">
        <f>SUMIFS('Stock Adjustment'!$E:$E,'Stock Adjustment'!$B:$B,$A1012,'Stock Adjustment'!$D:$D,"Customer Returned")</f>
        <v>0</v>
      </c>
      <c r="H1012" s="50">
        <f>SUMIF('Daily Sales Entry'!$D:$D,B1012,'Daily Sales Entry'!$G:$G)</f>
        <v>0</v>
      </c>
      <c r="I1012" s="50">
        <f>SUMIFS('Stock Adjustment'!$E:$E,'Stock Adjustment'!$B:$B,$A1012,'Stock Adjustment'!$D:$D,"Staff Consumption")</f>
        <v>0</v>
      </c>
      <c r="J1012" s="50">
        <f>SUMIFS('Stock Adjustment'!$E:$E,'Stock Adjustment'!$B:$B,$A1012,'Stock Adjustment'!$D:$D,"Damaged")</f>
        <v>0</v>
      </c>
      <c r="K1012" s="50">
        <f>SUMIFS('Stock Adjustment'!$E:$E,'Stock Adjustment'!$B:$B,$A1012,'Stock Adjustment'!$D:$D,"Expired")</f>
        <v>0</v>
      </c>
      <c r="L1012" s="50">
        <f>SUMIFS('Stock Adjustment'!$E:$E,'Stock Adjustment'!$B:$B,$A1012,'Stock Adjustment'!$D:$D,"Supplier Returned")</f>
        <v>0</v>
      </c>
      <c r="M101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2" s="53" t="str">
        <f>IF(B1012="","",VLOOKUP(B1012,'Product Master'!$B:$G,4,FALSE))</f>
        <v/>
      </c>
      <c r="O1012" s="53" t="str">
        <f>IF(B1012="","",VLOOKUP(B1012,'Product Master'!$B:$G,5,FALSE))</f>
        <v/>
      </c>
      <c r="P1012" s="50" t="str">
        <f>IF(B1012="","",VLOOKUP(B1012,'Product Master'!$B:$I,7,FALSE))</f>
        <v/>
      </c>
      <c r="Q1012" s="158"/>
      <c r="R1012" s="58" t="str">
        <f t="shared" si="15"/>
        <v/>
      </c>
      <c r="S1012" s="25"/>
      <c r="T1012" s="25"/>
      <c r="U1012" s="25"/>
      <c r="V1012" s="25"/>
      <c r="W1012" s="25"/>
      <c r="X1012" s="25"/>
    </row>
    <row r="1013" spans="1:24" x14ac:dyDescent="0.25">
      <c r="A1013" s="31" t="s">
        <v>54</v>
      </c>
      <c r="B1013" s="32"/>
      <c r="C1013" s="50" t="str">
        <f>IF(B1013="","",VLOOKUP(B1013,'Product Master'!$B:$G,2,FALSE))</f>
        <v/>
      </c>
      <c r="D1013" s="50" t="str">
        <f>IF(B1013="","",VLOOKUP(B1013,'Product Master'!$B:$G,3,FALSE))</f>
        <v/>
      </c>
      <c r="E1013" s="50"/>
      <c r="F1013" s="50">
        <f>SUMIF('Stock Purchase'!$D:$D,B1013,'Stock Purchase'!$F:$F)</f>
        <v>0</v>
      </c>
      <c r="G1013" s="50">
        <f>SUMIFS('Stock Adjustment'!$E:$E,'Stock Adjustment'!$B:$B,$A1013,'Stock Adjustment'!$D:$D,"Customer Returned")</f>
        <v>0</v>
      </c>
      <c r="H1013" s="50">
        <f>SUMIF('Daily Sales Entry'!$D:$D,B1013,'Daily Sales Entry'!$G:$G)</f>
        <v>0</v>
      </c>
      <c r="I1013" s="50">
        <f>SUMIFS('Stock Adjustment'!$E:$E,'Stock Adjustment'!$B:$B,$A1013,'Stock Adjustment'!$D:$D,"Staff Consumption")</f>
        <v>0</v>
      </c>
      <c r="J1013" s="50">
        <f>SUMIFS('Stock Adjustment'!$E:$E,'Stock Adjustment'!$B:$B,$A1013,'Stock Adjustment'!$D:$D,"Damaged")</f>
        <v>0</v>
      </c>
      <c r="K1013" s="50">
        <f>SUMIFS('Stock Adjustment'!$E:$E,'Stock Adjustment'!$B:$B,$A1013,'Stock Adjustment'!$D:$D,"Expired")</f>
        <v>0</v>
      </c>
      <c r="L1013" s="50">
        <f>SUMIFS('Stock Adjustment'!$E:$E,'Stock Adjustment'!$B:$B,$A1013,'Stock Adjustment'!$D:$D,"Supplier Returned")</f>
        <v>0</v>
      </c>
      <c r="M101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3" s="53" t="str">
        <f>IF(B1013="","",VLOOKUP(B1013,'Product Master'!$B:$G,4,FALSE))</f>
        <v/>
      </c>
      <c r="O1013" s="53" t="str">
        <f>IF(B1013="","",VLOOKUP(B1013,'Product Master'!$B:$G,5,FALSE))</f>
        <v/>
      </c>
      <c r="P1013" s="50" t="str">
        <f>IF(B1013="","",VLOOKUP(B1013,'Product Master'!$B:$I,7,FALSE))</f>
        <v/>
      </c>
      <c r="Q1013" s="158"/>
      <c r="R1013" s="58" t="str">
        <f t="shared" si="15"/>
        <v/>
      </c>
      <c r="S1013" s="25"/>
      <c r="T1013" s="25"/>
      <c r="U1013" s="25"/>
      <c r="V1013" s="25"/>
      <c r="W1013" s="25"/>
      <c r="X1013" s="25"/>
    </row>
    <row r="1014" spans="1:24" x14ac:dyDescent="0.25">
      <c r="A1014" s="31" t="s">
        <v>55</v>
      </c>
      <c r="B1014" s="32"/>
      <c r="C1014" s="50" t="str">
        <f>IF(B1014="","",VLOOKUP(B1014,'Product Master'!$B:$G,2,FALSE))</f>
        <v/>
      </c>
      <c r="D1014" s="50" t="str">
        <f>IF(B1014="","",VLOOKUP(B1014,'Product Master'!$B:$G,3,FALSE))</f>
        <v/>
      </c>
      <c r="E1014" s="50"/>
      <c r="F1014" s="50">
        <f>SUMIF('Stock Purchase'!$D:$D,B1014,'Stock Purchase'!$F:$F)</f>
        <v>0</v>
      </c>
      <c r="G1014" s="50">
        <f>SUMIFS('Stock Adjustment'!$E:$E,'Stock Adjustment'!$B:$B,$A1014,'Stock Adjustment'!$D:$D,"Customer Returned")</f>
        <v>0</v>
      </c>
      <c r="H1014" s="50">
        <f>SUMIF('Daily Sales Entry'!$D:$D,B1014,'Daily Sales Entry'!$G:$G)</f>
        <v>0</v>
      </c>
      <c r="I1014" s="50">
        <f>SUMIFS('Stock Adjustment'!$E:$E,'Stock Adjustment'!$B:$B,$A1014,'Stock Adjustment'!$D:$D,"Staff Consumption")</f>
        <v>0</v>
      </c>
      <c r="J1014" s="50">
        <f>SUMIFS('Stock Adjustment'!$E:$E,'Stock Adjustment'!$B:$B,$A1014,'Stock Adjustment'!$D:$D,"Damaged")</f>
        <v>0</v>
      </c>
      <c r="K1014" s="50">
        <f>SUMIFS('Stock Adjustment'!$E:$E,'Stock Adjustment'!$B:$B,$A1014,'Stock Adjustment'!$D:$D,"Expired")</f>
        <v>0</v>
      </c>
      <c r="L1014" s="50">
        <f>SUMIFS('Stock Adjustment'!$E:$E,'Stock Adjustment'!$B:$B,$A1014,'Stock Adjustment'!$D:$D,"Supplier Returned")</f>
        <v>0</v>
      </c>
      <c r="M101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4" s="53" t="str">
        <f>IF(B1014="","",VLOOKUP(B1014,'Product Master'!$B:$G,4,FALSE))</f>
        <v/>
      </c>
      <c r="O1014" s="53" t="str">
        <f>IF(B1014="","",VLOOKUP(B1014,'Product Master'!$B:$G,5,FALSE))</f>
        <v/>
      </c>
      <c r="P1014" s="50" t="str">
        <f>IF(B1014="","",VLOOKUP(B1014,'Product Master'!$B:$I,7,FALSE))</f>
        <v/>
      </c>
      <c r="Q1014" s="158"/>
      <c r="R1014" s="58" t="str">
        <f t="shared" si="15"/>
        <v/>
      </c>
      <c r="S1014" s="25"/>
      <c r="T1014" s="25"/>
      <c r="U1014" s="25"/>
      <c r="V1014" s="25"/>
      <c r="W1014" s="25"/>
      <c r="X1014" s="25"/>
    </row>
    <row r="1015" spans="1:24" x14ac:dyDescent="0.25">
      <c r="A1015" s="31" t="s">
        <v>56</v>
      </c>
      <c r="B1015" s="32"/>
      <c r="C1015" s="50" t="str">
        <f>IF(B1015="","",VLOOKUP(B1015,'Product Master'!$B:$G,2,FALSE))</f>
        <v/>
      </c>
      <c r="D1015" s="50" t="str">
        <f>IF(B1015="","",VLOOKUP(B1015,'Product Master'!$B:$G,3,FALSE))</f>
        <v/>
      </c>
      <c r="E1015" s="50"/>
      <c r="F1015" s="50">
        <f>SUMIF('Stock Purchase'!$D:$D,B1015,'Stock Purchase'!$F:$F)</f>
        <v>0</v>
      </c>
      <c r="G1015" s="50">
        <f>SUMIFS('Stock Adjustment'!$E:$E,'Stock Adjustment'!$B:$B,$A1015,'Stock Adjustment'!$D:$D,"Customer Returned")</f>
        <v>0</v>
      </c>
      <c r="H1015" s="50">
        <f>SUMIF('Daily Sales Entry'!$D:$D,B1015,'Daily Sales Entry'!$G:$G)</f>
        <v>0</v>
      </c>
      <c r="I1015" s="50">
        <f>SUMIFS('Stock Adjustment'!$E:$E,'Stock Adjustment'!$B:$B,$A1015,'Stock Adjustment'!$D:$D,"Staff Consumption")</f>
        <v>0</v>
      </c>
      <c r="J1015" s="50">
        <f>SUMIFS('Stock Adjustment'!$E:$E,'Stock Adjustment'!$B:$B,$A1015,'Stock Adjustment'!$D:$D,"Damaged")</f>
        <v>0</v>
      </c>
      <c r="K1015" s="50">
        <f>SUMIFS('Stock Adjustment'!$E:$E,'Stock Adjustment'!$B:$B,$A1015,'Stock Adjustment'!$D:$D,"Expired")</f>
        <v>0</v>
      </c>
      <c r="L1015" s="50">
        <f>SUMIFS('Stock Adjustment'!$E:$E,'Stock Adjustment'!$B:$B,$A1015,'Stock Adjustment'!$D:$D,"Supplier Returned")</f>
        <v>0</v>
      </c>
      <c r="M101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5" s="53" t="str">
        <f>IF(B1015="","",VLOOKUP(B1015,'Product Master'!$B:$G,4,FALSE))</f>
        <v/>
      </c>
      <c r="O1015" s="53" t="str">
        <f>IF(B1015="","",VLOOKUP(B1015,'Product Master'!$B:$G,5,FALSE))</f>
        <v/>
      </c>
      <c r="P1015" s="50" t="str">
        <f>IF(B1015="","",VLOOKUP(B1015,'Product Master'!$B:$I,7,FALSE))</f>
        <v/>
      </c>
      <c r="Q1015" s="158"/>
      <c r="R1015" s="58" t="str">
        <f t="shared" si="15"/>
        <v/>
      </c>
      <c r="S1015" s="25"/>
      <c r="T1015" s="25"/>
      <c r="U1015" s="25"/>
      <c r="V1015" s="25"/>
      <c r="W1015" s="25"/>
      <c r="X1015" s="25"/>
    </row>
    <row r="1016" spans="1:24" x14ac:dyDescent="0.25">
      <c r="A1016" s="31" t="s">
        <v>57</v>
      </c>
      <c r="B1016" s="32"/>
      <c r="C1016" s="50" t="str">
        <f>IF(B1016="","",VLOOKUP(B1016,'Product Master'!$B:$G,2,FALSE))</f>
        <v/>
      </c>
      <c r="D1016" s="50" t="str">
        <f>IF(B1016="","",VLOOKUP(B1016,'Product Master'!$B:$G,3,FALSE))</f>
        <v/>
      </c>
      <c r="E1016" s="50"/>
      <c r="F1016" s="50">
        <f>SUMIF('Stock Purchase'!$D:$D,B1016,'Stock Purchase'!$F:$F)</f>
        <v>0</v>
      </c>
      <c r="G1016" s="50">
        <f>SUMIFS('Stock Adjustment'!$E:$E,'Stock Adjustment'!$B:$B,$A1016,'Stock Adjustment'!$D:$D,"Customer Returned")</f>
        <v>0</v>
      </c>
      <c r="H1016" s="50">
        <f>SUMIF('Daily Sales Entry'!$D:$D,B1016,'Daily Sales Entry'!$G:$G)</f>
        <v>0</v>
      </c>
      <c r="I1016" s="50">
        <f>SUMIFS('Stock Adjustment'!$E:$E,'Stock Adjustment'!$B:$B,$A1016,'Stock Adjustment'!$D:$D,"Staff Consumption")</f>
        <v>0</v>
      </c>
      <c r="J1016" s="50">
        <f>SUMIFS('Stock Adjustment'!$E:$E,'Stock Adjustment'!$B:$B,$A1016,'Stock Adjustment'!$D:$D,"Damaged")</f>
        <v>0</v>
      </c>
      <c r="K1016" s="50">
        <f>SUMIFS('Stock Adjustment'!$E:$E,'Stock Adjustment'!$B:$B,$A1016,'Stock Adjustment'!$D:$D,"Expired")</f>
        <v>0</v>
      </c>
      <c r="L1016" s="50">
        <f>SUMIFS('Stock Adjustment'!$E:$E,'Stock Adjustment'!$B:$B,$A1016,'Stock Adjustment'!$D:$D,"Supplier Returned")</f>
        <v>0</v>
      </c>
      <c r="M101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6" s="53" t="str">
        <f>IF(B1016="","",VLOOKUP(B1016,'Product Master'!$B:$G,4,FALSE))</f>
        <v/>
      </c>
      <c r="O1016" s="53" t="str">
        <f>IF(B1016="","",VLOOKUP(B1016,'Product Master'!$B:$G,5,FALSE))</f>
        <v/>
      </c>
      <c r="P1016" s="50" t="str">
        <f>IF(B1016="","",VLOOKUP(B1016,'Product Master'!$B:$I,7,FALSE))</f>
        <v/>
      </c>
      <c r="Q1016" s="158"/>
      <c r="R1016" s="58" t="str">
        <f t="shared" si="15"/>
        <v/>
      </c>
      <c r="S1016" s="25"/>
      <c r="T1016" s="25"/>
      <c r="U1016" s="25"/>
      <c r="V1016" s="25"/>
      <c r="W1016" s="25"/>
      <c r="X1016" s="25"/>
    </row>
    <row r="1017" spans="1:24" x14ac:dyDescent="0.25">
      <c r="A1017" s="31" t="s">
        <v>58</v>
      </c>
      <c r="B1017" s="32"/>
      <c r="C1017" s="50" t="str">
        <f>IF(B1017="","",VLOOKUP(B1017,'Product Master'!$B:$G,2,FALSE))</f>
        <v/>
      </c>
      <c r="D1017" s="50" t="str">
        <f>IF(B1017="","",VLOOKUP(B1017,'Product Master'!$B:$G,3,FALSE))</f>
        <v/>
      </c>
      <c r="E1017" s="50"/>
      <c r="F1017" s="50">
        <f>SUMIF('Stock Purchase'!$D:$D,B1017,'Stock Purchase'!$F:$F)</f>
        <v>0</v>
      </c>
      <c r="G1017" s="50">
        <f>SUMIFS('Stock Adjustment'!$E:$E,'Stock Adjustment'!$B:$B,$A1017,'Stock Adjustment'!$D:$D,"Customer Returned")</f>
        <v>0</v>
      </c>
      <c r="H1017" s="50">
        <f>SUMIF('Daily Sales Entry'!$D:$D,B1017,'Daily Sales Entry'!$G:$G)</f>
        <v>0</v>
      </c>
      <c r="I1017" s="50">
        <f>SUMIFS('Stock Adjustment'!$E:$E,'Stock Adjustment'!$B:$B,$A1017,'Stock Adjustment'!$D:$D,"Staff Consumption")</f>
        <v>0</v>
      </c>
      <c r="J1017" s="50">
        <f>SUMIFS('Stock Adjustment'!$E:$E,'Stock Adjustment'!$B:$B,$A1017,'Stock Adjustment'!$D:$D,"Damaged")</f>
        <v>0</v>
      </c>
      <c r="K1017" s="50">
        <f>SUMIFS('Stock Adjustment'!$E:$E,'Stock Adjustment'!$B:$B,$A1017,'Stock Adjustment'!$D:$D,"Expired")</f>
        <v>0</v>
      </c>
      <c r="L1017" s="50">
        <f>SUMIFS('Stock Adjustment'!$E:$E,'Stock Adjustment'!$B:$B,$A1017,'Stock Adjustment'!$D:$D,"Supplier Returned")</f>
        <v>0</v>
      </c>
      <c r="M101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7" s="53" t="str">
        <f>IF(B1017="","",VLOOKUP(B1017,'Product Master'!$B:$G,4,FALSE))</f>
        <v/>
      </c>
      <c r="O1017" s="53" t="str">
        <f>IF(B1017="","",VLOOKUP(B1017,'Product Master'!$B:$G,5,FALSE))</f>
        <v/>
      </c>
      <c r="P1017" s="50" t="str">
        <f>IF(B1017="","",VLOOKUP(B1017,'Product Master'!$B:$I,7,FALSE))</f>
        <v/>
      </c>
      <c r="Q1017" s="158"/>
      <c r="R1017" s="58" t="str">
        <f t="shared" si="15"/>
        <v/>
      </c>
      <c r="S1017" s="25"/>
      <c r="T1017" s="25"/>
      <c r="U1017" s="25"/>
      <c r="V1017" s="25"/>
      <c r="W1017" s="25"/>
      <c r="X1017" s="25"/>
    </row>
    <row r="1018" spans="1:24" x14ac:dyDescent="0.25">
      <c r="A1018" s="31" t="s">
        <v>59</v>
      </c>
      <c r="B1018" s="32"/>
      <c r="C1018" s="50" t="str">
        <f>IF(B1018="","",VLOOKUP(B1018,'Product Master'!$B:$G,2,FALSE))</f>
        <v/>
      </c>
      <c r="D1018" s="50" t="str">
        <f>IF(B1018="","",VLOOKUP(B1018,'Product Master'!$B:$G,3,FALSE))</f>
        <v/>
      </c>
      <c r="E1018" s="50"/>
      <c r="F1018" s="50">
        <f>SUMIF('Stock Purchase'!$D:$D,B1018,'Stock Purchase'!$F:$F)</f>
        <v>0</v>
      </c>
      <c r="G1018" s="50">
        <f>SUMIFS('Stock Adjustment'!$E:$E,'Stock Adjustment'!$B:$B,$A1018,'Stock Adjustment'!$D:$D,"Customer Returned")</f>
        <v>0</v>
      </c>
      <c r="H1018" s="50">
        <f>SUMIF('Daily Sales Entry'!$D:$D,B1018,'Daily Sales Entry'!$G:$G)</f>
        <v>0</v>
      </c>
      <c r="I1018" s="50">
        <f>SUMIFS('Stock Adjustment'!$E:$E,'Stock Adjustment'!$B:$B,$A1018,'Stock Adjustment'!$D:$D,"Staff Consumption")</f>
        <v>0</v>
      </c>
      <c r="J1018" s="50">
        <f>SUMIFS('Stock Adjustment'!$E:$E,'Stock Adjustment'!$B:$B,$A1018,'Stock Adjustment'!$D:$D,"Damaged")</f>
        <v>0</v>
      </c>
      <c r="K1018" s="50">
        <f>SUMIFS('Stock Adjustment'!$E:$E,'Stock Adjustment'!$B:$B,$A1018,'Stock Adjustment'!$D:$D,"Expired")</f>
        <v>0</v>
      </c>
      <c r="L1018" s="50">
        <f>SUMIFS('Stock Adjustment'!$E:$E,'Stock Adjustment'!$B:$B,$A1018,'Stock Adjustment'!$D:$D,"Supplier Returned")</f>
        <v>0</v>
      </c>
      <c r="M101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8" s="53" t="str">
        <f>IF(B1018="","",VLOOKUP(B1018,'Product Master'!$B:$G,4,FALSE))</f>
        <v/>
      </c>
      <c r="O1018" s="53" t="str">
        <f>IF(B1018="","",VLOOKUP(B1018,'Product Master'!$B:$G,5,FALSE))</f>
        <v/>
      </c>
      <c r="P1018" s="50" t="str">
        <f>IF(B1018="","",VLOOKUP(B1018,'Product Master'!$B:$I,7,FALSE))</f>
        <v/>
      </c>
      <c r="Q1018" s="158"/>
      <c r="R1018" s="58" t="str">
        <f t="shared" si="15"/>
        <v/>
      </c>
      <c r="S1018" s="25"/>
      <c r="T1018" s="25"/>
      <c r="U1018" s="25"/>
      <c r="V1018" s="25"/>
      <c r="W1018" s="25"/>
      <c r="X1018" s="25"/>
    </row>
    <row r="1019" spans="1:24" x14ac:dyDescent="0.25">
      <c r="A1019" s="31" t="s">
        <v>60</v>
      </c>
      <c r="B1019" s="32"/>
      <c r="C1019" s="50" t="str">
        <f>IF(B1019="","",VLOOKUP(B1019,'Product Master'!$B:$G,2,FALSE))</f>
        <v/>
      </c>
      <c r="D1019" s="50" t="str">
        <f>IF(B1019="","",VLOOKUP(B1019,'Product Master'!$B:$G,3,FALSE))</f>
        <v/>
      </c>
      <c r="E1019" s="50"/>
      <c r="F1019" s="50">
        <f>SUMIF('Stock Purchase'!$D:$D,B1019,'Stock Purchase'!$F:$F)</f>
        <v>0</v>
      </c>
      <c r="G1019" s="50">
        <f>SUMIFS('Stock Adjustment'!$E:$E,'Stock Adjustment'!$B:$B,$A1019,'Stock Adjustment'!$D:$D,"Customer Returned")</f>
        <v>0</v>
      </c>
      <c r="H1019" s="50">
        <f>SUMIF('Daily Sales Entry'!$D:$D,B1019,'Daily Sales Entry'!$G:$G)</f>
        <v>0</v>
      </c>
      <c r="I1019" s="50">
        <f>SUMIFS('Stock Adjustment'!$E:$E,'Stock Adjustment'!$B:$B,$A1019,'Stock Adjustment'!$D:$D,"Staff Consumption")</f>
        <v>0</v>
      </c>
      <c r="J1019" s="50">
        <f>SUMIFS('Stock Adjustment'!$E:$E,'Stock Adjustment'!$B:$B,$A1019,'Stock Adjustment'!$D:$D,"Damaged")</f>
        <v>0</v>
      </c>
      <c r="K1019" s="50">
        <f>SUMIFS('Stock Adjustment'!$E:$E,'Stock Adjustment'!$B:$B,$A1019,'Stock Adjustment'!$D:$D,"Expired")</f>
        <v>0</v>
      </c>
      <c r="L1019" s="50">
        <f>SUMIFS('Stock Adjustment'!$E:$E,'Stock Adjustment'!$B:$B,$A1019,'Stock Adjustment'!$D:$D,"Supplier Returned")</f>
        <v>0</v>
      </c>
      <c r="M101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19" s="53" t="str">
        <f>IF(B1019="","",VLOOKUP(B1019,'Product Master'!$B:$G,4,FALSE))</f>
        <v/>
      </c>
      <c r="O1019" s="53" t="str">
        <f>IF(B1019="","",VLOOKUP(B1019,'Product Master'!$B:$G,5,FALSE))</f>
        <v/>
      </c>
      <c r="P1019" s="50" t="str">
        <f>IF(B1019="","",VLOOKUP(B1019,'Product Master'!$B:$I,7,FALSE))</f>
        <v/>
      </c>
      <c r="Q1019" s="158"/>
      <c r="R1019" s="58" t="str">
        <f t="shared" si="15"/>
        <v/>
      </c>
      <c r="S1019" s="25"/>
      <c r="T1019" s="25"/>
      <c r="U1019" s="25"/>
      <c r="V1019" s="25"/>
      <c r="W1019" s="25"/>
      <c r="X1019" s="25"/>
    </row>
    <row r="1020" spans="1:24" x14ac:dyDescent="0.25">
      <c r="A1020" s="31" t="s">
        <v>61</v>
      </c>
      <c r="B1020" s="32"/>
      <c r="C1020" s="50" t="str">
        <f>IF(B1020="","",VLOOKUP(B1020,'Product Master'!$B:$G,2,FALSE))</f>
        <v/>
      </c>
      <c r="D1020" s="50" t="str">
        <f>IF(B1020="","",VLOOKUP(B1020,'Product Master'!$B:$G,3,FALSE))</f>
        <v/>
      </c>
      <c r="E1020" s="50"/>
      <c r="F1020" s="50">
        <f>SUMIF('Stock Purchase'!$D:$D,B1020,'Stock Purchase'!$F:$F)</f>
        <v>0</v>
      </c>
      <c r="G1020" s="50">
        <f>SUMIFS('Stock Adjustment'!$E:$E,'Stock Adjustment'!$B:$B,$A1020,'Stock Adjustment'!$D:$D,"Customer Returned")</f>
        <v>0</v>
      </c>
      <c r="H1020" s="50">
        <f>SUMIF('Daily Sales Entry'!$D:$D,B1020,'Daily Sales Entry'!$G:$G)</f>
        <v>0</v>
      </c>
      <c r="I1020" s="50">
        <f>SUMIFS('Stock Adjustment'!$E:$E,'Stock Adjustment'!$B:$B,$A1020,'Stock Adjustment'!$D:$D,"Staff Consumption")</f>
        <v>0</v>
      </c>
      <c r="J1020" s="50">
        <f>SUMIFS('Stock Adjustment'!$E:$E,'Stock Adjustment'!$B:$B,$A1020,'Stock Adjustment'!$D:$D,"Damaged")</f>
        <v>0</v>
      </c>
      <c r="K1020" s="50">
        <f>SUMIFS('Stock Adjustment'!$E:$E,'Stock Adjustment'!$B:$B,$A1020,'Stock Adjustment'!$D:$D,"Expired")</f>
        <v>0</v>
      </c>
      <c r="L1020" s="50">
        <f>SUMIFS('Stock Adjustment'!$E:$E,'Stock Adjustment'!$B:$B,$A1020,'Stock Adjustment'!$D:$D,"Supplier Returned")</f>
        <v>0</v>
      </c>
      <c r="M102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0" s="53" t="str">
        <f>IF(B1020="","",VLOOKUP(B1020,'Product Master'!$B:$G,4,FALSE))</f>
        <v/>
      </c>
      <c r="O1020" s="53" t="str">
        <f>IF(B1020="","",VLOOKUP(B1020,'Product Master'!$B:$G,5,FALSE))</f>
        <v/>
      </c>
      <c r="P1020" s="50" t="str">
        <f>IF(B1020="","",VLOOKUP(B1020,'Product Master'!$B:$I,7,FALSE))</f>
        <v/>
      </c>
      <c r="Q1020" s="158"/>
      <c r="R1020" s="58" t="str">
        <f t="shared" si="15"/>
        <v/>
      </c>
      <c r="S1020" s="25"/>
      <c r="T1020" s="25"/>
      <c r="U1020" s="25"/>
      <c r="V1020" s="25"/>
      <c r="W1020" s="25"/>
      <c r="X1020" s="25"/>
    </row>
    <row r="1021" spans="1:24" x14ac:dyDescent="0.25">
      <c r="A1021" s="31" t="s">
        <v>62</v>
      </c>
      <c r="B1021" s="32"/>
      <c r="C1021" s="50" t="str">
        <f>IF(B1021="","",VLOOKUP(B1021,'Product Master'!$B:$G,2,FALSE))</f>
        <v/>
      </c>
      <c r="D1021" s="50" t="str">
        <f>IF(B1021="","",VLOOKUP(B1021,'Product Master'!$B:$G,3,FALSE))</f>
        <v/>
      </c>
      <c r="E1021" s="50"/>
      <c r="F1021" s="50">
        <f>SUMIF('Stock Purchase'!$D:$D,B1021,'Stock Purchase'!$F:$F)</f>
        <v>0</v>
      </c>
      <c r="G1021" s="50">
        <f>SUMIFS('Stock Adjustment'!$E:$E,'Stock Adjustment'!$B:$B,$A1021,'Stock Adjustment'!$D:$D,"Customer Returned")</f>
        <v>0</v>
      </c>
      <c r="H1021" s="50">
        <f>SUMIF('Daily Sales Entry'!$D:$D,B1021,'Daily Sales Entry'!$G:$G)</f>
        <v>0</v>
      </c>
      <c r="I1021" s="50">
        <f>SUMIFS('Stock Adjustment'!$E:$E,'Stock Adjustment'!$B:$B,$A1021,'Stock Adjustment'!$D:$D,"Staff Consumption")</f>
        <v>0</v>
      </c>
      <c r="J1021" s="50">
        <f>SUMIFS('Stock Adjustment'!$E:$E,'Stock Adjustment'!$B:$B,$A1021,'Stock Adjustment'!$D:$D,"Damaged")</f>
        <v>0</v>
      </c>
      <c r="K1021" s="50">
        <f>SUMIFS('Stock Adjustment'!$E:$E,'Stock Adjustment'!$B:$B,$A1021,'Stock Adjustment'!$D:$D,"Expired")</f>
        <v>0</v>
      </c>
      <c r="L1021" s="50">
        <f>SUMIFS('Stock Adjustment'!$E:$E,'Stock Adjustment'!$B:$B,$A1021,'Stock Adjustment'!$D:$D,"Supplier Returned")</f>
        <v>0</v>
      </c>
      <c r="M102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1" s="53" t="str">
        <f>IF(B1021="","",VLOOKUP(B1021,'Product Master'!$B:$G,4,FALSE))</f>
        <v/>
      </c>
      <c r="O1021" s="53" t="str">
        <f>IF(B1021="","",VLOOKUP(B1021,'Product Master'!$B:$G,5,FALSE))</f>
        <v/>
      </c>
      <c r="P1021" s="50" t="str">
        <f>IF(B1021="","",VLOOKUP(B1021,'Product Master'!$B:$I,7,FALSE))</f>
        <v/>
      </c>
      <c r="Q1021" s="158"/>
      <c r="R1021" s="58" t="str">
        <f t="shared" si="15"/>
        <v/>
      </c>
      <c r="S1021" s="25"/>
      <c r="T1021" s="25"/>
      <c r="U1021" s="25"/>
      <c r="V1021" s="25"/>
      <c r="W1021" s="25"/>
      <c r="X1021" s="25"/>
    </row>
    <row r="1022" spans="1:24" x14ac:dyDescent="0.25">
      <c r="A1022" s="31" t="s">
        <v>63</v>
      </c>
      <c r="B1022" s="32"/>
      <c r="C1022" s="50" t="str">
        <f>IF(B1022="","",VLOOKUP(B1022,'Product Master'!$B:$G,2,FALSE))</f>
        <v/>
      </c>
      <c r="D1022" s="50" t="str">
        <f>IF(B1022="","",VLOOKUP(B1022,'Product Master'!$B:$G,3,FALSE))</f>
        <v/>
      </c>
      <c r="E1022" s="50"/>
      <c r="F1022" s="50">
        <f>SUMIF('Stock Purchase'!$D:$D,B1022,'Stock Purchase'!$F:$F)</f>
        <v>0</v>
      </c>
      <c r="G1022" s="50">
        <f>SUMIFS('Stock Adjustment'!$E:$E,'Stock Adjustment'!$B:$B,$A1022,'Stock Adjustment'!$D:$D,"Customer Returned")</f>
        <v>0</v>
      </c>
      <c r="H1022" s="50">
        <f>SUMIF('Daily Sales Entry'!$D:$D,B1022,'Daily Sales Entry'!$G:$G)</f>
        <v>0</v>
      </c>
      <c r="I1022" s="50">
        <f>SUMIFS('Stock Adjustment'!$E:$E,'Stock Adjustment'!$B:$B,$A1022,'Stock Adjustment'!$D:$D,"Staff Consumption")</f>
        <v>0</v>
      </c>
      <c r="J1022" s="50">
        <f>SUMIFS('Stock Adjustment'!$E:$E,'Stock Adjustment'!$B:$B,$A1022,'Stock Adjustment'!$D:$D,"Damaged")</f>
        <v>0</v>
      </c>
      <c r="K1022" s="50">
        <f>SUMIFS('Stock Adjustment'!$E:$E,'Stock Adjustment'!$B:$B,$A1022,'Stock Adjustment'!$D:$D,"Expired")</f>
        <v>0</v>
      </c>
      <c r="L1022" s="50">
        <f>SUMIFS('Stock Adjustment'!$E:$E,'Stock Adjustment'!$B:$B,$A1022,'Stock Adjustment'!$D:$D,"Supplier Returned")</f>
        <v>0</v>
      </c>
      <c r="M102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2" s="53" t="str">
        <f>IF(B1022="","",VLOOKUP(B1022,'Product Master'!$B:$G,4,FALSE))</f>
        <v/>
      </c>
      <c r="O1022" s="53" t="str">
        <f>IF(B1022="","",VLOOKUP(B1022,'Product Master'!$B:$G,5,FALSE))</f>
        <v/>
      </c>
      <c r="P1022" s="50" t="str">
        <f>IF(B1022="","",VLOOKUP(B1022,'Product Master'!$B:$I,7,FALSE))</f>
        <v/>
      </c>
      <c r="Q1022" s="158"/>
      <c r="R1022" s="58" t="str">
        <f t="shared" si="15"/>
        <v/>
      </c>
      <c r="S1022" s="25"/>
      <c r="T1022" s="25"/>
      <c r="U1022" s="25"/>
      <c r="V1022" s="25"/>
      <c r="W1022" s="25"/>
      <c r="X1022" s="25"/>
    </row>
    <row r="1023" spans="1:24" x14ac:dyDescent="0.25">
      <c r="A1023" s="31" t="s">
        <v>64</v>
      </c>
      <c r="B1023" s="32"/>
      <c r="C1023" s="50" t="str">
        <f>IF(B1023="","",VLOOKUP(B1023,'Product Master'!$B:$G,2,FALSE))</f>
        <v/>
      </c>
      <c r="D1023" s="50" t="str">
        <f>IF(B1023="","",VLOOKUP(B1023,'Product Master'!$B:$G,3,FALSE))</f>
        <v/>
      </c>
      <c r="E1023" s="50"/>
      <c r="F1023" s="50">
        <f>SUMIF('Stock Purchase'!$D:$D,B1023,'Stock Purchase'!$F:$F)</f>
        <v>0</v>
      </c>
      <c r="G1023" s="50">
        <f>SUMIFS('Stock Adjustment'!$E:$E,'Stock Adjustment'!$B:$B,$A1023,'Stock Adjustment'!$D:$D,"Customer Returned")</f>
        <v>0</v>
      </c>
      <c r="H1023" s="50">
        <f>SUMIF('Daily Sales Entry'!$D:$D,B1023,'Daily Sales Entry'!$G:$G)</f>
        <v>0</v>
      </c>
      <c r="I1023" s="50">
        <f>SUMIFS('Stock Adjustment'!$E:$E,'Stock Adjustment'!$B:$B,$A1023,'Stock Adjustment'!$D:$D,"Staff Consumption")</f>
        <v>0</v>
      </c>
      <c r="J1023" s="50">
        <f>SUMIFS('Stock Adjustment'!$E:$E,'Stock Adjustment'!$B:$B,$A1023,'Stock Adjustment'!$D:$D,"Damaged")</f>
        <v>0</v>
      </c>
      <c r="K1023" s="50">
        <f>SUMIFS('Stock Adjustment'!$E:$E,'Stock Adjustment'!$B:$B,$A1023,'Stock Adjustment'!$D:$D,"Expired")</f>
        <v>0</v>
      </c>
      <c r="L1023" s="50">
        <f>SUMIFS('Stock Adjustment'!$E:$E,'Stock Adjustment'!$B:$B,$A1023,'Stock Adjustment'!$D:$D,"Supplier Returned")</f>
        <v>0</v>
      </c>
      <c r="M102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3" s="53" t="str">
        <f>IF(B1023="","",VLOOKUP(B1023,'Product Master'!$B:$G,4,FALSE))</f>
        <v/>
      </c>
      <c r="O1023" s="53" t="str">
        <f>IF(B1023="","",VLOOKUP(B1023,'Product Master'!$B:$G,5,FALSE))</f>
        <v/>
      </c>
      <c r="P1023" s="50" t="str">
        <f>IF(B1023="","",VLOOKUP(B1023,'Product Master'!$B:$I,7,FALSE))</f>
        <v/>
      </c>
      <c r="Q1023" s="158"/>
      <c r="R1023" s="58" t="str">
        <f t="shared" si="15"/>
        <v/>
      </c>
      <c r="S1023" s="25"/>
      <c r="T1023" s="25"/>
      <c r="U1023" s="25"/>
      <c r="V1023" s="25"/>
      <c r="W1023" s="25"/>
      <c r="X1023" s="25"/>
    </row>
    <row r="1024" spans="1:24" x14ac:dyDescent="0.25">
      <c r="A1024" s="31" t="s">
        <v>65</v>
      </c>
      <c r="B1024" s="32"/>
      <c r="C1024" s="50" t="str">
        <f>IF(B1024="","",VLOOKUP(B1024,'Product Master'!$B:$G,2,FALSE))</f>
        <v/>
      </c>
      <c r="D1024" s="50" t="str">
        <f>IF(B1024="","",VLOOKUP(B1024,'Product Master'!$B:$G,3,FALSE))</f>
        <v/>
      </c>
      <c r="E1024" s="50"/>
      <c r="F1024" s="50">
        <f>SUMIF('Stock Purchase'!$D:$D,B1024,'Stock Purchase'!$F:$F)</f>
        <v>0</v>
      </c>
      <c r="G1024" s="50">
        <f>SUMIFS('Stock Adjustment'!$E:$E,'Stock Adjustment'!$B:$B,$A1024,'Stock Adjustment'!$D:$D,"Customer Returned")</f>
        <v>0</v>
      </c>
      <c r="H1024" s="50">
        <f>SUMIF('Daily Sales Entry'!$D:$D,B1024,'Daily Sales Entry'!$G:$G)</f>
        <v>0</v>
      </c>
      <c r="I1024" s="50">
        <f>SUMIFS('Stock Adjustment'!$E:$E,'Stock Adjustment'!$B:$B,$A1024,'Stock Adjustment'!$D:$D,"Staff Consumption")</f>
        <v>0</v>
      </c>
      <c r="J1024" s="50">
        <f>SUMIFS('Stock Adjustment'!$E:$E,'Stock Adjustment'!$B:$B,$A1024,'Stock Adjustment'!$D:$D,"Damaged")</f>
        <v>0</v>
      </c>
      <c r="K1024" s="50">
        <f>SUMIFS('Stock Adjustment'!$E:$E,'Stock Adjustment'!$B:$B,$A1024,'Stock Adjustment'!$D:$D,"Expired")</f>
        <v>0</v>
      </c>
      <c r="L1024" s="50">
        <f>SUMIFS('Stock Adjustment'!$E:$E,'Stock Adjustment'!$B:$B,$A1024,'Stock Adjustment'!$D:$D,"Supplier Returned")</f>
        <v>0</v>
      </c>
      <c r="M102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4" s="53" t="str">
        <f>IF(B1024="","",VLOOKUP(B1024,'Product Master'!$B:$G,4,FALSE))</f>
        <v/>
      </c>
      <c r="O1024" s="53" t="str">
        <f>IF(B1024="","",VLOOKUP(B1024,'Product Master'!$B:$G,5,FALSE))</f>
        <v/>
      </c>
      <c r="P1024" s="50" t="str">
        <f>IF(B1024="","",VLOOKUP(B1024,'Product Master'!$B:$I,7,FALSE))</f>
        <v/>
      </c>
      <c r="Q1024" s="158"/>
      <c r="R1024" s="58" t="str">
        <f t="shared" si="15"/>
        <v/>
      </c>
      <c r="S1024" s="25"/>
      <c r="T1024" s="25"/>
      <c r="U1024" s="25"/>
      <c r="V1024" s="25"/>
      <c r="W1024" s="25"/>
      <c r="X1024" s="25"/>
    </row>
    <row r="1025" spans="1:24" x14ac:dyDescent="0.25">
      <c r="A1025" s="31" t="s">
        <v>66</v>
      </c>
      <c r="B1025" s="32"/>
      <c r="C1025" s="50" t="str">
        <f>IF(B1025="","",VLOOKUP(B1025,'Product Master'!$B:$G,2,FALSE))</f>
        <v/>
      </c>
      <c r="D1025" s="50" t="str">
        <f>IF(B1025="","",VLOOKUP(B1025,'Product Master'!$B:$G,3,FALSE))</f>
        <v/>
      </c>
      <c r="E1025" s="50"/>
      <c r="F1025" s="50">
        <f>SUMIF('Stock Purchase'!$D:$D,B1025,'Stock Purchase'!$F:$F)</f>
        <v>0</v>
      </c>
      <c r="G1025" s="50">
        <f>SUMIFS('Stock Adjustment'!$E:$E,'Stock Adjustment'!$B:$B,$A1025,'Stock Adjustment'!$D:$D,"Customer Returned")</f>
        <v>0</v>
      </c>
      <c r="H1025" s="50">
        <f>SUMIF('Daily Sales Entry'!$D:$D,B1025,'Daily Sales Entry'!$G:$G)</f>
        <v>0</v>
      </c>
      <c r="I1025" s="50">
        <f>SUMIFS('Stock Adjustment'!$E:$E,'Stock Adjustment'!$B:$B,$A1025,'Stock Adjustment'!$D:$D,"Staff Consumption")</f>
        <v>0</v>
      </c>
      <c r="J1025" s="50">
        <f>SUMIFS('Stock Adjustment'!$E:$E,'Stock Adjustment'!$B:$B,$A1025,'Stock Adjustment'!$D:$D,"Damaged")</f>
        <v>0</v>
      </c>
      <c r="K1025" s="50">
        <f>SUMIFS('Stock Adjustment'!$E:$E,'Stock Adjustment'!$B:$B,$A1025,'Stock Adjustment'!$D:$D,"Expired")</f>
        <v>0</v>
      </c>
      <c r="L1025" s="50">
        <f>SUMIFS('Stock Adjustment'!$E:$E,'Stock Adjustment'!$B:$B,$A1025,'Stock Adjustment'!$D:$D,"Supplier Returned")</f>
        <v>0</v>
      </c>
      <c r="M102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5" s="53" t="str">
        <f>IF(B1025="","",VLOOKUP(B1025,'Product Master'!$B:$G,4,FALSE))</f>
        <v/>
      </c>
      <c r="O1025" s="53" t="str">
        <f>IF(B1025="","",VLOOKUP(B1025,'Product Master'!$B:$G,5,FALSE))</f>
        <v/>
      </c>
      <c r="P1025" s="50" t="str">
        <f>IF(B1025="","",VLOOKUP(B1025,'Product Master'!$B:$I,7,FALSE))</f>
        <v/>
      </c>
      <c r="Q1025" s="158"/>
      <c r="R1025" s="58" t="str">
        <f t="shared" si="15"/>
        <v/>
      </c>
      <c r="S1025" s="25"/>
      <c r="T1025" s="25"/>
      <c r="U1025" s="25"/>
      <c r="V1025" s="25"/>
      <c r="W1025" s="25"/>
      <c r="X1025" s="25"/>
    </row>
    <row r="1026" spans="1:24" x14ac:dyDescent="0.25">
      <c r="A1026" s="31" t="s">
        <v>67</v>
      </c>
      <c r="B1026" s="32"/>
      <c r="C1026" s="50" t="str">
        <f>IF(B1026="","",VLOOKUP(B1026,'Product Master'!$B:$G,2,FALSE))</f>
        <v/>
      </c>
      <c r="D1026" s="50" t="str">
        <f>IF(B1026="","",VLOOKUP(B1026,'Product Master'!$B:$G,3,FALSE))</f>
        <v/>
      </c>
      <c r="E1026" s="50"/>
      <c r="F1026" s="50">
        <f>SUMIF('Stock Purchase'!$D:$D,B1026,'Stock Purchase'!$F:$F)</f>
        <v>0</v>
      </c>
      <c r="G1026" s="50">
        <f>SUMIFS('Stock Adjustment'!$E:$E,'Stock Adjustment'!$B:$B,$A1026,'Stock Adjustment'!$D:$D,"Customer Returned")</f>
        <v>0</v>
      </c>
      <c r="H1026" s="50">
        <f>SUMIF('Daily Sales Entry'!$D:$D,B1026,'Daily Sales Entry'!$G:$G)</f>
        <v>0</v>
      </c>
      <c r="I1026" s="50">
        <f>SUMIFS('Stock Adjustment'!$E:$E,'Stock Adjustment'!$B:$B,$A1026,'Stock Adjustment'!$D:$D,"Staff Consumption")</f>
        <v>0</v>
      </c>
      <c r="J1026" s="50">
        <f>SUMIFS('Stock Adjustment'!$E:$E,'Stock Adjustment'!$B:$B,$A1026,'Stock Adjustment'!$D:$D,"Damaged")</f>
        <v>0</v>
      </c>
      <c r="K1026" s="50">
        <f>SUMIFS('Stock Adjustment'!$E:$E,'Stock Adjustment'!$B:$B,$A1026,'Stock Adjustment'!$D:$D,"Expired")</f>
        <v>0</v>
      </c>
      <c r="L1026" s="50">
        <f>SUMIFS('Stock Adjustment'!$E:$E,'Stock Adjustment'!$B:$B,$A1026,'Stock Adjustment'!$D:$D,"Supplier Returned")</f>
        <v>0</v>
      </c>
      <c r="M102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6" s="53" t="str">
        <f>IF(B1026="","",VLOOKUP(B1026,'Product Master'!$B:$G,4,FALSE))</f>
        <v/>
      </c>
      <c r="O1026" s="53" t="str">
        <f>IF(B1026="","",VLOOKUP(B1026,'Product Master'!$B:$G,5,FALSE))</f>
        <v/>
      </c>
      <c r="P1026" s="50" t="str">
        <f>IF(B1026="","",VLOOKUP(B1026,'Product Master'!$B:$I,7,FALSE))</f>
        <v/>
      </c>
      <c r="Q1026" s="158"/>
      <c r="R1026" s="58" t="str">
        <f t="shared" ref="R1026:R1039" si="16">IF(B1026="","",IF(M1026=0,"Out of Stock",IF(M1026&lt;=10,"Low Stock","In Stock")))</f>
        <v/>
      </c>
      <c r="S1026" s="25"/>
      <c r="T1026" s="25"/>
      <c r="U1026" s="25"/>
      <c r="V1026" s="25"/>
      <c r="W1026" s="25"/>
      <c r="X1026" s="25"/>
    </row>
    <row r="1027" spans="1:24" x14ac:dyDescent="0.25">
      <c r="A1027" s="31" t="s">
        <v>68</v>
      </c>
      <c r="B1027" s="32"/>
      <c r="C1027" s="50" t="str">
        <f>IF(B1027="","",VLOOKUP(B1027,'Product Master'!$B:$G,2,FALSE))</f>
        <v/>
      </c>
      <c r="D1027" s="50" t="str">
        <f>IF(B1027="","",VLOOKUP(B1027,'Product Master'!$B:$G,3,FALSE))</f>
        <v/>
      </c>
      <c r="E1027" s="50"/>
      <c r="F1027" s="50">
        <f>SUMIF('Stock Purchase'!$D:$D,B1027,'Stock Purchase'!$F:$F)</f>
        <v>0</v>
      </c>
      <c r="G1027" s="50">
        <f>SUMIFS('Stock Adjustment'!$E:$E,'Stock Adjustment'!$B:$B,$A1027,'Stock Adjustment'!$D:$D,"Customer Returned")</f>
        <v>0</v>
      </c>
      <c r="H1027" s="50">
        <f>SUMIF('Daily Sales Entry'!$D:$D,B1027,'Daily Sales Entry'!$G:$G)</f>
        <v>0</v>
      </c>
      <c r="I1027" s="50">
        <f>SUMIFS('Stock Adjustment'!$E:$E,'Stock Adjustment'!$B:$B,$A1027,'Stock Adjustment'!$D:$D,"Staff Consumption")</f>
        <v>0</v>
      </c>
      <c r="J1027" s="50">
        <f>SUMIFS('Stock Adjustment'!$E:$E,'Stock Adjustment'!$B:$B,$A1027,'Stock Adjustment'!$D:$D,"Damaged")</f>
        <v>0</v>
      </c>
      <c r="K1027" s="50">
        <f>SUMIFS('Stock Adjustment'!$E:$E,'Stock Adjustment'!$B:$B,$A1027,'Stock Adjustment'!$D:$D,"Expired")</f>
        <v>0</v>
      </c>
      <c r="L1027" s="50">
        <f>SUMIFS('Stock Adjustment'!$E:$E,'Stock Adjustment'!$B:$B,$A1027,'Stock Adjustment'!$D:$D,"Supplier Returned")</f>
        <v>0</v>
      </c>
      <c r="M102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7" s="53" t="str">
        <f>IF(B1027="","",VLOOKUP(B1027,'Product Master'!$B:$G,4,FALSE))</f>
        <v/>
      </c>
      <c r="O1027" s="53" t="str">
        <f>IF(B1027="","",VLOOKUP(B1027,'Product Master'!$B:$G,5,FALSE))</f>
        <v/>
      </c>
      <c r="P1027" s="50" t="str">
        <f>IF(B1027="","",VLOOKUP(B1027,'Product Master'!$B:$I,7,FALSE))</f>
        <v/>
      </c>
      <c r="Q1027" s="158"/>
      <c r="R1027" s="58" t="str">
        <f t="shared" si="16"/>
        <v/>
      </c>
      <c r="S1027" s="25"/>
      <c r="T1027" s="25"/>
      <c r="U1027" s="25"/>
      <c r="V1027" s="25"/>
      <c r="W1027" s="25"/>
      <c r="X1027" s="25"/>
    </row>
    <row r="1028" spans="1:24" x14ac:dyDescent="0.25">
      <c r="A1028" s="31" t="s">
        <v>69</v>
      </c>
      <c r="B1028" s="32"/>
      <c r="C1028" s="50" t="str">
        <f>IF(B1028="","",VLOOKUP(B1028,'Product Master'!$B:$G,2,FALSE))</f>
        <v/>
      </c>
      <c r="D1028" s="50" t="str">
        <f>IF(B1028="","",VLOOKUP(B1028,'Product Master'!$B:$G,3,FALSE))</f>
        <v/>
      </c>
      <c r="E1028" s="50"/>
      <c r="F1028" s="50">
        <f>SUMIF('Stock Purchase'!$D:$D,B1028,'Stock Purchase'!$F:$F)</f>
        <v>0</v>
      </c>
      <c r="G1028" s="50">
        <f>SUMIFS('Stock Adjustment'!$E:$E,'Stock Adjustment'!$B:$B,$A1028,'Stock Adjustment'!$D:$D,"Customer Returned")</f>
        <v>0</v>
      </c>
      <c r="H1028" s="50">
        <f>SUMIF('Daily Sales Entry'!$D:$D,B1028,'Daily Sales Entry'!$G:$G)</f>
        <v>0</v>
      </c>
      <c r="I1028" s="50">
        <f>SUMIFS('Stock Adjustment'!$E:$E,'Stock Adjustment'!$B:$B,$A1028,'Stock Adjustment'!$D:$D,"Staff Consumption")</f>
        <v>0</v>
      </c>
      <c r="J1028" s="50">
        <f>SUMIFS('Stock Adjustment'!$E:$E,'Stock Adjustment'!$B:$B,$A1028,'Stock Adjustment'!$D:$D,"Damaged")</f>
        <v>0</v>
      </c>
      <c r="K1028" s="50">
        <f>SUMIFS('Stock Adjustment'!$E:$E,'Stock Adjustment'!$B:$B,$A1028,'Stock Adjustment'!$D:$D,"Expired")</f>
        <v>0</v>
      </c>
      <c r="L1028" s="50">
        <f>SUMIFS('Stock Adjustment'!$E:$E,'Stock Adjustment'!$B:$B,$A1028,'Stock Adjustment'!$D:$D,"Supplier Returned")</f>
        <v>0</v>
      </c>
      <c r="M102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8" s="53" t="str">
        <f>IF(B1028="","",VLOOKUP(B1028,'Product Master'!$B:$G,4,FALSE))</f>
        <v/>
      </c>
      <c r="O1028" s="53" t="str">
        <f>IF(B1028="","",VLOOKUP(B1028,'Product Master'!$B:$G,5,FALSE))</f>
        <v/>
      </c>
      <c r="P1028" s="50" t="str">
        <f>IF(B1028="","",VLOOKUP(B1028,'Product Master'!$B:$I,7,FALSE))</f>
        <v/>
      </c>
      <c r="Q1028" s="158"/>
      <c r="R1028" s="58" t="str">
        <f t="shared" si="16"/>
        <v/>
      </c>
      <c r="S1028" s="25"/>
      <c r="T1028" s="25"/>
      <c r="U1028" s="25"/>
      <c r="V1028" s="25"/>
      <c r="W1028" s="25"/>
      <c r="X1028" s="25"/>
    </row>
    <row r="1029" spans="1:24" x14ac:dyDescent="0.25">
      <c r="A1029" s="31" t="s">
        <v>70</v>
      </c>
      <c r="B1029" s="32"/>
      <c r="C1029" s="50" t="str">
        <f>IF(B1029="","",VLOOKUP(B1029,'Product Master'!$B:$G,2,FALSE))</f>
        <v/>
      </c>
      <c r="D1029" s="50" t="str">
        <f>IF(B1029="","",VLOOKUP(B1029,'Product Master'!$B:$G,3,FALSE))</f>
        <v/>
      </c>
      <c r="E1029" s="50"/>
      <c r="F1029" s="50">
        <f>SUMIF('Stock Purchase'!$D:$D,B1029,'Stock Purchase'!$F:$F)</f>
        <v>0</v>
      </c>
      <c r="G1029" s="50">
        <f>SUMIFS('Stock Adjustment'!$E:$E,'Stock Adjustment'!$B:$B,$A1029,'Stock Adjustment'!$D:$D,"Customer Returned")</f>
        <v>0</v>
      </c>
      <c r="H1029" s="50">
        <f>SUMIF('Daily Sales Entry'!$D:$D,B1029,'Daily Sales Entry'!$G:$G)</f>
        <v>0</v>
      </c>
      <c r="I1029" s="50">
        <f>SUMIFS('Stock Adjustment'!$E:$E,'Stock Adjustment'!$B:$B,$A1029,'Stock Adjustment'!$D:$D,"Staff Consumption")</f>
        <v>0</v>
      </c>
      <c r="J1029" s="50">
        <f>SUMIFS('Stock Adjustment'!$E:$E,'Stock Adjustment'!$B:$B,$A1029,'Stock Adjustment'!$D:$D,"Damaged")</f>
        <v>0</v>
      </c>
      <c r="K1029" s="50">
        <f>SUMIFS('Stock Adjustment'!$E:$E,'Stock Adjustment'!$B:$B,$A1029,'Stock Adjustment'!$D:$D,"Expired")</f>
        <v>0</v>
      </c>
      <c r="L1029" s="50">
        <f>SUMIFS('Stock Adjustment'!$E:$E,'Stock Adjustment'!$B:$B,$A1029,'Stock Adjustment'!$D:$D,"Supplier Returned")</f>
        <v>0</v>
      </c>
      <c r="M1029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29" s="53" t="str">
        <f>IF(B1029="","",VLOOKUP(B1029,'Product Master'!$B:$G,4,FALSE))</f>
        <v/>
      </c>
      <c r="O1029" s="53" t="str">
        <f>IF(B1029="","",VLOOKUP(B1029,'Product Master'!$B:$G,5,FALSE))</f>
        <v/>
      </c>
      <c r="P1029" s="50" t="str">
        <f>IF(B1029="","",VLOOKUP(B1029,'Product Master'!$B:$I,7,FALSE))</f>
        <v/>
      </c>
      <c r="Q1029" s="158"/>
      <c r="R1029" s="58" t="str">
        <f t="shared" si="16"/>
        <v/>
      </c>
      <c r="S1029" s="25"/>
      <c r="T1029" s="25"/>
      <c r="U1029" s="25"/>
      <c r="V1029" s="25"/>
      <c r="W1029" s="25"/>
      <c r="X1029" s="25"/>
    </row>
    <row r="1030" spans="1:24" x14ac:dyDescent="0.25">
      <c r="A1030" s="31" t="s">
        <v>71</v>
      </c>
      <c r="B1030" s="32"/>
      <c r="C1030" s="50" t="str">
        <f>IF(B1030="","",VLOOKUP(B1030,'Product Master'!$B:$G,2,FALSE))</f>
        <v/>
      </c>
      <c r="D1030" s="50" t="str">
        <f>IF(B1030="","",VLOOKUP(B1030,'Product Master'!$B:$G,3,FALSE))</f>
        <v/>
      </c>
      <c r="E1030" s="50"/>
      <c r="F1030" s="50">
        <f>SUMIF('Stock Purchase'!$D:$D,B1030,'Stock Purchase'!$F:$F)</f>
        <v>0</v>
      </c>
      <c r="G1030" s="50">
        <f>SUMIFS('Stock Adjustment'!$E:$E,'Stock Adjustment'!$B:$B,$A1030,'Stock Adjustment'!$D:$D,"Customer Returned")</f>
        <v>0</v>
      </c>
      <c r="H1030" s="50">
        <f>SUMIF('Daily Sales Entry'!$D:$D,B1030,'Daily Sales Entry'!$G:$G)</f>
        <v>0</v>
      </c>
      <c r="I1030" s="50">
        <f>SUMIFS('Stock Adjustment'!$E:$E,'Stock Adjustment'!$B:$B,$A1030,'Stock Adjustment'!$D:$D,"Staff Consumption")</f>
        <v>0</v>
      </c>
      <c r="J1030" s="50">
        <f>SUMIFS('Stock Adjustment'!$E:$E,'Stock Adjustment'!$B:$B,$A1030,'Stock Adjustment'!$D:$D,"Damaged")</f>
        <v>0</v>
      </c>
      <c r="K1030" s="50">
        <f>SUMIFS('Stock Adjustment'!$E:$E,'Stock Adjustment'!$B:$B,$A1030,'Stock Adjustment'!$D:$D,"Expired")</f>
        <v>0</v>
      </c>
      <c r="L1030" s="50">
        <f>SUMIFS('Stock Adjustment'!$E:$E,'Stock Adjustment'!$B:$B,$A1030,'Stock Adjustment'!$D:$D,"Supplier Returned")</f>
        <v>0</v>
      </c>
      <c r="M1030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0" s="53" t="str">
        <f>IF(B1030="","",VLOOKUP(B1030,'Product Master'!$B:$G,4,FALSE))</f>
        <v/>
      </c>
      <c r="O1030" s="53" t="str">
        <f>IF(B1030="","",VLOOKUP(B1030,'Product Master'!$B:$G,5,FALSE))</f>
        <v/>
      </c>
      <c r="P1030" s="50" t="str">
        <f>IF(B1030="","",VLOOKUP(B1030,'Product Master'!$B:$I,7,FALSE))</f>
        <v/>
      </c>
      <c r="Q1030" s="158"/>
      <c r="R1030" s="58" t="str">
        <f t="shared" si="16"/>
        <v/>
      </c>
      <c r="S1030" s="25"/>
      <c r="T1030" s="25"/>
      <c r="U1030" s="25"/>
      <c r="V1030" s="25"/>
      <c r="W1030" s="25"/>
      <c r="X1030" s="25"/>
    </row>
    <row r="1031" spans="1:24" x14ac:dyDescent="0.25">
      <c r="A1031" s="31" t="s">
        <v>72</v>
      </c>
      <c r="B1031" s="32"/>
      <c r="C1031" s="50" t="str">
        <f>IF(B1031="","",VLOOKUP(B1031,'Product Master'!$B:$G,2,FALSE))</f>
        <v/>
      </c>
      <c r="D1031" s="50" t="str">
        <f>IF(B1031="","",VLOOKUP(B1031,'Product Master'!$B:$G,3,FALSE))</f>
        <v/>
      </c>
      <c r="E1031" s="50"/>
      <c r="F1031" s="50">
        <f>SUMIF('Stock Purchase'!$D:$D,B1031,'Stock Purchase'!$F:$F)</f>
        <v>0</v>
      </c>
      <c r="G1031" s="50">
        <f>SUMIFS('Stock Adjustment'!$E:$E,'Stock Adjustment'!$B:$B,$A1031,'Stock Adjustment'!$D:$D,"Customer Returned")</f>
        <v>0</v>
      </c>
      <c r="H1031" s="50">
        <f>SUMIF('Daily Sales Entry'!$D:$D,B1031,'Daily Sales Entry'!$G:$G)</f>
        <v>0</v>
      </c>
      <c r="I1031" s="50">
        <f>SUMIFS('Stock Adjustment'!$E:$E,'Stock Adjustment'!$B:$B,$A1031,'Stock Adjustment'!$D:$D,"Staff Consumption")</f>
        <v>0</v>
      </c>
      <c r="J1031" s="50">
        <f>SUMIFS('Stock Adjustment'!$E:$E,'Stock Adjustment'!$B:$B,$A1031,'Stock Adjustment'!$D:$D,"Damaged")</f>
        <v>0</v>
      </c>
      <c r="K1031" s="50">
        <f>SUMIFS('Stock Adjustment'!$E:$E,'Stock Adjustment'!$B:$B,$A1031,'Stock Adjustment'!$D:$D,"Expired")</f>
        <v>0</v>
      </c>
      <c r="L1031" s="50">
        <f>SUMIFS('Stock Adjustment'!$E:$E,'Stock Adjustment'!$B:$B,$A1031,'Stock Adjustment'!$D:$D,"Supplier Returned")</f>
        <v>0</v>
      </c>
      <c r="M1031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1" s="53" t="str">
        <f>IF(B1031="","",VLOOKUP(B1031,'Product Master'!$B:$G,4,FALSE))</f>
        <v/>
      </c>
      <c r="O1031" s="53" t="str">
        <f>IF(B1031="","",VLOOKUP(B1031,'Product Master'!$B:$G,5,FALSE))</f>
        <v/>
      </c>
      <c r="P1031" s="50" t="str">
        <f>IF(B1031="","",VLOOKUP(B1031,'Product Master'!$B:$I,7,FALSE))</f>
        <v/>
      </c>
      <c r="Q1031" s="158"/>
      <c r="R1031" s="58" t="str">
        <f t="shared" si="16"/>
        <v/>
      </c>
      <c r="S1031" s="25"/>
      <c r="T1031" s="25"/>
      <c r="U1031" s="25"/>
      <c r="V1031" s="25"/>
      <c r="W1031" s="25"/>
      <c r="X1031" s="25"/>
    </row>
    <row r="1032" spans="1:24" x14ac:dyDescent="0.25">
      <c r="A1032" s="31" t="s">
        <v>73</v>
      </c>
      <c r="B1032" s="32"/>
      <c r="C1032" s="50" t="str">
        <f>IF(B1032="","",VLOOKUP(B1032,'Product Master'!$B:$G,2,FALSE))</f>
        <v/>
      </c>
      <c r="D1032" s="50" t="str">
        <f>IF(B1032="","",VLOOKUP(B1032,'Product Master'!$B:$G,3,FALSE))</f>
        <v/>
      </c>
      <c r="E1032" s="50"/>
      <c r="F1032" s="50">
        <f>SUMIF('Stock Purchase'!$D:$D,B1032,'Stock Purchase'!$F:$F)</f>
        <v>0</v>
      </c>
      <c r="G1032" s="50">
        <f>SUMIFS('Stock Adjustment'!$E:$E,'Stock Adjustment'!$B:$B,$A1032,'Stock Adjustment'!$D:$D,"Customer Returned")</f>
        <v>0</v>
      </c>
      <c r="H1032" s="50">
        <f>SUMIF('Daily Sales Entry'!$D:$D,B1032,'Daily Sales Entry'!$G:$G)</f>
        <v>0</v>
      </c>
      <c r="I1032" s="50">
        <f>SUMIFS('Stock Adjustment'!$E:$E,'Stock Adjustment'!$B:$B,$A1032,'Stock Adjustment'!$D:$D,"Staff Consumption")</f>
        <v>0</v>
      </c>
      <c r="J1032" s="50">
        <f>SUMIFS('Stock Adjustment'!$E:$E,'Stock Adjustment'!$B:$B,$A1032,'Stock Adjustment'!$D:$D,"Damaged")</f>
        <v>0</v>
      </c>
      <c r="K1032" s="50">
        <f>SUMIFS('Stock Adjustment'!$E:$E,'Stock Adjustment'!$B:$B,$A1032,'Stock Adjustment'!$D:$D,"Expired")</f>
        <v>0</v>
      </c>
      <c r="L1032" s="50">
        <f>SUMIFS('Stock Adjustment'!$E:$E,'Stock Adjustment'!$B:$B,$A1032,'Stock Adjustment'!$D:$D,"Supplier Returned")</f>
        <v>0</v>
      </c>
      <c r="M1032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2" s="53" t="str">
        <f>IF(B1032="","",VLOOKUP(B1032,'Product Master'!$B:$G,4,FALSE))</f>
        <v/>
      </c>
      <c r="O1032" s="53" t="str">
        <f>IF(B1032="","",VLOOKUP(B1032,'Product Master'!$B:$G,5,FALSE))</f>
        <v/>
      </c>
      <c r="P1032" s="50" t="str">
        <f>IF(B1032="","",VLOOKUP(B1032,'Product Master'!$B:$I,7,FALSE))</f>
        <v/>
      </c>
      <c r="Q1032" s="158"/>
      <c r="R1032" s="58" t="str">
        <f t="shared" si="16"/>
        <v/>
      </c>
      <c r="S1032" s="25"/>
      <c r="T1032" s="25"/>
      <c r="U1032" s="25"/>
      <c r="V1032" s="25"/>
      <c r="W1032" s="25"/>
      <c r="X1032" s="25"/>
    </row>
    <row r="1033" spans="1:24" x14ac:dyDescent="0.25">
      <c r="A1033" s="31" t="s">
        <v>74</v>
      </c>
      <c r="B1033" s="32"/>
      <c r="C1033" s="50" t="str">
        <f>IF(B1033="","",VLOOKUP(B1033,'Product Master'!$B:$G,2,FALSE))</f>
        <v/>
      </c>
      <c r="D1033" s="50" t="str">
        <f>IF(B1033="","",VLOOKUP(B1033,'Product Master'!$B:$G,3,FALSE))</f>
        <v/>
      </c>
      <c r="E1033" s="50"/>
      <c r="F1033" s="50">
        <f>SUMIF('Stock Purchase'!$D:$D,B1033,'Stock Purchase'!$F:$F)</f>
        <v>0</v>
      </c>
      <c r="G1033" s="50">
        <f>SUMIFS('Stock Adjustment'!$E:$E,'Stock Adjustment'!$B:$B,$A1033,'Stock Adjustment'!$D:$D,"Customer Returned")</f>
        <v>0</v>
      </c>
      <c r="H1033" s="50">
        <f>SUMIF('Daily Sales Entry'!$D:$D,B1033,'Daily Sales Entry'!$G:$G)</f>
        <v>0</v>
      </c>
      <c r="I1033" s="50">
        <f>SUMIFS('Stock Adjustment'!$E:$E,'Stock Adjustment'!$B:$B,$A1033,'Stock Adjustment'!$D:$D,"Staff Consumption")</f>
        <v>0</v>
      </c>
      <c r="J1033" s="50">
        <f>SUMIFS('Stock Adjustment'!$E:$E,'Stock Adjustment'!$B:$B,$A1033,'Stock Adjustment'!$D:$D,"Damaged")</f>
        <v>0</v>
      </c>
      <c r="K1033" s="50">
        <f>SUMIFS('Stock Adjustment'!$E:$E,'Stock Adjustment'!$B:$B,$A1033,'Stock Adjustment'!$D:$D,"Expired")</f>
        <v>0</v>
      </c>
      <c r="L1033" s="50">
        <f>SUMIFS('Stock Adjustment'!$E:$E,'Stock Adjustment'!$B:$B,$A1033,'Stock Adjustment'!$D:$D,"Supplier Returned")</f>
        <v>0</v>
      </c>
      <c r="M1033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3" s="53" t="str">
        <f>IF(B1033="","",VLOOKUP(B1033,'Product Master'!$B:$G,4,FALSE))</f>
        <v/>
      </c>
      <c r="O1033" s="53" t="str">
        <f>IF(B1033="","",VLOOKUP(B1033,'Product Master'!$B:$G,5,FALSE))</f>
        <v/>
      </c>
      <c r="P1033" s="50" t="str">
        <f>IF(B1033="","",VLOOKUP(B1033,'Product Master'!$B:$I,7,FALSE))</f>
        <v/>
      </c>
      <c r="Q1033" s="158"/>
      <c r="R1033" s="58" t="str">
        <f t="shared" si="16"/>
        <v/>
      </c>
      <c r="S1033" s="25"/>
      <c r="T1033" s="25"/>
      <c r="U1033" s="25"/>
      <c r="V1033" s="25"/>
      <c r="W1033" s="25"/>
      <c r="X1033" s="25"/>
    </row>
    <row r="1034" spans="1:24" x14ac:dyDescent="0.25">
      <c r="A1034" s="31" t="s">
        <v>75</v>
      </c>
      <c r="B1034" s="32"/>
      <c r="C1034" s="50" t="str">
        <f>IF(B1034="","",VLOOKUP(B1034,'Product Master'!$B:$G,2,FALSE))</f>
        <v/>
      </c>
      <c r="D1034" s="50" t="str">
        <f>IF(B1034="","",VLOOKUP(B1034,'Product Master'!$B:$G,3,FALSE))</f>
        <v/>
      </c>
      <c r="E1034" s="50"/>
      <c r="F1034" s="50">
        <f>SUMIF('Stock Purchase'!$D:$D,B1034,'Stock Purchase'!$F:$F)</f>
        <v>0</v>
      </c>
      <c r="G1034" s="50">
        <f>SUMIFS('Stock Adjustment'!$E:$E,'Stock Adjustment'!$B:$B,$A1034,'Stock Adjustment'!$D:$D,"Customer Returned")</f>
        <v>0</v>
      </c>
      <c r="H1034" s="50">
        <f>SUMIF('Daily Sales Entry'!$D:$D,B1034,'Daily Sales Entry'!$G:$G)</f>
        <v>0</v>
      </c>
      <c r="I1034" s="50">
        <f>SUMIFS('Stock Adjustment'!$E:$E,'Stock Adjustment'!$B:$B,$A1034,'Stock Adjustment'!$D:$D,"Staff Consumption")</f>
        <v>0</v>
      </c>
      <c r="J1034" s="50">
        <f>SUMIFS('Stock Adjustment'!$E:$E,'Stock Adjustment'!$B:$B,$A1034,'Stock Adjustment'!$D:$D,"Damaged")</f>
        <v>0</v>
      </c>
      <c r="K1034" s="50">
        <f>SUMIFS('Stock Adjustment'!$E:$E,'Stock Adjustment'!$B:$B,$A1034,'Stock Adjustment'!$D:$D,"Expired")</f>
        <v>0</v>
      </c>
      <c r="L1034" s="50">
        <f>SUMIFS('Stock Adjustment'!$E:$E,'Stock Adjustment'!$B:$B,$A1034,'Stock Adjustment'!$D:$D,"Supplier Returned")</f>
        <v>0</v>
      </c>
      <c r="M1034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4" s="53" t="str">
        <f>IF(B1034="","",VLOOKUP(B1034,'Product Master'!$B:$G,4,FALSE))</f>
        <v/>
      </c>
      <c r="O1034" s="53" t="str">
        <f>IF(B1034="","",VLOOKUP(B1034,'Product Master'!$B:$G,5,FALSE))</f>
        <v/>
      </c>
      <c r="P1034" s="50" t="str">
        <f>IF(B1034="","",VLOOKUP(B1034,'Product Master'!$B:$I,7,FALSE))</f>
        <v/>
      </c>
      <c r="Q1034" s="158"/>
      <c r="R1034" s="58" t="str">
        <f t="shared" si="16"/>
        <v/>
      </c>
      <c r="S1034" s="25"/>
      <c r="T1034" s="25"/>
      <c r="U1034" s="25"/>
      <c r="V1034" s="25"/>
      <c r="W1034" s="25"/>
      <c r="X1034" s="25"/>
    </row>
    <row r="1035" spans="1:24" x14ac:dyDescent="0.25">
      <c r="A1035" s="31" t="s">
        <v>76</v>
      </c>
      <c r="B1035" s="32"/>
      <c r="C1035" s="50" t="str">
        <f>IF(B1035="","",VLOOKUP(B1035,'Product Master'!$B:$G,2,FALSE))</f>
        <v/>
      </c>
      <c r="D1035" s="50" t="str">
        <f>IF(B1035="","",VLOOKUP(B1035,'Product Master'!$B:$G,3,FALSE))</f>
        <v/>
      </c>
      <c r="E1035" s="50"/>
      <c r="F1035" s="50">
        <f>SUMIF('Stock Purchase'!$D:$D,B1035,'Stock Purchase'!$F:$F)</f>
        <v>0</v>
      </c>
      <c r="G1035" s="50">
        <f>SUMIFS('Stock Adjustment'!$E:$E,'Stock Adjustment'!$B:$B,$A1035,'Stock Adjustment'!$D:$D,"Customer Returned")</f>
        <v>0</v>
      </c>
      <c r="H1035" s="50">
        <f>SUMIF('Daily Sales Entry'!$D:$D,B1035,'Daily Sales Entry'!$G:$G)</f>
        <v>0</v>
      </c>
      <c r="I1035" s="50">
        <f>SUMIFS('Stock Adjustment'!$E:$E,'Stock Adjustment'!$B:$B,$A1035,'Stock Adjustment'!$D:$D,"Staff Consumption")</f>
        <v>0</v>
      </c>
      <c r="J1035" s="50">
        <f>SUMIFS('Stock Adjustment'!$E:$E,'Stock Adjustment'!$B:$B,$A1035,'Stock Adjustment'!$D:$D,"Damaged")</f>
        <v>0</v>
      </c>
      <c r="K1035" s="50">
        <f>SUMIFS('Stock Adjustment'!$E:$E,'Stock Adjustment'!$B:$B,$A1035,'Stock Adjustment'!$D:$D,"Expired")</f>
        <v>0</v>
      </c>
      <c r="L1035" s="50">
        <f>SUMIFS('Stock Adjustment'!$E:$E,'Stock Adjustment'!$B:$B,$A1035,'Stock Adjustment'!$D:$D,"Supplier Returned")</f>
        <v>0</v>
      </c>
      <c r="M1035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5" s="53" t="str">
        <f>IF(B1035="","",VLOOKUP(B1035,'Product Master'!$B:$G,4,FALSE))</f>
        <v/>
      </c>
      <c r="O1035" s="53" t="str">
        <f>IF(B1035="","",VLOOKUP(B1035,'Product Master'!$B:$G,5,FALSE))</f>
        <v/>
      </c>
      <c r="P1035" s="50" t="str">
        <f>IF(B1035="","",VLOOKUP(B1035,'Product Master'!$B:$I,7,FALSE))</f>
        <v/>
      </c>
      <c r="Q1035" s="158"/>
      <c r="R1035" s="58" t="str">
        <f t="shared" si="16"/>
        <v/>
      </c>
      <c r="S1035" s="25"/>
      <c r="T1035" s="25"/>
      <c r="U1035" s="25"/>
      <c r="V1035" s="25"/>
      <c r="W1035" s="25"/>
      <c r="X1035" s="25"/>
    </row>
    <row r="1036" spans="1:24" x14ac:dyDescent="0.25">
      <c r="A1036" s="31" t="s">
        <v>77</v>
      </c>
      <c r="B1036" s="32"/>
      <c r="C1036" s="50" t="str">
        <f>IF(B1036="","",VLOOKUP(B1036,'Product Master'!$B:$G,2,FALSE))</f>
        <v/>
      </c>
      <c r="D1036" s="50" t="str">
        <f>IF(B1036="","",VLOOKUP(B1036,'Product Master'!$B:$G,3,FALSE))</f>
        <v/>
      </c>
      <c r="E1036" s="50"/>
      <c r="F1036" s="50">
        <f>SUMIF('Stock Purchase'!$D:$D,B1036,'Stock Purchase'!$F:$F)</f>
        <v>0</v>
      </c>
      <c r="G1036" s="50">
        <f>SUMIFS('Stock Adjustment'!$E:$E,'Stock Adjustment'!$B:$B,$A1036,'Stock Adjustment'!$D:$D,"Customer Returned")</f>
        <v>0</v>
      </c>
      <c r="H1036" s="50">
        <f>SUMIF('Daily Sales Entry'!$D:$D,B1036,'Daily Sales Entry'!$G:$G)</f>
        <v>0</v>
      </c>
      <c r="I1036" s="50">
        <f>SUMIFS('Stock Adjustment'!$E:$E,'Stock Adjustment'!$B:$B,$A1036,'Stock Adjustment'!$D:$D,"Staff Consumption")</f>
        <v>0</v>
      </c>
      <c r="J1036" s="50">
        <f>SUMIFS('Stock Adjustment'!$E:$E,'Stock Adjustment'!$B:$B,$A1036,'Stock Adjustment'!$D:$D,"Damaged")</f>
        <v>0</v>
      </c>
      <c r="K1036" s="50">
        <f>SUMIFS('Stock Adjustment'!$E:$E,'Stock Adjustment'!$B:$B,$A1036,'Stock Adjustment'!$D:$D,"Expired")</f>
        <v>0</v>
      </c>
      <c r="L1036" s="50">
        <f>SUMIFS('Stock Adjustment'!$E:$E,'Stock Adjustment'!$B:$B,$A1036,'Stock Adjustment'!$D:$D,"Supplier Returned")</f>
        <v>0</v>
      </c>
      <c r="M1036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6" s="53" t="str">
        <f>IF(B1036="","",VLOOKUP(B1036,'Product Master'!$B:$G,4,FALSE))</f>
        <v/>
      </c>
      <c r="O1036" s="53" t="str">
        <f>IF(B1036="","",VLOOKUP(B1036,'Product Master'!$B:$G,5,FALSE))</f>
        <v/>
      </c>
      <c r="P1036" s="50" t="str">
        <f>IF(B1036="","",VLOOKUP(B1036,'Product Master'!$B:$I,7,FALSE))</f>
        <v/>
      </c>
      <c r="Q1036" s="158"/>
      <c r="R1036" s="58" t="str">
        <f t="shared" si="16"/>
        <v/>
      </c>
      <c r="S1036" s="25"/>
      <c r="T1036" s="25"/>
      <c r="U1036" s="25"/>
      <c r="V1036" s="25"/>
      <c r="W1036" s="25"/>
      <c r="X1036" s="25"/>
    </row>
    <row r="1037" spans="1:24" x14ac:dyDescent="0.25">
      <c r="A1037" s="31" t="s">
        <v>78</v>
      </c>
      <c r="B1037" s="32"/>
      <c r="C1037" s="50" t="str">
        <f>IF(B1037="","",VLOOKUP(B1037,'Product Master'!$B:$G,2,FALSE))</f>
        <v/>
      </c>
      <c r="D1037" s="50" t="str">
        <f>IF(B1037="","",VLOOKUP(B1037,'Product Master'!$B:$G,3,FALSE))</f>
        <v/>
      </c>
      <c r="E1037" s="50"/>
      <c r="F1037" s="50">
        <f>SUMIF('Stock Purchase'!$D:$D,B1037,'Stock Purchase'!$F:$F)</f>
        <v>0</v>
      </c>
      <c r="G1037" s="50">
        <f>SUMIFS('Stock Adjustment'!$E:$E,'Stock Adjustment'!$B:$B,$A1037,'Stock Adjustment'!$D:$D,"Customer Returned")</f>
        <v>0</v>
      </c>
      <c r="H1037" s="50">
        <f>SUMIF('Daily Sales Entry'!$D:$D,B1037,'Daily Sales Entry'!$G:$G)</f>
        <v>0</v>
      </c>
      <c r="I1037" s="50">
        <f>SUMIFS('Stock Adjustment'!$E:$E,'Stock Adjustment'!$B:$B,$A1037,'Stock Adjustment'!$D:$D,"Staff Consumption")</f>
        <v>0</v>
      </c>
      <c r="J1037" s="50">
        <f>SUMIFS('Stock Adjustment'!$E:$E,'Stock Adjustment'!$B:$B,$A1037,'Stock Adjustment'!$D:$D,"Damaged")</f>
        <v>0</v>
      </c>
      <c r="K1037" s="50">
        <f>SUMIFS('Stock Adjustment'!$E:$E,'Stock Adjustment'!$B:$B,$A1037,'Stock Adjustment'!$D:$D,"Expired")</f>
        <v>0</v>
      </c>
      <c r="L1037" s="50">
        <f>SUMIFS('Stock Adjustment'!$E:$E,'Stock Adjustment'!$B:$B,$A1037,'Stock Adjustment'!$D:$D,"Supplier Returned")</f>
        <v>0</v>
      </c>
      <c r="M1037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7" s="53" t="str">
        <f>IF(B1037="","",VLOOKUP(B1037,'Product Master'!$B:$G,4,FALSE))</f>
        <v/>
      </c>
      <c r="O1037" s="53" t="str">
        <f>IF(B1037="","",VLOOKUP(B1037,'Product Master'!$B:$G,5,FALSE))</f>
        <v/>
      </c>
      <c r="P1037" s="50" t="str">
        <f>IF(B1037="","",VLOOKUP(B1037,'Product Master'!$B:$I,7,FALSE))</f>
        <v/>
      </c>
      <c r="Q1037" s="158"/>
      <c r="R1037" s="58" t="str">
        <f t="shared" si="16"/>
        <v/>
      </c>
      <c r="S1037" s="25"/>
      <c r="T1037" s="25"/>
      <c r="U1037" s="25"/>
      <c r="V1037" s="25"/>
      <c r="W1037" s="25"/>
      <c r="X1037" s="25"/>
    </row>
    <row r="1038" spans="1:24" x14ac:dyDescent="0.25">
      <c r="A1038" s="31" t="s">
        <v>79</v>
      </c>
      <c r="B1038" s="32"/>
      <c r="C1038" s="50" t="str">
        <f>IF(B1038="","",VLOOKUP(B1038,'Product Master'!$B:$G,2,FALSE))</f>
        <v/>
      </c>
      <c r="D1038" s="50" t="str">
        <f>IF(B1038="","",VLOOKUP(B1038,'Product Master'!$B:$G,3,FALSE))</f>
        <v/>
      </c>
      <c r="E1038" s="50"/>
      <c r="F1038" s="50">
        <f>SUMIF('Stock Purchase'!$D:$D,B1038,'Stock Purchase'!$F:$F)</f>
        <v>0</v>
      </c>
      <c r="G1038" s="50">
        <f>SUMIFS('Stock Adjustment'!$E:$E,'Stock Adjustment'!$B:$B,$A1038,'Stock Adjustment'!$D:$D,"Customer Returned")</f>
        <v>0</v>
      </c>
      <c r="H1038" s="50">
        <f>SUMIF('Daily Sales Entry'!$D:$D,B1038,'Daily Sales Entry'!$G:$G)</f>
        <v>0</v>
      </c>
      <c r="I1038" s="50">
        <f>SUMIFS('Stock Adjustment'!$E:$E,'Stock Adjustment'!$B:$B,$A1038,'Stock Adjustment'!$D:$D,"Staff Consumption")</f>
        <v>0</v>
      </c>
      <c r="J1038" s="50">
        <f>SUMIFS('Stock Adjustment'!$E:$E,'Stock Adjustment'!$B:$B,$A1038,'Stock Adjustment'!$D:$D,"Damaged")</f>
        <v>0</v>
      </c>
      <c r="K1038" s="50">
        <f>SUMIFS('Stock Adjustment'!$E:$E,'Stock Adjustment'!$B:$B,$A1038,'Stock Adjustment'!$D:$D,"Expired")</f>
        <v>0</v>
      </c>
      <c r="L1038" s="50">
        <f>SUMIFS('Stock Adjustment'!$E:$E,'Stock Adjustment'!$B:$B,$A1038,'Stock Adjustment'!$D:$D,"Supplier Returned")</f>
        <v>0</v>
      </c>
      <c r="M1038" s="50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8" s="53" t="str">
        <f>IF(B1038="","",VLOOKUP(B1038,'Product Master'!$B:$G,4,FALSE))</f>
        <v/>
      </c>
      <c r="O1038" s="53" t="str">
        <f>IF(B1038="","",VLOOKUP(B1038,'Product Master'!$B:$G,5,FALSE))</f>
        <v/>
      </c>
      <c r="P1038" s="50" t="str">
        <f>IF(B1038="","",VLOOKUP(B1038,'Product Master'!$B:$I,7,FALSE))</f>
        <v/>
      </c>
      <c r="Q1038" s="158"/>
      <c r="R1038" s="58" t="str">
        <f t="shared" si="16"/>
        <v/>
      </c>
      <c r="S1038" s="25"/>
      <c r="T1038" s="25"/>
      <c r="U1038" s="25"/>
      <c r="V1038" s="25"/>
      <c r="W1038" s="25"/>
      <c r="X1038" s="25"/>
    </row>
    <row r="1039" spans="1:24" x14ac:dyDescent="0.25">
      <c r="A1039" s="31" t="s">
        <v>80</v>
      </c>
      <c r="B1039" s="32"/>
      <c r="C1039" s="56" t="str">
        <f>IF(B1039="","",VLOOKUP(B1039,'Product Master'!$B:$G,2,FALSE))</f>
        <v/>
      </c>
      <c r="D1039" s="56" t="str">
        <f>IF(B1039="","",VLOOKUP(B1039,'Product Master'!$B:$G,3,FALSE))</f>
        <v/>
      </c>
      <c r="E1039" s="56"/>
      <c r="F1039" s="56">
        <f>SUMIF('Stock Purchase'!$D:$D,B1039,'Stock Purchase'!$F:$F)</f>
        <v>0</v>
      </c>
      <c r="G1039" s="56">
        <f>SUMIFS('Stock Adjustment'!$E:$E,'Stock Adjustment'!$B:$B,$A1039,'Stock Adjustment'!$D:$D,"Customer Returned")</f>
        <v>0</v>
      </c>
      <c r="H1039" s="56">
        <f>SUMIF('Daily Sales Entry'!$D:$D,B1039,'Daily Sales Entry'!$G:$G)</f>
        <v>0</v>
      </c>
      <c r="I1039" s="56">
        <f>SUMIFS('Stock Adjustment'!$E:$E,'Stock Adjustment'!$B:$B,$A1039,'Stock Adjustment'!$D:$D,"Staff Consumption")</f>
        <v>0</v>
      </c>
      <c r="J1039" s="56">
        <f>SUMIFS('Stock Adjustment'!$E:$E,'Stock Adjustment'!$B:$B,$A1039,'Stock Adjustment'!$D:$D,"Damaged")</f>
        <v>0</v>
      </c>
      <c r="K1039" s="56">
        <f>SUMIFS('Stock Adjustment'!$E:$E,'Stock Adjustment'!$B:$B,$A1039,'Stock Adjustment'!$D:$D,"Expired")</f>
        <v>0</v>
      </c>
      <c r="L1039" s="56">
        <f>SUMIFS('Stock Adjustment'!$E:$E,'Stock Adjustment'!$B:$B,$A1039,'Stock Adjustment'!$D:$D,"Supplier Returned")</f>
        <v>0</v>
      </c>
      <c r="M1039" s="56">
        <f>Table4[[#This Row],[Opening Stock]]+Table4[[#This Row],[Total Purchased]]+Table4[[#This Row],[Customer Returned]]-Table4[[#This Row],[Total Sold]]-Table4[[#This Row],[Damaged]]-Table4[[#This Row],[Expired]]-Table4[[#This Row],[Supplier Returned]]-Table4[[#This Row],[Staff Consumption]]</f>
        <v>0</v>
      </c>
      <c r="N1039" s="160" t="str">
        <f>IF(B1039="","",VLOOKUP(B1039,'Product Master'!$B:$G,4,FALSE))</f>
        <v/>
      </c>
      <c r="O1039" s="160" t="str">
        <f>IF(B1039="","",VLOOKUP(B1039,'Product Master'!$B:$G,5,FALSE))</f>
        <v/>
      </c>
      <c r="P1039" s="56" t="str">
        <f>IF(B1039="","",VLOOKUP(B1039,'Product Master'!$B:$I,7,FALSE))</f>
        <v/>
      </c>
      <c r="Q1039" s="161"/>
      <c r="R1039" s="162" t="str">
        <f t="shared" si="16"/>
        <v/>
      </c>
      <c r="S1039" s="25"/>
      <c r="T1039" s="25"/>
      <c r="U1039" s="25"/>
      <c r="V1039" s="25"/>
      <c r="W1039" s="25"/>
      <c r="X1039" s="25"/>
    </row>
    <row r="1040" spans="1:24" x14ac:dyDescent="0.25">
      <c r="A1040" s="40" t="s">
        <v>520</v>
      </c>
      <c r="B1040" s="42"/>
      <c r="C1040" s="56"/>
      <c r="D1040" s="56"/>
      <c r="E1040" s="56"/>
      <c r="F1040" s="56"/>
      <c r="G1040" s="56"/>
      <c r="H1040" s="56"/>
      <c r="I1040" s="56"/>
      <c r="J1040" s="56"/>
      <c r="K1040" s="56"/>
      <c r="L1040" s="56"/>
      <c r="M1040" s="56"/>
      <c r="N1040" s="56"/>
      <c r="O1040" s="56"/>
      <c r="P1040" s="56"/>
      <c r="Q1040" s="56"/>
      <c r="R1040" s="162">
        <f>SUBTOTAL(103,Table4[Stock Status])</f>
        <v>1038</v>
      </c>
      <c r="S1040" s="25"/>
      <c r="T1040" s="25"/>
      <c r="U1040" s="25"/>
      <c r="V1040" s="25"/>
      <c r="W1040" s="25"/>
      <c r="X1040" s="25"/>
    </row>
  </sheetData>
  <dataValidations count="1">
    <dataValidation type="list" allowBlank="1" showInputMessage="1" showErrorMessage="1" sqref="B2:B1039" xr:uid="{00000000-0002-0000-0500-000000000000}">
      <formula1>ProductNames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2"/>
  <sheetViews>
    <sheetView showRowColHeaders="0" workbookViewId="0">
      <selection activeCell="D5" sqref="D5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20" bestFit="1" customWidth="1"/>
    <col min="4" max="4" width="23.28515625" bestFit="1" customWidth="1"/>
    <col min="5" max="5" width="13.5703125" bestFit="1" customWidth="1"/>
    <col min="6" max="6" width="29" customWidth="1"/>
  </cols>
  <sheetData>
    <row r="1" spans="1:19" ht="18.75" x14ac:dyDescent="0.3">
      <c r="A1" s="59" t="s">
        <v>95</v>
      </c>
      <c r="B1" s="60" t="s">
        <v>0</v>
      </c>
      <c r="C1" s="60" t="s">
        <v>1</v>
      </c>
      <c r="D1" s="60" t="s">
        <v>566</v>
      </c>
      <c r="E1" s="60" t="s">
        <v>564</v>
      </c>
      <c r="F1" s="61" t="s">
        <v>565</v>
      </c>
      <c r="G1" s="25"/>
      <c r="H1" s="154"/>
      <c r="I1" s="154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5.75" customHeight="1" x14ac:dyDescent="0.25">
      <c r="A2" s="155">
        <v>46235</v>
      </c>
      <c r="B2" s="50" t="s">
        <v>526</v>
      </c>
      <c r="C2" s="50" t="str">
        <f>IFERROR(VLOOKUP(B2,'Product Master'!$A:$B,2,FALSE),"")</f>
        <v>Beef</v>
      </c>
      <c r="D2" s="50" t="s">
        <v>606</v>
      </c>
      <c r="E2" s="50">
        <v>10</v>
      </c>
      <c r="F2" s="58"/>
      <c r="G2" s="25"/>
      <c r="H2" s="25"/>
      <c r="I2" s="153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15" customHeight="1" x14ac:dyDescent="0.25">
      <c r="A3" s="155">
        <v>46236</v>
      </c>
      <c r="B3" s="50" t="s">
        <v>526</v>
      </c>
      <c r="C3" s="50" t="str">
        <f>IFERROR(VLOOKUP(B3,'Product Master'!$A:$B,2,FALSE),"")</f>
        <v>Beef</v>
      </c>
      <c r="D3" s="50" t="s">
        <v>606</v>
      </c>
      <c r="E3" s="50">
        <v>5</v>
      </c>
      <c r="F3" s="58"/>
      <c r="G3" s="25"/>
      <c r="H3" s="25"/>
      <c r="I3" s="25"/>
      <c r="J3" s="153"/>
      <c r="K3" s="25"/>
      <c r="L3" s="25"/>
      <c r="M3" s="25"/>
      <c r="N3" s="25"/>
      <c r="O3" s="25"/>
      <c r="P3" s="25"/>
      <c r="Q3" s="25"/>
      <c r="R3" s="25"/>
      <c r="S3" s="25"/>
    </row>
    <row r="4" spans="1:19" ht="15" customHeight="1" x14ac:dyDescent="0.25">
      <c r="A4" s="155">
        <v>46237</v>
      </c>
      <c r="B4" s="50" t="s">
        <v>527</v>
      </c>
      <c r="C4" s="50" t="str">
        <f>IFERROR(VLOOKUP(B4,'Product Master'!$A:$B,2,FALSE),"")</f>
        <v>Shaki</v>
      </c>
      <c r="D4" s="50" t="s">
        <v>610</v>
      </c>
      <c r="E4" s="50">
        <v>2</v>
      </c>
      <c r="F4" s="58"/>
      <c r="G4" s="25"/>
      <c r="H4" s="25"/>
      <c r="I4" s="25"/>
      <c r="J4" s="153"/>
      <c r="K4" s="25"/>
      <c r="L4" s="25"/>
      <c r="M4" s="25"/>
      <c r="N4" s="25"/>
      <c r="O4" s="25"/>
      <c r="P4" s="25"/>
      <c r="Q4" s="25"/>
      <c r="R4" s="25"/>
      <c r="S4" s="25"/>
    </row>
    <row r="5" spans="1:19" ht="15" customHeight="1" x14ac:dyDescent="0.25">
      <c r="A5" s="155">
        <v>46238</v>
      </c>
      <c r="B5" s="50" t="s">
        <v>555</v>
      </c>
      <c r="C5" s="50" t="str">
        <f>IFERROR(VLOOKUP(B5,'Product Master'!$A:$B,2,FALSE),"")</f>
        <v>Meat Pie</v>
      </c>
      <c r="D5" s="50"/>
      <c r="E5" s="50"/>
      <c r="F5" s="58"/>
      <c r="G5" s="25"/>
      <c r="H5" s="25"/>
      <c r="I5" s="25"/>
      <c r="J5" s="25"/>
      <c r="K5" s="153"/>
      <c r="L5" s="25"/>
      <c r="M5" s="25"/>
      <c r="N5" s="25"/>
      <c r="O5" s="25"/>
      <c r="P5" s="25"/>
      <c r="Q5" s="25"/>
      <c r="R5" s="25"/>
      <c r="S5" s="25"/>
    </row>
    <row r="6" spans="1:19" ht="15" customHeight="1" x14ac:dyDescent="0.25">
      <c r="A6" s="155">
        <v>46239</v>
      </c>
      <c r="B6" s="50"/>
      <c r="C6" s="50" t="str">
        <f>IFERROR(VLOOKUP(B6,'Product Master'!$A:$B,2,FALSE),"")</f>
        <v/>
      </c>
      <c r="D6" s="50"/>
      <c r="E6" s="50"/>
      <c r="F6" s="58"/>
      <c r="G6" s="25"/>
      <c r="H6" s="25"/>
      <c r="I6" s="25"/>
      <c r="J6" s="25"/>
      <c r="K6" s="153"/>
      <c r="L6" s="25"/>
      <c r="M6" s="25"/>
      <c r="N6" s="25"/>
      <c r="O6" s="25"/>
      <c r="P6" s="25"/>
      <c r="Q6" s="25"/>
      <c r="R6" s="25"/>
      <c r="S6" s="25"/>
    </row>
    <row r="7" spans="1:19" ht="15" customHeight="1" x14ac:dyDescent="0.25">
      <c r="A7" s="155">
        <v>46240</v>
      </c>
      <c r="B7" s="50"/>
      <c r="C7" s="50" t="str">
        <f>IFERROR(VLOOKUP(B7,'Product Master'!$A:$B,2,FALSE),"")</f>
        <v/>
      </c>
      <c r="D7" s="50"/>
      <c r="E7" s="50"/>
      <c r="F7" s="58"/>
      <c r="G7" s="25"/>
      <c r="H7" s="25"/>
      <c r="I7" s="25"/>
      <c r="J7" s="25"/>
      <c r="K7" s="153"/>
      <c r="L7" s="25"/>
      <c r="M7" s="25"/>
      <c r="N7" s="25"/>
      <c r="O7" s="25"/>
      <c r="P7" s="25"/>
      <c r="Q7" s="25"/>
      <c r="R7" s="25"/>
      <c r="S7" s="25"/>
    </row>
    <row r="8" spans="1:19" x14ac:dyDescent="0.25">
      <c r="A8" s="155">
        <v>46241</v>
      </c>
      <c r="B8" s="50"/>
      <c r="C8" s="50" t="str">
        <f>IFERROR(VLOOKUP(B8,'Product Master'!$A:$B,2,FALSE),"")</f>
        <v/>
      </c>
      <c r="D8" s="50"/>
      <c r="E8" s="50"/>
      <c r="F8" s="58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spans="1:19" x14ac:dyDescent="0.25">
      <c r="A9" s="155">
        <v>46242</v>
      </c>
      <c r="B9" s="50"/>
      <c r="C9" s="50" t="str">
        <f>IFERROR(VLOOKUP(B9,'Product Master'!$A:$B,2,FALSE),"")</f>
        <v/>
      </c>
      <c r="D9" s="50"/>
      <c r="E9" s="50"/>
      <c r="F9" s="58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1:19" x14ac:dyDescent="0.25">
      <c r="A10" s="155">
        <v>46243</v>
      </c>
      <c r="B10" s="50"/>
      <c r="C10" s="50" t="str">
        <f>IFERROR(VLOOKUP(B10,'Product Master'!$A:$B,2,FALSE),"")</f>
        <v/>
      </c>
      <c r="D10" s="50"/>
      <c r="E10" s="50"/>
      <c r="F10" s="5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1:19" x14ac:dyDescent="0.25">
      <c r="A11" s="155">
        <v>46244</v>
      </c>
      <c r="B11" s="50"/>
      <c r="C11" s="50" t="str">
        <f>IFERROR(VLOOKUP(B11,'Product Master'!$A:$B,2,FALSE),"")</f>
        <v/>
      </c>
      <c r="D11" s="50"/>
      <c r="E11" s="50"/>
      <c r="F11" s="58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1:19" x14ac:dyDescent="0.25">
      <c r="A12" s="155">
        <v>46245</v>
      </c>
      <c r="B12" s="50"/>
      <c r="C12" s="50" t="str">
        <f>IFERROR(VLOOKUP(B12,'Product Master'!$A:$B,2,FALSE),"")</f>
        <v/>
      </c>
      <c r="D12" s="50"/>
      <c r="E12" s="50"/>
      <c r="F12" s="5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1:19" x14ac:dyDescent="0.25">
      <c r="A13" s="155">
        <v>46246</v>
      </c>
      <c r="B13" s="50"/>
      <c r="C13" s="50" t="str">
        <f>IFERROR(VLOOKUP(B13,'Product Master'!$A:$B,2,FALSE),"")</f>
        <v/>
      </c>
      <c r="D13" s="50"/>
      <c r="E13" s="50"/>
      <c r="F13" s="58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spans="1:19" x14ac:dyDescent="0.25">
      <c r="A14" s="155">
        <v>46247</v>
      </c>
      <c r="B14" s="50"/>
      <c r="C14" s="50" t="str">
        <f>IFERROR(VLOOKUP(B14,'Product Master'!$A:$B,2,FALSE),"")</f>
        <v/>
      </c>
      <c r="D14" s="50"/>
      <c r="E14" s="50"/>
      <c r="F14" s="58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spans="1:19" x14ac:dyDescent="0.25">
      <c r="A15" s="155">
        <v>46248</v>
      </c>
      <c r="B15" s="50"/>
      <c r="C15" s="50" t="str">
        <f>IFERROR(VLOOKUP(B15,'Product Master'!$A:$B,2,FALSE),"")</f>
        <v/>
      </c>
      <c r="D15" s="50"/>
      <c r="E15" s="50"/>
      <c r="F15" s="58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1:19" x14ac:dyDescent="0.25">
      <c r="A16" s="155">
        <v>46249</v>
      </c>
      <c r="B16" s="50"/>
      <c r="C16" s="50" t="str">
        <f>IFERROR(VLOOKUP(B16,'Product Master'!$A:$B,2,FALSE),"")</f>
        <v/>
      </c>
      <c r="D16" s="50"/>
      <c r="E16" s="50"/>
      <c r="F16" s="58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 spans="1:19" x14ac:dyDescent="0.25">
      <c r="A17" s="155">
        <v>46250</v>
      </c>
      <c r="B17" s="50"/>
      <c r="C17" s="50" t="str">
        <f>IFERROR(VLOOKUP(B17,'Product Master'!$A:$B,2,FALSE),"")</f>
        <v/>
      </c>
      <c r="D17" s="50"/>
      <c r="E17" s="50"/>
      <c r="F17" s="58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spans="1:19" x14ac:dyDescent="0.25">
      <c r="A18" s="155">
        <v>46251</v>
      </c>
      <c r="B18" s="50"/>
      <c r="C18" s="50" t="str">
        <f>IFERROR(VLOOKUP(B18,'Product Master'!$A:$B,2,FALSE),"")</f>
        <v/>
      </c>
      <c r="D18" s="50"/>
      <c r="E18" s="50"/>
      <c r="F18" s="5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x14ac:dyDescent="0.25">
      <c r="A19" s="155">
        <v>46252</v>
      </c>
      <c r="B19" s="50"/>
      <c r="C19" s="50" t="str">
        <f>IFERROR(VLOOKUP(B19,'Product Master'!$A:$B,2,FALSE),"")</f>
        <v/>
      </c>
      <c r="D19" s="50"/>
      <c r="E19" s="50"/>
      <c r="F19" s="58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x14ac:dyDescent="0.25">
      <c r="A20" s="155">
        <v>46253</v>
      </c>
      <c r="B20" s="50"/>
      <c r="C20" s="50" t="str">
        <f>IFERROR(VLOOKUP(B20,'Product Master'!$A:$B,2,FALSE),"")</f>
        <v/>
      </c>
      <c r="D20" s="50"/>
      <c r="E20" s="50"/>
      <c r="F20" s="5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spans="1:19" x14ac:dyDescent="0.25">
      <c r="A21" s="155">
        <v>46254</v>
      </c>
      <c r="B21" s="50"/>
      <c r="C21" s="50" t="str">
        <f>IFERROR(VLOOKUP(B21,'Product Master'!$A:$B,2,FALSE),"")</f>
        <v/>
      </c>
      <c r="D21" s="50"/>
      <c r="E21" s="50"/>
      <c r="F21" s="58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  <row r="22" spans="1:19" x14ac:dyDescent="0.25">
      <c r="A22" s="155">
        <v>46255</v>
      </c>
      <c r="B22" s="50"/>
      <c r="C22" s="50" t="str">
        <f>IFERROR(VLOOKUP(B22,'Product Master'!$A:$B,2,FALSE),"")</f>
        <v/>
      </c>
      <c r="D22" s="50"/>
      <c r="E22" s="50"/>
      <c r="F22" s="58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</row>
    <row r="23" spans="1:19" x14ac:dyDescent="0.25">
      <c r="A23" s="155">
        <v>46256</v>
      </c>
      <c r="B23" s="50"/>
      <c r="C23" s="50" t="str">
        <f>IFERROR(VLOOKUP(B23,'Product Master'!$A:$B,2,FALSE),"")</f>
        <v/>
      </c>
      <c r="D23" s="50"/>
      <c r="E23" s="50"/>
      <c r="F23" s="58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spans="1:19" x14ac:dyDescent="0.25">
      <c r="A24" s="155">
        <v>46257</v>
      </c>
      <c r="B24" s="50"/>
      <c r="C24" s="50" t="str">
        <f>IFERROR(VLOOKUP(B24,'Product Master'!$A:$B,2,FALSE),"")</f>
        <v/>
      </c>
      <c r="D24" s="50"/>
      <c r="E24" s="50"/>
      <c r="F24" s="58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spans="1:19" x14ac:dyDescent="0.25">
      <c r="A25" s="155">
        <v>46258</v>
      </c>
      <c r="B25" s="50"/>
      <c r="C25" s="50" t="str">
        <f>IFERROR(VLOOKUP(B25,'Product Master'!$A:$B,2,FALSE),"")</f>
        <v/>
      </c>
      <c r="D25" s="50"/>
      <c r="E25" s="50"/>
      <c r="F25" s="58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spans="1:19" x14ac:dyDescent="0.25">
      <c r="A26" s="155">
        <v>46259</v>
      </c>
      <c r="B26" s="50"/>
      <c r="C26" s="50" t="str">
        <f>IFERROR(VLOOKUP(B26,'Product Master'!$A:$B,2,FALSE),"")</f>
        <v/>
      </c>
      <c r="D26" s="50"/>
      <c r="E26" s="50"/>
      <c r="F26" s="5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1:19" x14ac:dyDescent="0.25">
      <c r="A27" s="155">
        <v>46260</v>
      </c>
      <c r="B27" s="50"/>
      <c r="C27" s="50" t="str">
        <f>IFERROR(VLOOKUP(B27,'Product Master'!$A:$B,2,FALSE),"")</f>
        <v/>
      </c>
      <c r="D27" s="50"/>
      <c r="E27" s="50"/>
      <c r="F27" s="58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19" x14ac:dyDescent="0.25">
      <c r="A28" s="155">
        <v>46261</v>
      </c>
      <c r="B28" s="50"/>
      <c r="C28" s="50" t="str">
        <f>IFERROR(VLOOKUP(B28,'Product Master'!$A:$B,2,FALSE),"")</f>
        <v/>
      </c>
      <c r="D28" s="50"/>
      <c r="E28" s="50"/>
      <c r="F28" s="5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spans="1:19" x14ac:dyDescent="0.25">
      <c r="A29" s="155">
        <v>46262</v>
      </c>
      <c r="B29" s="50"/>
      <c r="C29" s="50" t="str">
        <f>IFERROR(VLOOKUP(B29,'Product Master'!$A:$B,2,FALSE),"")</f>
        <v/>
      </c>
      <c r="D29" s="50"/>
      <c r="E29" s="50"/>
      <c r="F29" s="58"/>
      <c r="G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spans="1:19" x14ac:dyDescent="0.25">
      <c r="A30" s="155">
        <v>46263</v>
      </c>
      <c r="B30" s="50"/>
      <c r="C30" s="50" t="str">
        <f>IFERROR(VLOOKUP(B30,'Product Master'!$A:$B,2,FALSE),"")</f>
        <v/>
      </c>
      <c r="D30" s="50"/>
      <c r="E30" s="50"/>
      <c r="F30" s="58"/>
      <c r="G30" s="25"/>
      <c r="K30" s="25"/>
      <c r="L30" s="25"/>
      <c r="M30" s="25"/>
      <c r="N30" s="25"/>
      <c r="O30" s="25"/>
      <c r="P30" s="25"/>
      <c r="Q30" s="25"/>
      <c r="R30" s="25"/>
      <c r="S30" s="25"/>
    </row>
    <row r="31" spans="1:19" x14ac:dyDescent="0.25">
      <c r="A31" s="155">
        <v>46264</v>
      </c>
      <c r="B31" s="50"/>
      <c r="C31" s="50" t="str">
        <f>IFERROR(VLOOKUP(B31,'Product Master'!$A:$B,2,FALSE),"")</f>
        <v/>
      </c>
      <c r="D31" s="50"/>
      <c r="E31" s="50"/>
      <c r="F31" s="58"/>
      <c r="G31" s="25"/>
      <c r="K31" s="25"/>
      <c r="L31" s="25"/>
      <c r="M31" s="25"/>
      <c r="N31" s="25"/>
      <c r="O31" s="25"/>
      <c r="P31" s="25"/>
      <c r="Q31" s="25"/>
      <c r="R31" s="25"/>
      <c r="S31" s="25"/>
    </row>
    <row r="32" spans="1:19" x14ac:dyDescent="0.25">
      <c r="A32" s="163">
        <v>46265</v>
      </c>
      <c r="B32" s="50"/>
      <c r="C32" s="50" t="str">
        <f>IFERROR(VLOOKUP(B32,'Product Master'!$A:$B,2,FALSE),"")</f>
        <v/>
      </c>
      <c r="D32" s="50"/>
      <c r="E32" s="56"/>
      <c r="F32" s="162"/>
      <c r="G32" s="25"/>
      <c r="K32" s="25"/>
      <c r="L32" s="25"/>
      <c r="M32" s="25"/>
      <c r="N32" s="25"/>
      <c r="O32" s="25"/>
      <c r="P32" s="25"/>
      <c r="Q32" s="25"/>
      <c r="R32" s="25"/>
      <c r="S32" s="25"/>
    </row>
  </sheetData>
  <dataValidations count="2">
    <dataValidation type="list" allowBlank="1" showInputMessage="1" showErrorMessage="1" sqref="B2:B32" xr:uid="{00000000-0002-0000-0600-000000000000}">
      <formula1>ProductID</formula1>
    </dataValidation>
    <dataValidation type="list" allowBlank="1" showInputMessage="1" showErrorMessage="1" sqref="D2:D32" xr:uid="{00000000-0002-0000-0600-000001000000}">
      <formula1>AdjustmentTypes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0000"/>
  </sheetPr>
  <dimension ref="A1:R35"/>
  <sheetViews>
    <sheetView showGridLines="0" showRowColHeaders="0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7.28515625" bestFit="1" customWidth="1"/>
    <col min="2" max="2" width="10.7109375" bestFit="1" customWidth="1"/>
    <col min="3" max="3" width="25.28515625" bestFit="1" customWidth="1"/>
    <col min="4" max="4" width="38.140625" bestFit="1" customWidth="1"/>
    <col min="5" max="5" width="12.7109375" bestFit="1" customWidth="1"/>
    <col min="6" max="6" width="23.5703125" bestFit="1" customWidth="1"/>
  </cols>
  <sheetData>
    <row r="1" spans="1:18" s="12" customFormat="1" ht="23.1" customHeight="1" x14ac:dyDescent="0.3">
      <c r="A1" s="59" t="s">
        <v>124</v>
      </c>
      <c r="B1" s="60" t="s">
        <v>95</v>
      </c>
      <c r="C1" s="60" t="s">
        <v>125</v>
      </c>
      <c r="D1" s="60" t="s">
        <v>126</v>
      </c>
      <c r="E1" s="60" t="s">
        <v>121</v>
      </c>
      <c r="F1" s="61" t="s">
        <v>127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x14ac:dyDescent="0.25">
      <c r="A2" s="71" t="s">
        <v>128</v>
      </c>
      <c r="B2" s="72">
        <v>46204</v>
      </c>
      <c r="C2" s="50" t="s">
        <v>130</v>
      </c>
      <c r="D2" s="50" t="s">
        <v>536</v>
      </c>
      <c r="E2" s="73">
        <v>2500</v>
      </c>
      <c r="F2" s="58" t="s">
        <v>129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25">
      <c r="A3" s="71" t="s">
        <v>137</v>
      </c>
      <c r="B3" s="72">
        <v>46205</v>
      </c>
      <c r="C3" s="50" t="s">
        <v>131</v>
      </c>
      <c r="D3" s="50" t="s">
        <v>550</v>
      </c>
      <c r="E3" s="73">
        <v>30000</v>
      </c>
      <c r="F3" s="58" t="s">
        <v>168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25">
      <c r="A4" s="71" t="s">
        <v>138</v>
      </c>
      <c r="B4" s="72">
        <v>46206</v>
      </c>
      <c r="C4" s="50" t="s">
        <v>133</v>
      </c>
      <c r="D4" s="50" t="s">
        <v>1574</v>
      </c>
      <c r="E4" s="73">
        <v>10000</v>
      </c>
      <c r="F4" s="58" t="s">
        <v>168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71" t="s">
        <v>139</v>
      </c>
      <c r="B5" s="72">
        <v>46207</v>
      </c>
      <c r="C5" s="50"/>
      <c r="D5" s="50"/>
      <c r="E5" s="73"/>
      <c r="F5" s="58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x14ac:dyDescent="0.25">
      <c r="A6" s="71" t="s">
        <v>140</v>
      </c>
      <c r="B6" s="72">
        <v>46208</v>
      </c>
      <c r="C6" s="50"/>
      <c r="D6" s="50"/>
      <c r="E6" s="73"/>
      <c r="F6" s="58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5">
      <c r="A7" s="71" t="s">
        <v>141</v>
      </c>
      <c r="B7" s="72">
        <v>46209</v>
      </c>
      <c r="C7" s="50"/>
      <c r="D7" s="50"/>
      <c r="E7" s="73"/>
      <c r="F7" s="58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x14ac:dyDescent="0.25">
      <c r="A8" s="71" t="s">
        <v>142</v>
      </c>
      <c r="B8" s="72">
        <v>46210</v>
      </c>
      <c r="C8" s="50"/>
      <c r="D8" s="50"/>
      <c r="E8" s="73"/>
      <c r="F8" s="58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x14ac:dyDescent="0.25">
      <c r="A9" s="71" t="s">
        <v>143</v>
      </c>
      <c r="B9" s="72">
        <v>46211</v>
      </c>
      <c r="C9" s="50"/>
      <c r="D9" s="50"/>
      <c r="E9" s="73"/>
      <c r="F9" s="58"/>
      <c r="G9" s="25"/>
      <c r="H9" s="25"/>
      <c r="I9" s="29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25">
      <c r="A10" s="71" t="s">
        <v>144</v>
      </c>
      <c r="B10" s="72">
        <v>46212</v>
      </c>
      <c r="C10" s="50"/>
      <c r="D10" s="50"/>
      <c r="E10" s="73"/>
      <c r="F10" s="5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x14ac:dyDescent="0.25">
      <c r="A11" s="71" t="s">
        <v>145</v>
      </c>
      <c r="B11" s="72">
        <v>46213</v>
      </c>
      <c r="C11" s="50"/>
      <c r="D11" s="50"/>
      <c r="E11" s="73"/>
      <c r="F11" s="58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x14ac:dyDescent="0.25">
      <c r="A12" s="71" t="s">
        <v>146</v>
      </c>
      <c r="B12" s="72">
        <v>46214</v>
      </c>
      <c r="C12" s="50"/>
      <c r="D12" s="50"/>
      <c r="E12" s="73"/>
      <c r="F12" s="5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x14ac:dyDescent="0.25">
      <c r="A13" s="71" t="s">
        <v>147</v>
      </c>
      <c r="B13" s="72">
        <v>46215</v>
      </c>
      <c r="C13" s="50"/>
      <c r="D13" s="50"/>
      <c r="E13" s="73"/>
      <c r="F13" s="58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x14ac:dyDescent="0.25">
      <c r="A14" s="71" t="s">
        <v>148</v>
      </c>
      <c r="B14" s="72">
        <v>46216</v>
      </c>
      <c r="C14" s="50"/>
      <c r="D14" s="50"/>
      <c r="E14" s="73"/>
      <c r="F14" s="58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x14ac:dyDescent="0.25">
      <c r="A15" s="71" t="s">
        <v>149</v>
      </c>
      <c r="B15" s="72">
        <v>46217</v>
      </c>
      <c r="C15" s="50"/>
      <c r="D15" s="50"/>
      <c r="E15" s="73"/>
      <c r="F15" s="58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x14ac:dyDescent="0.25">
      <c r="A16" s="71" t="s">
        <v>150</v>
      </c>
      <c r="B16" s="72">
        <v>46218</v>
      </c>
      <c r="C16" s="50"/>
      <c r="D16" s="50"/>
      <c r="E16" s="73"/>
      <c r="F16" s="58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x14ac:dyDescent="0.25">
      <c r="A17" s="71" t="s">
        <v>151</v>
      </c>
      <c r="B17" s="72">
        <v>46219</v>
      </c>
      <c r="C17" s="50"/>
      <c r="D17" s="50"/>
      <c r="E17" s="73"/>
      <c r="F17" s="58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x14ac:dyDescent="0.25">
      <c r="A18" s="71" t="s">
        <v>152</v>
      </c>
      <c r="B18" s="72">
        <v>46220</v>
      </c>
      <c r="C18" s="50"/>
      <c r="D18" s="50"/>
      <c r="E18" s="73"/>
      <c r="F18" s="5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x14ac:dyDescent="0.25">
      <c r="A19" s="71" t="s">
        <v>153</v>
      </c>
      <c r="B19" s="72">
        <v>46221</v>
      </c>
      <c r="C19" s="50"/>
      <c r="D19" s="50"/>
      <c r="E19" s="73"/>
      <c r="F19" s="58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x14ac:dyDescent="0.25">
      <c r="A20" s="71" t="s">
        <v>154</v>
      </c>
      <c r="B20" s="72">
        <v>46222</v>
      </c>
      <c r="C20" s="50"/>
      <c r="D20" s="50"/>
      <c r="E20" s="73"/>
      <c r="F20" s="5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x14ac:dyDescent="0.25">
      <c r="A21" s="71" t="s">
        <v>155</v>
      </c>
      <c r="B21" s="72">
        <v>46223</v>
      </c>
      <c r="C21" s="50"/>
      <c r="D21" s="50"/>
      <c r="E21" s="73"/>
      <c r="F21" s="58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x14ac:dyDescent="0.25">
      <c r="A22" s="71" t="s">
        <v>156</v>
      </c>
      <c r="B22" s="72">
        <v>46224</v>
      </c>
      <c r="C22" s="50"/>
      <c r="D22" s="50"/>
      <c r="E22" s="73"/>
      <c r="F22" s="58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x14ac:dyDescent="0.25">
      <c r="A23" s="71" t="s">
        <v>157</v>
      </c>
      <c r="B23" s="72">
        <v>46225</v>
      </c>
      <c r="C23" s="50"/>
      <c r="D23" s="50"/>
      <c r="E23" s="73"/>
      <c r="F23" s="58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x14ac:dyDescent="0.25">
      <c r="A24" s="71" t="s">
        <v>158</v>
      </c>
      <c r="B24" s="72">
        <v>46226</v>
      </c>
      <c r="C24" s="50"/>
      <c r="D24" s="50"/>
      <c r="E24" s="73"/>
      <c r="F24" s="58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x14ac:dyDescent="0.25">
      <c r="A25" s="71" t="s">
        <v>159</v>
      </c>
      <c r="B25" s="72">
        <v>46227</v>
      </c>
      <c r="C25" s="50"/>
      <c r="D25" s="50"/>
      <c r="E25" s="73"/>
      <c r="F25" s="58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x14ac:dyDescent="0.25">
      <c r="A26" s="71" t="s">
        <v>160</v>
      </c>
      <c r="B26" s="72">
        <v>46228</v>
      </c>
      <c r="C26" s="50"/>
      <c r="D26" s="50"/>
      <c r="E26" s="73"/>
      <c r="F26" s="5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x14ac:dyDescent="0.25">
      <c r="A27" s="71" t="s">
        <v>161</v>
      </c>
      <c r="B27" s="72">
        <v>46229</v>
      </c>
      <c r="C27" s="50"/>
      <c r="D27" s="50"/>
      <c r="E27" s="73"/>
      <c r="F27" s="58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x14ac:dyDescent="0.25">
      <c r="A28" s="71" t="s">
        <v>162</v>
      </c>
      <c r="B28" s="72">
        <v>46230</v>
      </c>
      <c r="C28" s="50"/>
      <c r="D28" s="50"/>
      <c r="E28" s="73"/>
      <c r="F28" s="5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x14ac:dyDescent="0.25">
      <c r="A29" s="71" t="s">
        <v>163</v>
      </c>
      <c r="B29" s="72">
        <v>46231</v>
      </c>
      <c r="C29" s="50"/>
      <c r="D29" s="50"/>
      <c r="E29" s="73"/>
      <c r="F29" s="58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x14ac:dyDescent="0.25">
      <c r="A30" s="71" t="s">
        <v>164</v>
      </c>
      <c r="B30" s="72">
        <v>46232</v>
      </c>
      <c r="C30" s="50"/>
      <c r="D30" s="50"/>
      <c r="E30" s="73"/>
      <c r="F30" s="5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x14ac:dyDescent="0.25">
      <c r="A31" s="71" t="s">
        <v>165</v>
      </c>
      <c r="B31" s="72">
        <v>46233</v>
      </c>
      <c r="C31" s="50"/>
      <c r="D31" s="50"/>
      <c r="E31" s="73"/>
      <c r="F31" s="58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x14ac:dyDescent="0.25">
      <c r="A32" s="74" t="s">
        <v>166</v>
      </c>
      <c r="B32" s="75">
        <v>46234</v>
      </c>
      <c r="C32" s="50"/>
      <c r="D32" s="56"/>
      <c r="E32" s="73"/>
      <c r="F32" s="5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</sheetData>
  <dataValidations count="2">
    <dataValidation type="list" allowBlank="1" showInputMessage="1" showErrorMessage="1" sqref="C2:C32" xr:uid="{00000000-0002-0000-0700-000000000000}">
      <formula1>ExpensesCategoryList</formula1>
    </dataValidation>
    <dataValidation type="list" allowBlank="1" showInputMessage="1" showErrorMessage="1" sqref="F2:F32" xr:uid="{00000000-0002-0000-0700-000001000000}">
      <formula1>PaymentMethodList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7030A0"/>
  </sheetPr>
  <dimension ref="A1:V200"/>
  <sheetViews>
    <sheetView showGridLines="0" showRowColHeaders="0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4.7109375" bestFit="1" customWidth="1"/>
    <col min="2" max="2" width="22.7109375" bestFit="1" customWidth="1"/>
    <col min="3" max="3" width="21.7109375" bestFit="1" customWidth="1"/>
    <col min="4" max="4" width="20.85546875" bestFit="1" customWidth="1"/>
    <col min="5" max="5" width="13.42578125" bestFit="1" customWidth="1"/>
    <col min="6" max="6" width="13.85546875" bestFit="1" customWidth="1"/>
  </cols>
  <sheetData>
    <row r="1" spans="1:22" s="13" customFormat="1" ht="23.1" customHeight="1" x14ac:dyDescent="0.3">
      <c r="A1" s="64" t="s">
        <v>180</v>
      </c>
      <c r="B1" s="47" t="s">
        <v>169</v>
      </c>
      <c r="C1" s="47" t="s">
        <v>170</v>
      </c>
      <c r="D1" s="47" t="s">
        <v>171</v>
      </c>
      <c r="E1" s="47" t="s">
        <v>172</v>
      </c>
      <c r="F1" s="49" t="s">
        <v>7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x14ac:dyDescent="0.25">
      <c r="A2" s="71" t="s">
        <v>181</v>
      </c>
      <c r="B2" s="50" t="s">
        <v>131</v>
      </c>
      <c r="C2" s="78">
        <v>100000</v>
      </c>
      <c r="D2" s="79">
        <f>SUMIF(Expenses!$C:$C,B2,Expenses!$E:$E)</f>
        <v>30000</v>
      </c>
      <c r="E2" s="79">
        <f t="shared" ref="E2:E65" si="0">C2-D2</f>
        <v>70000</v>
      </c>
      <c r="F2" s="62" t="str">
        <f t="shared" ref="F2:F65" si="1">IF(E2&gt;=0,"Within Budget","Over Budget")</f>
        <v>Within Budget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x14ac:dyDescent="0.25">
      <c r="A3" s="71" t="s">
        <v>182</v>
      </c>
      <c r="B3" s="50" t="s">
        <v>133</v>
      </c>
      <c r="C3" s="78">
        <v>10000</v>
      </c>
      <c r="D3" s="79">
        <f>SUMIF(Expenses!$C:$C,B3,Expenses!$E:$E)</f>
        <v>10000</v>
      </c>
      <c r="E3" s="79">
        <f t="shared" si="0"/>
        <v>0</v>
      </c>
      <c r="F3" s="62" t="str">
        <f t="shared" si="1"/>
        <v>Within Budget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x14ac:dyDescent="0.25">
      <c r="A4" s="71" t="s">
        <v>183</v>
      </c>
      <c r="B4" s="50"/>
      <c r="C4" s="78"/>
      <c r="D4" s="79">
        <f>SUMIF(Expenses!$C:$C,B4,Expenses!$E:$E)</f>
        <v>0</v>
      </c>
      <c r="E4" s="79">
        <f t="shared" si="0"/>
        <v>0</v>
      </c>
      <c r="F4" s="62" t="str">
        <f t="shared" si="1"/>
        <v>Within Budget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71" t="s">
        <v>184</v>
      </c>
      <c r="B5" s="50"/>
      <c r="C5" s="78"/>
      <c r="D5" s="79">
        <f>SUMIF(Expenses!$C:$C,B5,Expenses!$E:$E)</f>
        <v>0</v>
      </c>
      <c r="E5" s="79">
        <f t="shared" si="0"/>
        <v>0</v>
      </c>
      <c r="F5" s="62" t="str">
        <f t="shared" si="1"/>
        <v>Within Budget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spans="1:22" x14ac:dyDescent="0.25">
      <c r="A6" s="71" t="s">
        <v>185</v>
      </c>
      <c r="B6" s="50"/>
      <c r="C6" s="78"/>
      <c r="D6" s="79">
        <f>SUMIF(Expenses!$C:$C,B6,Expenses!$E:$E)</f>
        <v>0</v>
      </c>
      <c r="E6" s="79">
        <f t="shared" si="0"/>
        <v>0</v>
      </c>
      <c r="F6" s="62" t="str">
        <f t="shared" si="1"/>
        <v>Within Budget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71" t="s">
        <v>186</v>
      </c>
      <c r="B7" s="50"/>
      <c r="C7" s="78"/>
      <c r="D7" s="79">
        <f>SUMIF(Expenses!$C:$C,B7,Expenses!$E:$E)</f>
        <v>0</v>
      </c>
      <c r="E7" s="79">
        <f t="shared" si="0"/>
        <v>0</v>
      </c>
      <c r="F7" s="62" t="str">
        <f t="shared" si="1"/>
        <v>Within Budget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x14ac:dyDescent="0.25">
      <c r="A8" s="71" t="s">
        <v>187</v>
      </c>
      <c r="B8" s="50"/>
      <c r="C8" s="78"/>
      <c r="D8" s="79">
        <f>SUMIF(Expenses!$C:$C,B8,Expenses!$E:$E)</f>
        <v>0</v>
      </c>
      <c r="E8" s="79">
        <f t="shared" si="0"/>
        <v>0</v>
      </c>
      <c r="F8" s="62" t="str">
        <f t="shared" si="1"/>
        <v>Within Budget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x14ac:dyDescent="0.25">
      <c r="A9" s="71" t="s">
        <v>188</v>
      </c>
      <c r="B9" s="50"/>
      <c r="C9" s="78"/>
      <c r="D9" s="79">
        <f>SUMIF(Expenses!$C:$C,B9,Expenses!$E:$E)</f>
        <v>0</v>
      </c>
      <c r="E9" s="79">
        <f t="shared" si="0"/>
        <v>0</v>
      </c>
      <c r="F9" s="62" t="str">
        <f t="shared" si="1"/>
        <v>Within Budget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x14ac:dyDescent="0.25">
      <c r="A10" s="71" t="s">
        <v>189</v>
      </c>
      <c r="B10" s="50"/>
      <c r="C10" s="78"/>
      <c r="D10" s="79">
        <f>SUMIF(Expenses!$C:$C,B10,Expenses!$E:$E)</f>
        <v>0</v>
      </c>
      <c r="E10" s="79">
        <f t="shared" si="0"/>
        <v>0</v>
      </c>
      <c r="F10" s="62" t="str">
        <f t="shared" si="1"/>
        <v>Within Budget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 x14ac:dyDescent="0.25">
      <c r="A11" s="71" t="s">
        <v>190</v>
      </c>
      <c r="B11" s="50"/>
      <c r="C11" s="78"/>
      <c r="D11" s="79">
        <f>SUMIF(Expenses!$C:$C,B11,Expenses!$E:$E)</f>
        <v>0</v>
      </c>
      <c r="E11" s="79">
        <f t="shared" si="0"/>
        <v>0</v>
      </c>
      <c r="F11" s="62" t="str">
        <f t="shared" si="1"/>
        <v>Within Budget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 x14ac:dyDescent="0.25">
      <c r="A12" s="71" t="s">
        <v>191</v>
      </c>
      <c r="B12" s="50"/>
      <c r="C12" s="78"/>
      <c r="D12" s="79">
        <f>SUMIF(Expenses!$C:$C,B12,Expenses!$E:$E)</f>
        <v>0</v>
      </c>
      <c r="E12" s="79">
        <f t="shared" si="0"/>
        <v>0</v>
      </c>
      <c r="F12" s="62" t="str">
        <f t="shared" si="1"/>
        <v>Within Budget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 x14ac:dyDescent="0.25">
      <c r="A13" s="71" t="s">
        <v>192</v>
      </c>
      <c r="B13" s="50"/>
      <c r="C13" s="78"/>
      <c r="D13" s="79">
        <f>SUMIF(Expenses!$C:$C,B13,Expenses!$E:$E)</f>
        <v>0</v>
      </c>
      <c r="E13" s="79">
        <f t="shared" si="0"/>
        <v>0</v>
      </c>
      <c r="F13" s="62" t="str">
        <f t="shared" si="1"/>
        <v>Within Budget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 x14ac:dyDescent="0.25">
      <c r="A14" s="71" t="s">
        <v>193</v>
      </c>
      <c r="B14" s="50"/>
      <c r="C14" s="78"/>
      <c r="D14" s="79">
        <f>SUMIF(Expenses!$C:$C,B14,Expenses!$E:$E)</f>
        <v>0</v>
      </c>
      <c r="E14" s="79">
        <f t="shared" si="0"/>
        <v>0</v>
      </c>
      <c r="F14" s="62" t="str">
        <f t="shared" si="1"/>
        <v>Within Budget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x14ac:dyDescent="0.25">
      <c r="A15" s="71" t="s">
        <v>194</v>
      </c>
      <c r="B15" s="50"/>
      <c r="C15" s="78"/>
      <c r="D15" s="79">
        <f>SUMIF(Expenses!$C:$C,B15,Expenses!$E:$E)</f>
        <v>0</v>
      </c>
      <c r="E15" s="79">
        <f t="shared" si="0"/>
        <v>0</v>
      </c>
      <c r="F15" s="62" t="str">
        <f>IF(E15&gt;=0,"Within Budget","Over Budget")</f>
        <v>Within Budget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x14ac:dyDescent="0.25">
      <c r="A16" s="71" t="s">
        <v>195</v>
      </c>
      <c r="B16" s="50"/>
      <c r="C16" s="78"/>
      <c r="D16" s="79">
        <f>SUMIF(Expenses!$C:$C,B16,Expenses!$E:$E)</f>
        <v>0</v>
      </c>
      <c r="E16" s="79">
        <f t="shared" si="0"/>
        <v>0</v>
      </c>
      <c r="F16" s="62" t="str">
        <f t="shared" si="1"/>
        <v>Within Budget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 x14ac:dyDescent="0.25">
      <c r="A17" s="71" t="s">
        <v>196</v>
      </c>
      <c r="B17" s="50"/>
      <c r="C17" s="78"/>
      <c r="D17" s="79">
        <f>SUMIF(Expenses!$C:$C,B17,Expenses!$E:$E)</f>
        <v>0</v>
      </c>
      <c r="E17" s="79">
        <f t="shared" si="0"/>
        <v>0</v>
      </c>
      <c r="F17" s="62" t="str">
        <f t="shared" si="1"/>
        <v>Within Budget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x14ac:dyDescent="0.25">
      <c r="A18" s="71" t="s">
        <v>197</v>
      </c>
      <c r="B18" s="50"/>
      <c r="C18" s="78"/>
      <c r="D18" s="79">
        <f>SUMIF(Expenses!$C:$C,B18,Expenses!$E:$E)</f>
        <v>0</v>
      </c>
      <c r="E18" s="79">
        <f t="shared" si="0"/>
        <v>0</v>
      </c>
      <c r="F18" s="62" t="str">
        <f t="shared" si="1"/>
        <v>Within Budget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x14ac:dyDescent="0.25">
      <c r="A19" s="71" t="s">
        <v>198</v>
      </c>
      <c r="B19" s="50"/>
      <c r="C19" s="78"/>
      <c r="D19" s="79">
        <f>SUMIF(Expenses!$C:$C,B19,Expenses!$E:$E)</f>
        <v>0</v>
      </c>
      <c r="E19" s="79">
        <f t="shared" si="0"/>
        <v>0</v>
      </c>
      <c r="F19" s="62" t="str">
        <f t="shared" si="1"/>
        <v>Within Budget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x14ac:dyDescent="0.25">
      <c r="A20" s="71" t="s">
        <v>199</v>
      </c>
      <c r="B20" s="50"/>
      <c r="C20" s="78"/>
      <c r="D20" s="79">
        <f>SUMIF(Expenses!$C:$C,B20,Expenses!$E:$E)</f>
        <v>0</v>
      </c>
      <c r="E20" s="79">
        <f t="shared" si="0"/>
        <v>0</v>
      </c>
      <c r="F20" s="62" t="str">
        <f t="shared" si="1"/>
        <v>Within Budget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x14ac:dyDescent="0.25">
      <c r="A21" s="71" t="s">
        <v>200</v>
      </c>
      <c r="B21" s="50"/>
      <c r="C21" s="78"/>
      <c r="D21" s="79">
        <f>SUMIF(Expenses!$C:$C,B21,Expenses!$E:$E)</f>
        <v>0</v>
      </c>
      <c r="E21" s="79">
        <f t="shared" si="0"/>
        <v>0</v>
      </c>
      <c r="F21" s="62" t="str">
        <f t="shared" si="1"/>
        <v>Within Budget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x14ac:dyDescent="0.25">
      <c r="A22" s="71" t="s">
        <v>201</v>
      </c>
      <c r="B22" s="50"/>
      <c r="C22" s="78"/>
      <c r="D22" s="79">
        <f>SUMIF(Expenses!$C:$C,B22,Expenses!$E:$E)</f>
        <v>0</v>
      </c>
      <c r="E22" s="79">
        <f t="shared" si="0"/>
        <v>0</v>
      </c>
      <c r="F22" s="62" t="str">
        <f t="shared" si="1"/>
        <v>Within Budget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x14ac:dyDescent="0.25">
      <c r="A23" s="71" t="s">
        <v>202</v>
      </c>
      <c r="B23" s="50"/>
      <c r="C23" s="78"/>
      <c r="D23" s="79">
        <f>SUMIF(Expenses!$C:$C,B23,Expenses!$E:$E)</f>
        <v>0</v>
      </c>
      <c r="E23" s="79">
        <f t="shared" si="0"/>
        <v>0</v>
      </c>
      <c r="F23" s="62" t="str">
        <f t="shared" si="1"/>
        <v>Within Budget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x14ac:dyDescent="0.25">
      <c r="A24" s="71" t="s">
        <v>203</v>
      </c>
      <c r="B24" s="50"/>
      <c r="C24" s="78"/>
      <c r="D24" s="79">
        <f>SUMIF(Expenses!$C:$C,B24,Expenses!$E:$E)</f>
        <v>0</v>
      </c>
      <c r="E24" s="79">
        <f t="shared" si="0"/>
        <v>0</v>
      </c>
      <c r="F24" s="62" t="str">
        <f t="shared" si="1"/>
        <v>Within Budget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x14ac:dyDescent="0.25">
      <c r="A25" s="71" t="s">
        <v>204</v>
      </c>
      <c r="B25" s="50"/>
      <c r="C25" s="78"/>
      <c r="D25" s="79">
        <f>SUMIF(Expenses!$C:$C,B25,Expenses!$E:$E)</f>
        <v>0</v>
      </c>
      <c r="E25" s="79">
        <f t="shared" si="0"/>
        <v>0</v>
      </c>
      <c r="F25" s="62" t="str">
        <f t="shared" si="1"/>
        <v>Within Budget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x14ac:dyDescent="0.25">
      <c r="A26" s="71" t="s">
        <v>205</v>
      </c>
      <c r="B26" s="50"/>
      <c r="C26" s="78"/>
      <c r="D26" s="79">
        <f>SUMIF(Expenses!$C:$C,B26,Expenses!$E:$E)</f>
        <v>0</v>
      </c>
      <c r="E26" s="79">
        <f t="shared" si="0"/>
        <v>0</v>
      </c>
      <c r="F26" s="62" t="str">
        <f t="shared" si="1"/>
        <v>Within Budget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x14ac:dyDescent="0.25">
      <c r="A27" s="71" t="s">
        <v>206</v>
      </c>
      <c r="B27" s="50"/>
      <c r="C27" s="78"/>
      <c r="D27" s="79">
        <f>SUMIF(Expenses!$C:$C,B27,Expenses!$E:$E)</f>
        <v>0</v>
      </c>
      <c r="E27" s="79">
        <f t="shared" si="0"/>
        <v>0</v>
      </c>
      <c r="F27" s="62" t="str">
        <f t="shared" si="1"/>
        <v>Within Budget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x14ac:dyDescent="0.25">
      <c r="A28" s="71" t="s">
        <v>207</v>
      </c>
      <c r="B28" s="50"/>
      <c r="C28" s="78"/>
      <c r="D28" s="79">
        <f>SUMIF(Expenses!$C:$C,B28,Expenses!$E:$E)</f>
        <v>0</v>
      </c>
      <c r="E28" s="79">
        <f t="shared" si="0"/>
        <v>0</v>
      </c>
      <c r="F28" s="62" t="str">
        <f t="shared" si="1"/>
        <v>Within Budget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x14ac:dyDescent="0.25">
      <c r="A29" s="71" t="s">
        <v>208</v>
      </c>
      <c r="B29" s="50"/>
      <c r="C29" s="78"/>
      <c r="D29" s="79">
        <f>SUMIF(Expenses!$C:$C,B29,Expenses!$E:$E)</f>
        <v>0</v>
      </c>
      <c r="E29" s="79">
        <f t="shared" si="0"/>
        <v>0</v>
      </c>
      <c r="F29" s="62" t="str">
        <f t="shared" si="1"/>
        <v>Within Budget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x14ac:dyDescent="0.25">
      <c r="A30" s="71" t="s">
        <v>209</v>
      </c>
      <c r="B30" s="50"/>
      <c r="C30" s="78"/>
      <c r="D30" s="79">
        <f>SUMIF(Expenses!$C:$C,B30,Expenses!$E:$E)</f>
        <v>0</v>
      </c>
      <c r="E30" s="79">
        <f t="shared" si="0"/>
        <v>0</v>
      </c>
      <c r="F30" s="62" t="str">
        <f t="shared" si="1"/>
        <v>Within Budget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x14ac:dyDescent="0.25">
      <c r="A31" s="71" t="s">
        <v>210</v>
      </c>
      <c r="B31" s="50"/>
      <c r="C31" s="78"/>
      <c r="D31" s="79">
        <f>SUMIF(Expenses!$C:$C,B31,Expenses!$E:$E)</f>
        <v>0</v>
      </c>
      <c r="E31" s="79">
        <f t="shared" si="0"/>
        <v>0</v>
      </c>
      <c r="F31" s="62" t="str">
        <f t="shared" si="1"/>
        <v>Within Budget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x14ac:dyDescent="0.25">
      <c r="A32" s="71" t="s">
        <v>211</v>
      </c>
      <c r="B32" s="50"/>
      <c r="C32" s="78"/>
      <c r="D32" s="79">
        <f>SUMIF(Expenses!$C:$C,B32,Expenses!$E:$E)</f>
        <v>0</v>
      </c>
      <c r="E32" s="79">
        <f t="shared" si="0"/>
        <v>0</v>
      </c>
      <c r="F32" s="62" t="str">
        <f t="shared" si="1"/>
        <v>Within Budget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x14ac:dyDescent="0.25">
      <c r="A33" s="71" t="s">
        <v>212</v>
      </c>
      <c r="B33" s="50"/>
      <c r="C33" s="78"/>
      <c r="D33" s="79">
        <f>SUMIF(Expenses!$C:$C,B33,Expenses!$E:$E)</f>
        <v>0</v>
      </c>
      <c r="E33" s="79">
        <f t="shared" si="0"/>
        <v>0</v>
      </c>
      <c r="F33" s="62" t="str">
        <f t="shared" si="1"/>
        <v>Within Budget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x14ac:dyDescent="0.25">
      <c r="A34" s="71" t="s">
        <v>213</v>
      </c>
      <c r="B34" s="50"/>
      <c r="C34" s="78"/>
      <c r="D34" s="79">
        <f>SUMIF(Expenses!$C:$C,B34,Expenses!$E:$E)</f>
        <v>0</v>
      </c>
      <c r="E34" s="79">
        <f t="shared" si="0"/>
        <v>0</v>
      </c>
      <c r="F34" s="62" t="str">
        <f t="shared" si="1"/>
        <v>Within Budget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x14ac:dyDescent="0.25">
      <c r="A35" s="71" t="s">
        <v>214</v>
      </c>
      <c r="B35" s="50"/>
      <c r="C35" s="78"/>
      <c r="D35" s="79">
        <f>SUMIF(Expenses!$C:$C,B35,Expenses!$E:$E)</f>
        <v>0</v>
      </c>
      <c r="E35" s="79">
        <f t="shared" si="0"/>
        <v>0</v>
      </c>
      <c r="F35" s="62" t="str">
        <f t="shared" si="1"/>
        <v>Within Budget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x14ac:dyDescent="0.25">
      <c r="A36" s="71" t="s">
        <v>215</v>
      </c>
      <c r="B36" s="50"/>
      <c r="C36" s="78"/>
      <c r="D36" s="79">
        <f>SUMIF(Expenses!$C:$C,B36,Expenses!$E:$E)</f>
        <v>0</v>
      </c>
      <c r="E36" s="79">
        <f t="shared" si="0"/>
        <v>0</v>
      </c>
      <c r="F36" s="62" t="str">
        <f t="shared" si="1"/>
        <v>Within Budget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x14ac:dyDescent="0.25">
      <c r="A37" s="71" t="s">
        <v>216</v>
      </c>
      <c r="B37" s="50"/>
      <c r="C37" s="78"/>
      <c r="D37" s="79">
        <f>SUMIF(Expenses!$C:$C,B37,Expenses!$E:$E)</f>
        <v>0</v>
      </c>
      <c r="E37" s="79">
        <f t="shared" si="0"/>
        <v>0</v>
      </c>
      <c r="F37" s="62" t="str">
        <f t="shared" si="1"/>
        <v>Within Budget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x14ac:dyDescent="0.25">
      <c r="A38" s="71" t="s">
        <v>217</v>
      </c>
      <c r="B38" s="50"/>
      <c r="C38" s="78"/>
      <c r="D38" s="79">
        <f>SUMIF(Expenses!$C:$C,B38,Expenses!$E:$E)</f>
        <v>0</v>
      </c>
      <c r="E38" s="79">
        <f t="shared" si="0"/>
        <v>0</v>
      </c>
      <c r="F38" s="62" t="str">
        <f t="shared" si="1"/>
        <v>Within Budget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x14ac:dyDescent="0.25">
      <c r="A39" s="71" t="s">
        <v>218</v>
      </c>
      <c r="B39" s="50"/>
      <c r="C39" s="78"/>
      <c r="D39" s="79">
        <f>SUMIF(Expenses!$C:$C,B39,Expenses!$E:$E)</f>
        <v>0</v>
      </c>
      <c r="E39" s="79">
        <f t="shared" si="0"/>
        <v>0</v>
      </c>
      <c r="F39" s="62" t="str">
        <f t="shared" si="1"/>
        <v>Within Budget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x14ac:dyDescent="0.25">
      <c r="A40" s="71" t="s">
        <v>219</v>
      </c>
      <c r="B40" s="50"/>
      <c r="C40" s="78"/>
      <c r="D40" s="79">
        <f>SUMIF(Expenses!$C:$C,B40,Expenses!$E:$E)</f>
        <v>0</v>
      </c>
      <c r="E40" s="79">
        <f t="shared" si="0"/>
        <v>0</v>
      </c>
      <c r="F40" s="62" t="str">
        <f t="shared" si="1"/>
        <v>Within Budget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x14ac:dyDescent="0.25">
      <c r="A41" s="71" t="s">
        <v>220</v>
      </c>
      <c r="B41" s="50"/>
      <c r="C41" s="78"/>
      <c r="D41" s="79">
        <f>SUMIF(Expenses!$C:$C,B41,Expenses!$E:$E)</f>
        <v>0</v>
      </c>
      <c r="E41" s="79">
        <f t="shared" si="0"/>
        <v>0</v>
      </c>
      <c r="F41" s="62" t="str">
        <f t="shared" si="1"/>
        <v>Within Budget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x14ac:dyDescent="0.25">
      <c r="A42" s="71" t="s">
        <v>221</v>
      </c>
      <c r="B42" s="50"/>
      <c r="C42" s="78"/>
      <c r="D42" s="79">
        <f>SUMIF(Expenses!$C:$C,B42,Expenses!$E:$E)</f>
        <v>0</v>
      </c>
      <c r="E42" s="79">
        <f t="shared" si="0"/>
        <v>0</v>
      </c>
      <c r="F42" s="62" t="str">
        <f t="shared" si="1"/>
        <v>Within Budget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x14ac:dyDescent="0.25">
      <c r="A43" s="71" t="s">
        <v>222</v>
      </c>
      <c r="B43" s="50"/>
      <c r="C43" s="78"/>
      <c r="D43" s="79">
        <f>SUMIF(Expenses!$C:$C,B43,Expenses!$E:$E)</f>
        <v>0</v>
      </c>
      <c r="E43" s="79">
        <f t="shared" si="0"/>
        <v>0</v>
      </c>
      <c r="F43" s="62" t="str">
        <f t="shared" si="1"/>
        <v>Within Budget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x14ac:dyDescent="0.25">
      <c r="A44" s="71" t="s">
        <v>223</v>
      </c>
      <c r="B44" s="50"/>
      <c r="C44" s="78"/>
      <c r="D44" s="79">
        <f>SUMIF(Expenses!$C:$C,B44,Expenses!$E:$E)</f>
        <v>0</v>
      </c>
      <c r="E44" s="79">
        <f t="shared" si="0"/>
        <v>0</v>
      </c>
      <c r="F44" s="62" t="str">
        <f t="shared" si="1"/>
        <v>Within Budget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x14ac:dyDescent="0.25">
      <c r="A45" s="71" t="s">
        <v>224</v>
      </c>
      <c r="B45" s="50"/>
      <c r="C45" s="78"/>
      <c r="D45" s="79">
        <f>SUMIF(Expenses!$C:$C,B45,Expenses!$E:$E)</f>
        <v>0</v>
      </c>
      <c r="E45" s="79">
        <f t="shared" si="0"/>
        <v>0</v>
      </c>
      <c r="F45" s="62" t="str">
        <f t="shared" si="1"/>
        <v>Within Budget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 x14ac:dyDescent="0.25">
      <c r="A46" s="71" t="s">
        <v>225</v>
      </c>
      <c r="B46" s="50"/>
      <c r="C46" s="78"/>
      <c r="D46" s="79">
        <f>SUMIF(Expenses!$C:$C,B46,Expenses!$E:$E)</f>
        <v>0</v>
      </c>
      <c r="E46" s="79">
        <f t="shared" si="0"/>
        <v>0</v>
      </c>
      <c r="F46" s="62" t="str">
        <f t="shared" si="1"/>
        <v>Within Budget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x14ac:dyDescent="0.25">
      <c r="A47" s="71" t="s">
        <v>226</v>
      </c>
      <c r="B47" s="50"/>
      <c r="C47" s="78"/>
      <c r="D47" s="79">
        <f>SUMIF(Expenses!$C:$C,B47,Expenses!$E:$E)</f>
        <v>0</v>
      </c>
      <c r="E47" s="79">
        <f t="shared" si="0"/>
        <v>0</v>
      </c>
      <c r="F47" s="62" t="str">
        <f t="shared" si="1"/>
        <v>Within Budget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pans="1:22" x14ac:dyDescent="0.25">
      <c r="A48" s="71" t="s">
        <v>227</v>
      </c>
      <c r="B48" s="50"/>
      <c r="C48" s="78"/>
      <c r="D48" s="79">
        <f>SUMIF(Expenses!$C:$C,B48,Expenses!$E:$E)</f>
        <v>0</v>
      </c>
      <c r="E48" s="79">
        <f t="shared" si="0"/>
        <v>0</v>
      </c>
      <c r="F48" s="62" t="str">
        <f t="shared" si="1"/>
        <v>Within Budget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2" x14ac:dyDescent="0.25">
      <c r="A49" s="71" t="s">
        <v>228</v>
      </c>
      <c r="B49" s="50"/>
      <c r="C49" s="78"/>
      <c r="D49" s="79">
        <f>SUMIF(Expenses!$C:$C,B49,Expenses!$E:$E)</f>
        <v>0</v>
      </c>
      <c r="E49" s="79">
        <f t="shared" si="0"/>
        <v>0</v>
      </c>
      <c r="F49" s="62" t="str">
        <f t="shared" si="1"/>
        <v>Within Budget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pans="1:22" x14ac:dyDescent="0.25">
      <c r="A50" s="71" t="s">
        <v>229</v>
      </c>
      <c r="B50" s="50"/>
      <c r="C50" s="78"/>
      <c r="D50" s="79">
        <f>SUMIF(Expenses!$C:$C,B50,Expenses!$E:$E)</f>
        <v>0</v>
      </c>
      <c r="E50" s="79">
        <f t="shared" si="0"/>
        <v>0</v>
      </c>
      <c r="F50" s="62" t="str">
        <f t="shared" si="1"/>
        <v>Within Budget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spans="1:22" x14ac:dyDescent="0.25">
      <c r="A51" s="71" t="s">
        <v>230</v>
      </c>
      <c r="B51" s="50"/>
      <c r="C51" s="78"/>
      <c r="D51" s="79">
        <f>SUMIF(Expenses!$C:$C,B51,Expenses!$E:$E)</f>
        <v>0</v>
      </c>
      <c r="E51" s="79">
        <f t="shared" si="0"/>
        <v>0</v>
      </c>
      <c r="F51" s="62" t="str">
        <f t="shared" si="1"/>
        <v>Within Budget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spans="1:22" x14ac:dyDescent="0.25">
      <c r="A52" s="71" t="s">
        <v>231</v>
      </c>
      <c r="B52" s="50"/>
      <c r="C52" s="78"/>
      <c r="D52" s="79">
        <f>SUMIF(Expenses!$C:$C,B52,Expenses!$E:$E)</f>
        <v>0</v>
      </c>
      <c r="E52" s="79">
        <f t="shared" si="0"/>
        <v>0</v>
      </c>
      <c r="F52" s="62" t="str">
        <f t="shared" si="1"/>
        <v>Within Budget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2" x14ac:dyDescent="0.25">
      <c r="A53" s="71" t="s">
        <v>232</v>
      </c>
      <c r="B53" s="50"/>
      <c r="C53" s="78"/>
      <c r="D53" s="79">
        <f>SUMIF(Expenses!$C:$C,B53,Expenses!$E:$E)</f>
        <v>0</v>
      </c>
      <c r="E53" s="79">
        <f t="shared" si="0"/>
        <v>0</v>
      </c>
      <c r="F53" s="62" t="str">
        <f t="shared" si="1"/>
        <v>Within Budget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pans="1:22" x14ac:dyDescent="0.25">
      <c r="A54" s="71" t="s">
        <v>233</v>
      </c>
      <c r="B54" s="50"/>
      <c r="C54" s="78"/>
      <c r="D54" s="79">
        <f>SUMIF(Expenses!$C:$C,B54,Expenses!$E:$E)</f>
        <v>0</v>
      </c>
      <c r="E54" s="79">
        <f t="shared" si="0"/>
        <v>0</v>
      </c>
      <c r="F54" s="62" t="str">
        <f t="shared" si="1"/>
        <v>Within Budget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spans="1:22" x14ac:dyDescent="0.25">
      <c r="A55" s="71" t="s">
        <v>234</v>
      </c>
      <c r="B55" s="50"/>
      <c r="C55" s="78"/>
      <c r="D55" s="79">
        <f>SUMIF(Expenses!$C:$C,B55,Expenses!$E:$E)</f>
        <v>0</v>
      </c>
      <c r="E55" s="79">
        <f t="shared" si="0"/>
        <v>0</v>
      </c>
      <c r="F55" s="62" t="str">
        <f t="shared" si="1"/>
        <v>Within Budget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x14ac:dyDescent="0.25">
      <c r="A56" s="71" t="s">
        <v>235</v>
      </c>
      <c r="B56" s="50"/>
      <c r="C56" s="78"/>
      <c r="D56" s="79">
        <f>SUMIF(Expenses!$C:$C,B56,Expenses!$E:$E)</f>
        <v>0</v>
      </c>
      <c r="E56" s="79">
        <f t="shared" si="0"/>
        <v>0</v>
      </c>
      <c r="F56" s="62" t="str">
        <f t="shared" si="1"/>
        <v>Within Budget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2" x14ac:dyDescent="0.25">
      <c r="A57" s="71" t="s">
        <v>236</v>
      </c>
      <c r="B57" s="50"/>
      <c r="C57" s="78"/>
      <c r="D57" s="79">
        <f>SUMIF(Expenses!$C:$C,B57,Expenses!$E:$E)</f>
        <v>0</v>
      </c>
      <c r="E57" s="79">
        <f t="shared" si="0"/>
        <v>0</v>
      </c>
      <c r="F57" s="62" t="str">
        <f t="shared" si="1"/>
        <v>Within Budget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pans="1:22" x14ac:dyDescent="0.25">
      <c r="A58" s="71" t="s">
        <v>237</v>
      </c>
      <c r="B58" s="50"/>
      <c r="C58" s="78"/>
      <c r="D58" s="79">
        <f>SUMIF(Expenses!$C:$C,B58,Expenses!$E:$E)</f>
        <v>0</v>
      </c>
      <c r="E58" s="79">
        <f t="shared" si="0"/>
        <v>0</v>
      </c>
      <c r="F58" s="62" t="str">
        <f t="shared" si="1"/>
        <v>Within Budget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2" x14ac:dyDescent="0.25">
      <c r="A59" s="71" t="s">
        <v>238</v>
      </c>
      <c r="B59" s="50"/>
      <c r="C59" s="78"/>
      <c r="D59" s="79">
        <f>SUMIF(Expenses!$C:$C,B59,Expenses!$E:$E)</f>
        <v>0</v>
      </c>
      <c r="E59" s="79">
        <f t="shared" si="0"/>
        <v>0</v>
      </c>
      <c r="F59" s="62" t="str">
        <f t="shared" si="1"/>
        <v>Within Budget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2" x14ac:dyDescent="0.25">
      <c r="A60" s="71" t="s">
        <v>239</v>
      </c>
      <c r="B60" s="50"/>
      <c r="C60" s="78"/>
      <c r="D60" s="79">
        <f>SUMIF(Expenses!$C:$C,B60,Expenses!$E:$E)</f>
        <v>0</v>
      </c>
      <c r="E60" s="79">
        <f t="shared" si="0"/>
        <v>0</v>
      </c>
      <c r="F60" s="62" t="str">
        <f t="shared" si="1"/>
        <v>Within Budget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pans="1:22" x14ac:dyDescent="0.25">
      <c r="A61" s="71" t="s">
        <v>240</v>
      </c>
      <c r="B61" s="50"/>
      <c r="C61" s="78"/>
      <c r="D61" s="79">
        <f>SUMIF(Expenses!$C:$C,B61,Expenses!$E:$E)</f>
        <v>0</v>
      </c>
      <c r="E61" s="79">
        <f t="shared" si="0"/>
        <v>0</v>
      </c>
      <c r="F61" s="62" t="str">
        <f t="shared" si="1"/>
        <v>Within Budget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2" x14ac:dyDescent="0.25">
      <c r="A62" s="71" t="s">
        <v>241</v>
      </c>
      <c r="B62" s="50"/>
      <c r="C62" s="78"/>
      <c r="D62" s="79">
        <f>SUMIF(Expenses!$C:$C,B62,Expenses!$E:$E)</f>
        <v>0</v>
      </c>
      <c r="E62" s="79">
        <f t="shared" si="0"/>
        <v>0</v>
      </c>
      <c r="F62" s="62" t="str">
        <f t="shared" si="1"/>
        <v>Within Budget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 x14ac:dyDescent="0.25">
      <c r="A63" s="71" t="s">
        <v>242</v>
      </c>
      <c r="B63" s="50"/>
      <c r="C63" s="78"/>
      <c r="D63" s="79">
        <f>SUMIF(Expenses!$C:$C,B63,Expenses!$E:$E)</f>
        <v>0</v>
      </c>
      <c r="E63" s="79">
        <f t="shared" si="0"/>
        <v>0</v>
      </c>
      <c r="F63" s="62" t="str">
        <f t="shared" si="1"/>
        <v>Within Budget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2" x14ac:dyDescent="0.25">
      <c r="A64" s="71" t="s">
        <v>243</v>
      </c>
      <c r="B64" s="50"/>
      <c r="C64" s="78"/>
      <c r="D64" s="79">
        <f>SUMIF(Expenses!$C:$C,B64,Expenses!$E:$E)</f>
        <v>0</v>
      </c>
      <c r="E64" s="79">
        <f t="shared" si="0"/>
        <v>0</v>
      </c>
      <c r="F64" s="62" t="str">
        <f t="shared" si="1"/>
        <v>Within Budget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pans="1:22" x14ac:dyDescent="0.25">
      <c r="A65" s="71" t="s">
        <v>244</v>
      </c>
      <c r="B65" s="50"/>
      <c r="C65" s="78"/>
      <c r="D65" s="79">
        <f>SUMIF(Expenses!$C:$C,B65,Expenses!$E:$E)</f>
        <v>0</v>
      </c>
      <c r="E65" s="79">
        <f t="shared" si="0"/>
        <v>0</v>
      </c>
      <c r="F65" s="62" t="str">
        <f t="shared" si="1"/>
        <v>Within Budget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pans="1:22" x14ac:dyDescent="0.25">
      <c r="A66" s="71" t="s">
        <v>245</v>
      </c>
      <c r="B66" s="50"/>
      <c r="C66" s="78"/>
      <c r="D66" s="79">
        <f>SUMIF(Expenses!$C:$C,B66,Expenses!$E:$E)</f>
        <v>0</v>
      </c>
      <c r="E66" s="79">
        <f t="shared" ref="E66:E129" si="2">C66-D66</f>
        <v>0</v>
      </c>
      <c r="F66" s="62" t="str">
        <f t="shared" ref="F66:F129" si="3">IF(E66&gt;=0,"Within Budget","Over Budget")</f>
        <v>Within Budget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pans="1:22" x14ac:dyDescent="0.25">
      <c r="A67" s="71" t="s">
        <v>246</v>
      </c>
      <c r="B67" s="50"/>
      <c r="C67" s="78"/>
      <c r="D67" s="79">
        <f>SUMIF(Expenses!$C:$C,B67,Expenses!$E:$E)</f>
        <v>0</v>
      </c>
      <c r="E67" s="79">
        <f t="shared" si="2"/>
        <v>0</v>
      </c>
      <c r="F67" s="62" t="str">
        <f t="shared" si="3"/>
        <v>Within Budget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x14ac:dyDescent="0.25">
      <c r="A68" s="71" t="s">
        <v>247</v>
      </c>
      <c r="B68" s="50"/>
      <c r="C68" s="78"/>
      <c r="D68" s="79">
        <f>SUMIF(Expenses!$C:$C,B68,Expenses!$E:$E)</f>
        <v>0</v>
      </c>
      <c r="E68" s="79">
        <f t="shared" si="2"/>
        <v>0</v>
      </c>
      <c r="F68" s="62" t="str">
        <f t="shared" si="3"/>
        <v>Within Budget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spans="1:22" x14ac:dyDescent="0.25">
      <c r="A69" s="71" t="s">
        <v>248</v>
      </c>
      <c r="B69" s="50"/>
      <c r="C69" s="78"/>
      <c r="D69" s="79">
        <f>SUMIF(Expenses!$C:$C,B69,Expenses!$E:$E)</f>
        <v>0</v>
      </c>
      <c r="E69" s="79">
        <f t="shared" si="2"/>
        <v>0</v>
      </c>
      <c r="F69" s="62" t="str">
        <f t="shared" si="3"/>
        <v>Within Budget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spans="1:22" x14ac:dyDescent="0.25">
      <c r="A70" s="71" t="s">
        <v>249</v>
      </c>
      <c r="B70" s="50"/>
      <c r="C70" s="78"/>
      <c r="D70" s="79">
        <f>SUMIF(Expenses!$C:$C,B70,Expenses!$E:$E)</f>
        <v>0</v>
      </c>
      <c r="E70" s="79">
        <f t="shared" si="2"/>
        <v>0</v>
      </c>
      <c r="F70" s="62" t="str">
        <f t="shared" si="3"/>
        <v>Within Budget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x14ac:dyDescent="0.25">
      <c r="A71" s="71" t="s">
        <v>250</v>
      </c>
      <c r="B71" s="50"/>
      <c r="C71" s="78"/>
      <c r="D71" s="79">
        <f>SUMIF(Expenses!$C:$C,B71,Expenses!$E:$E)</f>
        <v>0</v>
      </c>
      <c r="E71" s="79">
        <f t="shared" si="2"/>
        <v>0</v>
      </c>
      <c r="F71" s="62" t="str">
        <f t="shared" si="3"/>
        <v>Within Budget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spans="1:22" x14ac:dyDescent="0.25">
      <c r="A72" s="71" t="s">
        <v>251</v>
      </c>
      <c r="B72" s="50"/>
      <c r="C72" s="78"/>
      <c r="D72" s="79">
        <f>SUMIF(Expenses!$C:$C,B72,Expenses!$E:$E)</f>
        <v>0</v>
      </c>
      <c r="E72" s="79">
        <f t="shared" si="2"/>
        <v>0</v>
      </c>
      <c r="F72" s="62" t="str">
        <f t="shared" si="3"/>
        <v>Within Budget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spans="1:22" x14ac:dyDescent="0.25">
      <c r="A73" s="71" t="s">
        <v>252</v>
      </c>
      <c r="B73" s="50"/>
      <c r="C73" s="78"/>
      <c r="D73" s="79">
        <f>SUMIF(Expenses!$C:$C,B73,Expenses!$E:$E)</f>
        <v>0</v>
      </c>
      <c r="E73" s="79">
        <f t="shared" si="2"/>
        <v>0</v>
      </c>
      <c r="F73" s="62" t="str">
        <f t="shared" si="3"/>
        <v>Within Budget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spans="1:22" x14ac:dyDescent="0.25">
      <c r="A74" s="71" t="s">
        <v>253</v>
      </c>
      <c r="B74" s="50"/>
      <c r="C74" s="78"/>
      <c r="D74" s="79">
        <f>SUMIF(Expenses!$C:$C,B74,Expenses!$E:$E)</f>
        <v>0</v>
      </c>
      <c r="E74" s="79">
        <f t="shared" si="2"/>
        <v>0</v>
      </c>
      <c r="F74" s="62" t="str">
        <f t="shared" si="3"/>
        <v>Within Budget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spans="1:22" x14ac:dyDescent="0.25">
      <c r="A75" s="71" t="s">
        <v>254</v>
      </c>
      <c r="B75" s="50"/>
      <c r="C75" s="78"/>
      <c r="D75" s="79">
        <f>SUMIF(Expenses!$C:$C,B75,Expenses!$E:$E)</f>
        <v>0</v>
      </c>
      <c r="E75" s="79">
        <f t="shared" si="2"/>
        <v>0</v>
      </c>
      <c r="F75" s="62" t="str">
        <f t="shared" si="3"/>
        <v>Within Budget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x14ac:dyDescent="0.25">
      <c r="A76" s="71" t="s">
        <v>255</v>
      </c>
      <c r="B76" s="50"/>
      <c r="C76" s="78"/>
      <c r="D76" s="79">
        <f>SUMIF(Expenses!$C:$C,B76,Expenses!$E:$E)</f>
        <v>0</v>
      </c>
      <c r="E76" s="79">
        <f t="shared" si="2"/>
        <v>0</v>
      </c>
      <c r="F76" s="62" t="str">
        <f t="shared" si="3"/>
        <v>Within Budget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spans="1:22" x14ac:dyDescent="0.25">
      <c r="A77" s="71" t="s">
        <v>256</v>
      </c>
      <c r="B77" s="50"/>
      <c r="C77" s="78"/>
      <c r="D77" s="79">
        <f>SUMIF(Expenses!$C:$C,B77,Expenses!$E:$E)</f>
        <v>0</v>
      </c>
      <c r="E77" s="79">
        <f t="shared" si="2"/>
        <v>0</v>
      </c>
      <c r="F77" s="62" t="str">
        <f t="shared" si="3"/>
        <v>Within Budget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spans="1:22" x14ac:dyDescent="0.25">
      <c r="A78" s="71" t="s">
        <v>257</v>
      </c>
      <c r="B78" s="50"/>
      <c r="C78" s="78"/>
      <c r="D78" s="79">
        <f>SUMIF(Expenses!$C:$C,B78,Expenses!$E:$E)</f>
        <v>0</v>
      </c>
      <c r="E78" s="79">
        <f t="shared" si="2"/>
        <v>0</v>
      </c>
      <c r="F78" s="62" t="str">
        <f t="shared" si="3"/>
        <v>Within Budget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x14ac:dyDescent="0.25">
      <c r="A79" s="71" t="s">
        <v>258</v>
      </c>
      <c r="B79" s="50"/>
      <c r="C79" s="78"/>
      <c r="D79" s="79">
        <f>SUMIF(Expenses!$C:$C,B79,Expenses!$E:$E)</f>
        <v>0</v>
      </c>
      <c r="E79" s="79">
        <f t="shared" si="2"/>
        <v>0</v>
      </c>
      <c r="F79" s="62" t="str">
        <f t="shared" si="3"/>
        <v>Within Budget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spans="1:22" x14ac:dyDescent="0.25">
      <c r="A80" s="71" t="s">
        <v>259</v>
      </c>
      <c r="B80" s="50"/>
      <c r="C80" s="78"/>
      <c r="D80" s="79">
        <f>SUMIF(Expenses!$C:$C,B80,Expenses!$E:$E)</f>
        <v>0</v>
      </c>
      <c r="E80" s="79">
        <f t="shared" si="2"/>
        <v>0</v>
      </c>
      <c r="F80" s="62" t="str">
        <f t="shared" si="3"/>
        <v>Within Budget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pans="1:22" x14ac:dyDescent="0.25">
      <c r="A81" s="71" t="s">
        <v>260</v>
      </c>
      <c r="B81" s="50"/>
      <c r="C81" s="78"/>
      <c r="D81" s="79">
        <f>SUMIF(Expenses!$C:$C,B81,Expenses!$E:$E)</f>
        <v>0</v>
      </c>
      <c r="E81" s="79">
        <f t="shared" si="2"/>
        <v>0</v>
      </c>
      <c r="F81" s="62" t="str">
        <f t="shared" si="3"/>
        <v>Within Budget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spans="1:22" x14ac:dyDescent="0.25">
      <c r="A82" s="71" t="s">
        <v>261</v>
      </c>
      <c r="B82" s="50"/>
      <c r="C82" s="78"/>
      <c r="D82" s="79">
        <f>SUMIF(Expenses!$C:$C,B82,Expenses!$E:$E)</f>
        <v>0</v>
      </c>
      <c r="E82" s="79">
        <f t="shared" si="2"/>
        <v>0</v>
      </c>
      <c r="F82" s="62" t="str">
        <f t="shared" si="3"/>
        <v>Within Budget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pans="1:22" x14ac:dyDescent="0.25">
      <c r="A83" s="71" t="s">
        <v>262</v>
      </c>
      <c r="B83" s="50"/>
      <c r="C83" s="78"/>
      <c r="D83" s="79">
        <f>SUMIF(Expenses!$C:$C,B83,Expenses!$E:$E)</f>
        <v>0</v>
      </c>
      <c r="E83" s="79">
        <f t="shared" si="2"/>
        <v>0</v>
      </c>
      <c r="F83" s="62" t="str">
        <f t="shared" si="3"/>
        <v>Within Budget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pans="1:22" x14ac:dyDescent="0.25">
      <c r="A84" s="71" t="s">
        <v>263</v>
      </c>
      <c r="B84" s="50"/>
      <c r="C84" s="78"/>
      <c r="D84" s="79">
        <f>SUMIF(Expenses!$C:$C,B84,Expenses!$E:$E)</f>
        <v>0</v>
      </c>
      <c r="E84" s="79">
        <f t="shared" si="2"/>
        <v>0</v>
      </c>
      <c r="F84" s="62" t="str">
        <f t="shared" si="3"/>
        <v>Within Budget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x14ac:dyDescent="0.25">
      <c r="A85" s="71" t="s">
        <v>264</v>
      </c>
      <c r="B85" s="50"/>
      <c r="C85" s="78"/>
      <c r="D85" s="79">
        <f>SUMIF(Expenses!$C:$C,B85,Expenses!$E:$E)</f>
        <v>0</v>
      </c>
      <c r="E85" s="79">
        <f t="shared" si="2"/>
        <v>0</v>
      </c>
      <c r="F85" s="62" t="str">
        <f t="shared" si="3"/>
        <v>Within Budget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spans="1:22" x14ac:dyDescent="0.25">
      <c r="A86" s="71" t="s">
        <v>265</v>
      </c>
      <c r="B86" s="50"/>
      <c r="C86" s="78"/>
      <c r="D86" s="79">
        <f>SUMIF(Expenses!$C:$C,B86,Expenses!$E:$E)</f>
        <v>0</v>
      </c>
      <c r="E86" s="79">
        <f t="shared" si="2"/>
        <v>0</v>
      </c>
      <c r="F86" s="62" t="str">
        <f t="shared" si="3"/>
        <v>Within Budget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spans="1:22" x14ac:dyDescent="0.25">
      <c r="A87" s="71" t="s">
        <v>266</v>
      </c>
      <c r="B87" s="50"/>
      <c r="C87" s="78"/>
      <c r="D87" s="79">
        <f>SUMIF(Expenses!$C:$C,B87,Expenses!$E:$E)</f>
        <v>0</v>
      </c>
      <c r="E87" s="79">
        <f t="shared" si="2"/>
        <v>0</v>
      </c>
      <c r="F87" s="62" t="str">
        <f t="shared" si="3"/>
        <v>Within Budget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pans="1:22" x14ac:dyDescent="0.25">
      <c r="A88" s="71" t="s">
        <v>267</v>
      </c>
      <c r="B88" s="50"/>
      <c r="C88" s="78"/>
      <c r="D88" s="79">
        <f>SUMIF(Expenses!$C:$C,B88,Expenses!$E:$E)</f>
        <v>0</v>
      </c>
      <c r="E88" s="79">
        <f t="shared" si="2"/>
        <v>0</v>
      </c>
      <c r="F88" s="62" t="str">
        <f t="shared" si="3"/>
        <v>Within Budget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x14ac:dyDescent="0.25">
      <c r="A89" s="71" t="s">
        <v>268</v>
      </c>
      <c r="B89" s="50"/>
      <c r="C89" s="78"/>
      <c r="D89" s="79">
        <f>SUMIF(Expenses!$C:$C,B89,Expenses!$E:$E)</f>
        <v>0</v>
      </c>
      <c r="E89" s="79">
        <f t="shared" si="2"/>
        <v>0</v>
      </c>
      <c r="F89" s="62" t="str">
        <f t="shared" si="3"/>
        <v>Within Budget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spans="1:22" x14ac:dyDescent="0.25">
      <c r="A90" s="71" t="s">
        <v>269</v>
      </c>
      <c r="B90" s="50"/>
      <c r="C90" s="78"/>
      <c r="D90" s="79">
        <f>SUMIF(Expenses!$C:$C,B90,Expenses!$E:$E)</f>
        <v>0</v>
      </c>
      <c r="E90" s="79">
        <f t="shared" si="2"/>
        <v>0</v>
      </c>
      <c r="F90" s="62" t="str">
        <f t="shared" si="3"/>
        <v>Within Budget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spans="1:22" x14ac:dyDescent="0.25">
      <c r="A91" s="71" t="s">
        <v>270</v>
      </c>
      <c r="B91" s="50"/>
      <c r="C91" s="78"/>
      <c r="D91" s="79">
        <f>SUMIF(Expenses!$C:$C,B91,Expenses!$E:$E)</f>
        <v>0</v>
      </c>
      <c r="E91" s="79">
        <f t="shared" si="2"/>
        <v>0</v>
      </c>
      <c r="F91" s="62" t="str">
        <f t="shared" si="3"/>
        <v>Within Budget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spans="1:22" x14ac:dyDescent="0.25">
      <c r="A92" s="71" t="s">
        <v>271</v>
      </c>
      <c r="B92" s="50"/>
      <c r="C92" s="78"/>
      <c r="D92" s="79">
        <f>SUMIF(Expenses!$C:$C,B92,Expenses!$E:$E)</f>
        <v>0</v>
      </c>
      <c r="E92" s="79">
        <f t="shared" si="2"/>
        <v>0</v>
      </c>
      <c r="F92" s="62" t="str">
        <f t="shared" si="3"/>
        <v>Within Budget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pans="1:22" x14ac:dyDescent="0.25">
      <c r="A93" s="71" t="s">
        <v>272</v>
      </c>
      <c r="B93" s="50"/>
      <c r="C93" s="78"/>
      <c r="D93" s="79">
        <f>SUMIF(Expenses!$C:$C,B93,Expenses!$E:$E)</f>
        <v>0</v>
      </c>
      <c r="E93" s="79">
        <f t="shared" si="2"/>
        <v>0</v>
      </c>
      <c r="F93" s="62" t="str">
        <f t="shared" si="3"/>
        <v>Within Budget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spans="1:22" x14ac:dyDescent="0.25">
      <c r="A94" s="71" t="s">
        <v>273</v>
      </c>
      <c r="B94" s="50"/>
      <c r="C94" s="78"/>
      <c r="D94" s="79">
        <f>SUMIF(Expenses!$C:$C,B94,Expenses!$E:$E)</f>
        <v>0</v>
      </c>
      <c r="E94" s="79">
        <f t="shared" si="2"/>
        <v>0</v>
      </c>
      <c r="F94" s="62" t="str">
        <f t="shared" si="3"/>
        <v>Within Budget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spans="1:22" x14ac:dyDescent="0.25">
      <c r="A95" s="71" t="s">
        <v>274</v>
      </c>
      <c r="B95" s="50"/>
      <c r="C95" s="78"/>
      <c r="D95" s="79">
        <f>SUMIF(Expenses!$C:$C,B95,Expenses!$E:$E)</f>
        <v>0</v>
      </c>
      <c r="E95" s="79">
        <f t="shared" si="2"/>
        <v>0</v>
      </c>
      <c r="F95" s="62" t="str">
        <f t="shared" si="3"/>
        <v>Within Budget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spans="1:22" x14ac:dyDescent="0.25">
      <c r="A96" s="71" t="s">
        <v>275</v>
      </c>
      <c r="B96" s="50"/>
      <c r="C96" s="78"/>
      <c r="D96" s="79">
        <f>SUMIF(Expenses!$C:$C,B96,Expenses!$E:$E)</f>
        <v>0</v>
      </c>
      <c r="E96" s="79">
        <f t="shared" si="2"/>
        <v>0</v>
      </c>
      <c r="F96" s="62" t="str">
        <f t="shared" si="3"/>
        <v>Within Budget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spans="1:22" x14ac:dyDescent="0.25">
      <c r="A97" s="71" t="s">
        <v>276</v>
      </c>
      <c r="B97" s="50"/>
      <c r="C97" s="78"/>
      <c r="D97" s="79">
        <f>SUMIF(Expenses!$C:$C,B97,Expenses!$E:$E)</f>
        <v>0</v>
      </c>
      <c r="E97" s="79">
        <f t="shared" si="2"/>
        <v>0</v>
      </c>
      <c r="F97" s="62" t="str">
        <f t="shared" si="3"/>
        <v>Within Budget</v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spans="1:22" x14ac:dyDescent="0.25">
      <c r="A98" s="71" t="s">
        <v>277</v>
      </c>
      <c r="B98" s="50"/>
      <c r="C98" s="78"/>
      <c r="D98" s="79">
        <f>SUMIF(Expenses!$C:$C,B98,Expenses!$E:$E)</f>
        <v>0</v>
      </c>
      <c r="E98" s="79">
        <f t="shared" si="2"/>
        <v>0</v>
      </c>
      <c r="F98" s="62" t="str">
        <f t="shared" si="3"/>
        <v>Within Budget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spans="1:22" x14ac:dyDescent="0.25">
      <c r="A99" s="71" t="s">
        <v>278</v>
      </c>
      <c r="B99" s="50"/>
      <c r="C99" s="78"/>
      <c r="D99" s="79">
        <f>SUMIF(Expenses!$C:$C,B99,Expenses!$E:$E)</f>
        <v>0</v>
      </c>
      <c r="E99" s="79">
        <f t="shared" si="2"/>
        <v>0</v>
      </c>
      <c r="F99" s="62" t="str">
        <f t="shared" si="3"/>
        <v>Within Budget</v>
      </c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spans="1:22" x14ac:dyDescent="0.25">
      <c r="A100" s="71" t="s">
        <v>279</v>
      </c>
      <c r="B100" s="50"/>
      <c r="C100" s="78"/>
      <c r="D100" s="79">
        <f>SUMIF(Expenses!$C:$C,B100,Expenses!$E:$E)</f>
        <v>0</v>
      </c>
      <c r="E100" s="79">
        <f t="shared" si="2"/>
        <v>0</v>
      </c>
      <c r="F100" s="62" t="str">
        <f t="shared" si="3"/>
        <v>Within Budget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spans="1:22" x14ac:dyDescent="0.25">
      <c r="A101" s="71" t="s">
        <v>280</v>
      </c>
      <c r="B101" s="50"/>
      <c r="C101" s="78"/>
      <c r="D101" s="79">
        <f>SUMIF(Expenses!$C:$C,B101,Expenses!$E:$E)</f>
        <v>0</v>
      </c>
      <c r="E101" s="79">
        <f t="shared" si="2"/>
        <v>0</v>
      </c>
      <c r="F101" s="62" t="str">
        <f t="shared" si="3"/>
        <v>Within Budget</v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spans="1:22" x14ac:dyDescent="0.25">
      <c r="A102" s="71" t="s">
        <v>281</v>
      </c>
      <c r="B102" s="50"/>
      <c r="C102" s="78"/>
      <c r="D102" s="79">
        <f>SUMIF(Expenses!$C:$C,B102,Expenses!$E:$E)</f>
        <v>0</v>
      </c>
      <c r="E102" s="79">
        <f t="shared" si="2"/>
        <v>0</v>
      </c>
      <c r="F102" s="62" t="str">
        <f t="shared" si="3"/>
        <v>Within Budget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spans="1:22" x14ac:dyDescent="0.25">
      <c r="A103" s="71" t="s">
        <v>282</v>
      </c>
      <c r="B103" s="50"/>
      <c r="C103" s="78"/>
      <c r="D103" s="79">
        <f>SUMIF(Expenses!$C:$C,B103,Expenses!$E:$E)</f>
        <v>0</v>
      </c>
      <c r="E103" s="79">
        <f t="shared" si="2"/>
        <v>0</v>
      </c>
      <c r="F103" s="62" t="str">
        <f t="shared" si="3"/>
        <v>Within Budget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spans="1:22" x14ac:dyDescent="0.25">
      <c r="A104" s="71" t="s">
        <v>283</v>
      </c>
      <c r="B104" s="50"/>
      <c r="C104" s="78"/>
      <c r="D104" s="79">
        <f>SUMIF(Expenses!$C:$C,B104,Expenses!$E:$E)</f>
        <v>0</v>
      </c>
      <c r="E104" s="79">
        <f t="shared" si="2"/>
        <v>0</v>
      </c>
      <c r="F104" s="62" t="str">
        <f t="shared" si="3"/>
        <v>Within Budget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spans="1:22" x14ac:dyDescent="0.25">
      <c r="A105" s="71" t="s">
        <v>284</v>
      </c>
      <c r="B105" s="50"/>
      <c r="C105" s="78"/>
      <c r="D105" s="79">
        <f>SUMIF(Expenses!$C:$C,B105,Expenses!$E:$E)</f>
        <v>0</v>
      </c>
      <c r="E105" s="79">
        <f t="shared" si="2"/>
        <v>0</v>
      </c>
      <c r="F105" s="62" t="str">
        <f t="shared" si="3"/>
        <v>Within Budget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spans="1:22" x14ac:dyDescent="0.25">
      <c r="A106" s="71" t="s">
        <v>285</v>
      </c>
      <c r="B106" s="50"/>
      <c r="C106" s="78"/>
      <c r="D106" s="79">
        <f>SUMIF(Expenses!$C:$C,B106,Expenses!$E:$E)</f>
        <v>0</v>
      </c>
      <c r="E106" s="79">
        <f t="shared" si="2"/>
        <v>0</v>
      </c>
      <c r="F106" s="62" t="str">
        <f t="shared" si="3"/>
        <v>Within Budget</v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spans="1:22" x14ac:dyDescent="0.25">
      <c r="A107" s="71" t="s">
        <v>286</v>
      </c>
      <c r="B107" s="50"/>
      <c r="C107" s="78"/>
      <c r="D107" s="79">
        <f>SUMIF(Expenses!$C:$C,B107,Expenses!$E:$E)</f>
        <v>0</v>
      </c>
      <c r="E107" s="79">
        <f t="shared" si="2"/>
        <v>0</v>
      </c>
      <c r="F107" s="62" t="str">
        <f t="shared" si="3"/>
        <v>Within Budget</v>
      </c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spans="1:22" x14ac:dyDescent="0.25">
      <c r="A108" s="71" t="s">
        <v>287</v>
      </c>
      <c r="B108" s="50"/>
      <c r="C108" s="78"/>
      <c r="D108" s="79">
        <f>SUMIF(Expenses!$C:$C,B108,Expenses!$E:$E)</f>
        <v>0</v>
      </c>
      <c r="E108" s="79">
        <f t="shared" si="2"/>
        <v>0</v>
      </c>
      <c r="F108" s="62" t="str">
        <f t="shared" si="3"/>
        <v>Within Budget</v>
      </c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spans="1:22" x14ac:dyDescent="0.25">
      <c r="A109" s="71" t="s">
        <v>288</v>
      </c>
      <c r="B109" s="50"/>
      <c r="C109" s="78"/>
      <c r="D109" s="79">
        <f>SUMIF(Expenses!$C:$C,B109,Expenses!$E:$E)</f>
        <v>0</v>
      </c>
      <c r="E109" s="79">
        <f t="shared" si="2"/>
        <v>0</v>
      </c>
      <c r="F109" s="62" t="str">
        <f t="shared" si="3"/>
        <v>Within Budget</v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spans="1:22" x14ac:dyDescent="0.25">
      <c r="A110" s="71" t="s">
        <v>289</v>
      </c>
      <c r="B110" s="50"/>
      <c r="C110" s="78"/>
      <c r="D110" s="79">
        <f>SUMIF(Expenses!$C:$C,B110,Expenses!$E:$E)</f>
        <v>0</v>
      </c>
      <c r="E110" s="79">
        <f t="shared" si="2"/>
        <v>0</v>
      </c>
      <c r="F110" s="62" t="str">
        <f t="shared" si="3"/>
        <v>Within Budget</v>
      </c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spans="1:22" x14ac:dyDescent="0.25">
      <c r="A111" s="71" t="s">
        <v>290</v>
      </c>
      <c r="B111" s="50"/>
      <c r="C111" s="78"/>
      <c r="D111" s="79">
        <f>SUMIF(Expenses!$C:$C,B111,Expenses!$E:$E)</f>
        <v>0</v>
      </c>
      <c r="E111" s="79">
        <f t="shared" si="2"/>
        <v>0</v>
      </c>
      <c r="F111" s="62" t="str">
        <f t="shared" si="3"/>
        <v>Within Budget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spans="1:22" x14ac:dyDescent="0.25">
      <c r="A112" s="71" t="s">
        <v>291</v>
      </c>
      <c r="B112" s="50"/>
      <c r="C112" s="78"/>
      <c r="D112" s="79">
        <f>SUMIF(Expenses!$C:$C,B112,Expenses!$E:$E)</f>
        <v>0</v>
      </c>
      <c r="E112" s="79">
        <f t="shared" si="2"/>
        <v>0</v>
      </c>
      <c r="F112" s="62" t="str">
        <f t="shared" si="3"/>
        <v>Within Budget</v>
      </c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spans="1:22" x14ac:dyDescent="0.25">
      <c r="A113" s="71" t="s">
        <v>292</v>
      </c>
      <c r="B113" s="50"/>
      <c r="C113" s="78"/>
      <c r="D113" s="79">
        <f>SUMIF(Expenses!$C:$C,B113,Expenses!$E:$E)</f>
        <v>0</v>
      </c>
      <c r="E113" s="79">
        <f t="shared" si="2"/>
        <v>0</v>
      </c>
      <c r="F113" s="62" t="str">
        <f t="shared" si="3"/>
        <v>Within Budget</v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spans="1:22" x14ac:dyDescent="0.25">
      <c r="A114" s="71" t="s">
        <v>293</v>
      </c>
      <c r="B114" s="50"/>
      <c r="C114" s="78"/>
      <c r="D114" s="79">
        <f>SUMIF(Expenses!$C:$C,B114,Expenses!$E:$E)</f>
        <v>0</v>
      </c>
      <c r="E114" s="79">
        <f t="shared" si="2"/>
        <v>0</v>
      </c>
      <c r="F114" s="62" t="str">
        <f t="shared" si="3"/>
        <v>Within Budget</v>
      </c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spans="1:22" x14ac:dyDescent="0.25">
      <c r="A115" s="71" t="s">
        <v>294</v>
      </c>
      <c r="B115" s="50"/>
      <c r="C115" s="78"/>
      <c r="D115" s="79">
        <f>SUMIF(Expenses!$C:$C,B115,Expenses!$E:$E)</f>
        <v>0</v>
      </c>
      <c r="E115" s="79">
        <f t="shared" si="2"/>
        <v>0</v>
      </c>
      <c r="F115" s="62" t="str">
        <f t="shared" si="3"/>
        <v>Within Budget</v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spans="1:22" x14ac:dyDescent="0.25">
      <c r="A116" s="71" t="s">
        <v>295</v>
      </c>
      <c r="B116" s="50"/>
      <c r="C116" s="78"/>
      <c r="D116" s="79">
        <f>SUMIF(Expenses!$C:$C,B116,Expenses!$E:$E)</f>
        <v>0</v>
      </c>
      <c r="E116" s="79">
        <f t="shared" si="2"/>
        <v>0</v>
      </c>
      <c r="F116" s="62" t="str">
        <f t="shared" si="3"/>
        <v>Within Budget</v>
      </c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spans="1:22" x14ac:dyDescent="0.25">
      <c r="A117" s="71" t="s">
        <v>296</v>
      </c>
      <c r="B117" s="50"/>
      <c r="C117" s="78"/>
      <c r="D117" s="79">
        <f>SUMIF(Expenses!$C:$C,B117,Expenses!$E:$E)</f>
        <v>0</v>
      </c>
      <c r="E117" s="79">
        <f t="shared" si="2"/>
        <v>0</v>
      </c>
      <c r="F117" s="62" t="str">
        <f t="shared" si="3"/>
        <v>Within Budget</v>
      </c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spans="1:22" x14ac:dyDescent="0.25">
      <c r="A118" s="71" t="s">
        <v>297</v>
      </c>
      <c r="B118" s="50"/>
      <c r="C118" s="78"/>
      <c r="D118" s="79">
        <f>SUMIF(Expenses!$C:$C,B118,Expenses!$E:$E)</f>
        <v>0</v>
      </c>
      <c r="E118" s="79">
        <f t="shared" si="2"/>
        <v>0</v>
      </c>
      <c r="F118" s="62" t="str">
        <f t="shared" si="3"/>
        <v>Within Budget</v>
      </c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spans="1:22" x14ac:dyDescent="0.25">
      <c r="A119" s="71" t="s">
        <v>298</v>
      </c>
      <c r="B119" s="50"/>
      <c r="C119" s="78"/>
      <c r="D119" s="79">
        <f>SUMIF(Expenses!$C:$C,B119,Expenses!$E:$E)</f>
        <v>0</v>
      </c>
      <c r="E119" s="79">
        <f t="shared" si="2"/>
        <v>0</v>
      </c>
      <c r="F119" s="62" t="str">
        <f t="shared" si="3"/>
        <v>Within Budget</v>
      </c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spans="1:22" x14ac:dyDescent="0.25">
      <c r="A120" s="71" t="s">
        <v>299</v>
      </c>
      <c r="B120" s="50"/>
      <c r="C120" s="78"/>
      <c r="D120" s="79">
        <f>SUMIF(Expenses!$C:$C,B120,Expenses!$E:$E)</f>
        <v>0</v>
      </c>
      <c r="E120" s="79">
        <f t="shared" si="2"/>
        <v>0</v>
      </c>
      <c r="F120" s="62" t="str">
        <f t="shared" si="3"/>
        <v>Within Budget</v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spans="1:22" x14ac:dyDescent="0.25">
      <c r="A121" s="71" t="s">
        <v>300</v>
      </c>
      <c r="B121" s="50"/>
      <c r="C121" s="78"/>
      <c r="D121" s="79">
        <f>SUMIF(Expenses!$C:$C,B121,Expenses!$E:$E)</f>
        <v>0</v>
      </c>
      <c r="E121" s="79">
        <f t="shared" si="2"/>
        <v>0</v>
      </c>
      <c r="F121" s="62" t="str">
        <f t="shared" si="3"/>
        <v>Within Budget</v>
      </c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 spans="1:22" x14ac:dyDescent="0.25">
      <c r="A122" s="71" t="s">
        <v>301</v>
      </c>
      <c r="B122" s="50"/>
      <c r="C122" s="78"/>
      <c r="D122" s="79">
        <f>SUMIF(Expenses!$C:$C,B122,Expenses!$E:$E)</f>
        <v>0</v>
      </c>
      <c r="E122" s="79">
        <f t="shared" si="2"/>
        <v>0</v>
      </c>
      <c r="F122" s="62" t="str">
        <f t="shared" si="3"/>
        <v>Within Budget</v>
      </c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spans="1:22" x14ac:dyDescent="0.25">
      <c r="A123" s="71" t="s">
        <v>302</v>
      </c>
      <c r="B123" s="50"/>
      <c r="C123" s="78"/>
      <c r="D123" s="79">
        <f>SUMIF(Expenses!$C:$C,B123,Expenses!$E:$E)</f>
        <v>0</v>
      </c>
      <c r="E123" s="79">
        <f t="shared" si="2"/>
        <v>0</v>
      </c>
      <c r="F123" s="62" t="str">
        <f t="shared" si="3"/>
        <v>Within Budget</v>
      </c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spans="1:22" x14ac:dyDescent="0.25">
      <c r="A124" s="71" t="s">
        <v>303</v>
      </c>
      <c r="B124" s="50"/>
      <c r="C124" s="78"/>
      <c r="D124" s="79">
        <f>SUMIF(Expenses!$C:$C,B124,Expenses!$E:$E)</f>
        <v>0</v>
      </c>
      <c r="E124" s="79">
        <f t="shared" si="2"/>
        <v>0</v>
      </c>
      <c r="F124" s="62" t="str">
        <f t="shared" si="3"/>
        <v>Within Budget</v>
      </c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spans="1:22" x14ac:dyDescent="0.25">
      <c r="A125" s="71" t="s">
        <v>304</v>
      </c>
      <c r="B125" s="50"/>
      <c r="C125" s="78"/>
      <c r="D125" s="79">
        <f>SUMIF(Expenses!$C:$C,B125,Expenses!$E:$E)</f>
        <v>0</v>
      </c>
      <c r="E125" s="79">
        <f t="shared" si="2"/>
        <v>0</v>
      </c>
      <c r="F125" s="62" t="str">
        <f t="shared" si="3"/>
        <v>Within Budget</v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spans="1:22" x14ac:dyDescent="0.25">
      <c r="A126" s="71" t="s">
        <v>305</v>
      </c>
      <c r="B126" s="50"/>
      <c r="C126" s="78"/>
      <c r="D126" s="79">
        <f>SUMIF(Expenses!$C:$C,B126,Expenses!$E:$E)</f>
        <v>0</v>
      </c>
      <c r="E126" s="79">
        <f t="shared" si="2"/>
        <v>0</v>
      </c>
      <c r="F126" s="62" t="str">
        <f t="shared" si="3"/>
        <v>Within Budget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spans="1:22" x14ac:dyDescent="0.25">
      <c r="A127" s="71" t="s">
        <v>306</v>
      </c>
      <c r="B127" s="50"/>
      <c r="C127" s="78"/>
      <c r="D127" s="79">
        <f>SUMIF(Expenses!$C:$C,B127,Expenses!$E:$E)</f>
        <v>0</v>
      </c>
      <c r="E127" s="79">
        <f t="shared" si="2"/>
        <v>0</v>
      </c>
      <c r="F127" s="62" t="str">
        <f t="shared" si="3"/>
        <v>Within Budget</v>
      </c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spans="1:22" x14ac:dyDescent="0.25">
      <c r="A128" s="71" t="s">
        <v>307</v>
      </c>
      <c r="B128" s="50"/>
      <c r="C128" s="78"/>
      <c r="D128" s="79">
        <f>SUMIF(Expenses!$C:$C,B128,Expenses!$E:$E)</f>
        <v>0</v>
      </c>
      <c r="E128" s="79">
        <f t="shared" si="2"/>
        <v>0</v>
      </c>
      <c r="F128" s="62" t="str">
        <f t="shared" si="3"/>
        <v>Within Budget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spans="1:22" x14ac:dyDescent="0.25">
      <c r="A129" s="71" t="s">
        <v>308</v>
      </c>
      <c r="B129" s="50"/>
      <c r="C129" s="78"/>
      <c r="D129" s="79">
        <f>SUMIF(Expenses!$C:$C,B129,Expenses!$E:$E)</f>
        <v>0</v>
      </c>
      <c r="E129" s="79">
        <f t="shared" si="2"/>
        <v>0</v>
      </c>
      <c r="F129" s="62" t="str">
        <f t="shared" si="3"/>
        <v>Within Budget</v>
      </c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spans="1:22" x14ac:dyDescent="0.25">
      <c r="A130" s="71" t="s">
        <v>309</v>
      </c>
      <c r="B130" s="50"/>
      <c r="C130" s="78"/>
      <c r="D130" s="79">
        <f>SUMIF(Expenses!$C:$C,B130,Expenses!$E:$E)</f>
        <v>0</v>
      </c>
      <c r="E130" s="79">
        <f t="shared" ref="E130:E193" si="4">C130-D130</f>
        <v>0</v>
      </c>
      <c r="F130" s="62" t="str">
        <f t="shared" ref="F130:F193" si="5">IF(E130&gt;=0,"Within Budget","Over Budget")</f>
        <v>Within Budget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spans="1:22" x14ac:dyDescent="0.25">
      <c r="A131" s="71" t="s">
        <v>310</v>
      </c>
      <c r="B131" s="50"/>
      <c r="C131" s="78"/>
      <c r="D131" s="79">
        <f>SUMIF(Expenses!$C:$C,B131,Expenses!$E:$E)</f>
        <v>0</v>
      </c>
      <c r="E131" s="79">
        <f t="shared" si="4"/>
        <v>0</v>
      </c>
      <c r="F131" s="62" t="str">
        <f t="shared" si="5"/>
        <v>Within Budget</v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spans="1:22" x14ac:dyDescent="0.25">
      <c r="A132" s="71" t="s">
        <v>311</v>
      </c>
      <c r="B132" s="50"/>
      <c r="C132" s="78"/>
      <c r="D132" s="79">
        <f>SUMIF(Expenses!$C:$C,B132,Expenses!$E:$E)</f>
        <v>0</v>
      </c>
      <c r="E132" s="79">
        <f t="shared" si="4"/>
        <v>0</v>
      </c>
      <c r="F132" s="62" t="str">
        <f t="shared" si="5"/>
        <v>Within Budget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spans="1:22" x14ac:dyDescent="0.25">
      <c r="A133" s="71" t="s">
        <v>312</v>
      </c>
      <c r="B133" s="50"/>
      <c r="C133" s="78"/>
      <c r="D133" s="79">
        <f>SUMIF(Expenses!$C:$C,B133,Expenses!$E:$E)</f>
        <v>0</v>
      </c>
      <c r="E133" s="79">
        <f t="shared" si="4"/>
        <v>0</v>
      </c>
      <c r="F133" s="62" t="str">
        <f t="shared" si="5"/>
        <v>Within Budget</v>
      </c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spans="1:22" x14ac:dyDescent="0.25">
      <c r="A134" s="71" t="s">
        <v>313</v>
      </c>
      <c r="B134" s="50"/>
      <c r="C134" s="78"/>
      <c r="D134" s="79">
        <f>SUMIF(Expenses!$C:$C,B134,Expenses!$E:$E)</f>
        <v>0</v>
      </c>
      <c r="E134" s="79">
        <f t="shared" si="4"/>
        <v>0</v>
      </c>
      <c r="F134" s="62" t="str">
        <f t="shared" si="5"/>
        <v>Within Budget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spans="1:22" x14ac:dyDescent="0.25">
      <c r="A135" s="71" t="s">
        <v>314</v>
      </c>
      <c r="B135" s="50"/>
      <c r="C135" s="78"/>
      <c r="D135" s="79">
        <f>SUMIF(Expenses!$C:$C,B135,Expenses!$E:$E)</f>
        <v>0</v>
      </c>
      <c r="E135" s="79">
        <f t="shared" si="4"/>
        <v>0</v>
      </c>
      <c r="F135" s="62" t="str">
        <f t="shared" si="5"/>
        <v>Within Budget</v>
      </c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spans="1:22" x14ac:dyDescent="0.25">
      <c r="A136" s="71" t="s">
        <v>315</v>
      </c>
      <c r="B136" s="50"/>
      <c r="C136" s="78"/>
      <c r="D136" s="79">
        <f>SUMIF(Expenses!$C:$C,B136,Expenses!$E:$E)</f>
        <v>0</v>
      </c>
      <c r="E136" s="79">
        <f t="shared" si="4"/>
        <v>0</v>
      </c>
      <c r="F136" s="62" t="str">
        <f t="shared" si="5"/>
        <v>Within Budget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spans="1:22" x14ac:dyDescent="0.25">
      <c r="A137" s="71" t="s">
        <v>316</v>
      </c>
      <c r="B137" s="50"/>
      <c r="C137" s="78"/>
      <c r="D137" s="79">
        <f>SUMIF(Expenses!$C:$C,B137,Expenses!$E:$E)</f>
        <v>0</v>
      </c>
      <c r="E137" s="79">
        <f t="shared" si="4"/>
        <v>0</v>
      </c>
      <c r="F137" s="62" t="str">
        <f t="shared" si="5"/>
        <v>Within Budget</v>
      </c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spans="1:22" x14ac:dyDescent="0.25">
      <c r="A138" s="71" t="s">
        <v>317</v>
      </c>
      <c r="B138" s="50"/>
      <c r="C138" s="78"/>
      <c r="D138" s="79">
        <f>SUMIF(Expenses!$C:$C,B138,Expenses!$E:$E)</f>
        <v>0</v>
      </c>
      <c r="E138" s="79">
        <f t="shared" si="4"/>
        <v>0</v>
      </c>
      <c r="F138" s="62" t="str">
        <f t="shared" si="5"/>
        <v>Within Budget</v>
      </c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spans="1:22" x14ac:dyDescent="0.25">
      <c r="A139" s="71" t="s">
        <v>318</v>
      </c>
      <c r="B139" s="50"/>
      <c r="C139" s="78"/>
      <c r="D139" s="79">
        <f>SUMIF(Expenses!$C:$C,B139,Expenses!$E:$E)</f>
        <v>0</v>
      </c>
      <c r="E139" s="79">
        <f t="shared" si="4"/>
        <v>0</v>
      </c>
      <c r="F139" s="62" t="str">
        <f t="shared" si="5"/>
        <v>Within Budget</v>
      </c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spans="1:22" x14ac:dyDescent="0.25">
      <c r="A140" s="71" t="s">
        <v>319</v>
      </c>
      <c r="B140" s="50"/>
      <c r="C140" s="78"/>
      <c r="D140" s="79">
        <f>SUMIF(Expenses!$C:$C,B140,Expenses!$E:$E)</f>
        <v>0</v>
      </c>
      <c r="E140" s="79">
        <f t="shared" si="4"/>
        <v>0</v>
      </c>
      <c r="F140" s="62" t="str">
        <f t="shared" si="5"/>
        <v>Within Budget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spans="1:22" x14ac:dyDescent="0.25">
      <c r="A141" s="71" t="s">
        <v>320</v>
      </c>
      <c r="B141" s="50"/>
      <c r="C141" s="78"/>
      <c r="D141" s="79">
        <f>SUMIF(Expenses!$C:$C,B141,Expenses!$E:$E)</f>
        <v>0</v>
      </c>
      <c r="E141" s="79">
        <f t="shared" si="4"/>
        <v>0</v>
      </c>
      <c r="F141" s="62" t="str">
        <f t="shared" si="5"/>
        <v>Within Budget</v>
      </c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spans="1:22" x14ac:dyDescent="0.25">
      <c r="A142" s="71" t="s">
        <v>321</v>
      </c>
      <c r="B142" s="50"/>
      <c r="C142" s="78"/>
      <c r="D142" s="79">
        <f>SUMIF(Expenses!$C:$C,B142,Expenses!$E:$E)</f>
        <v>0</v>
      </c>
      <c r="E142" s="79">
        <f t="shared" si="4"/>
        <v>0</v>
      </c>
      <c r="F142" s="62" t="str">
        <f t="shared" si="5"/>
        <v>Within Budget</v>
      </c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spans="1:22" x14ac:dyDescent="0.25">
      <c r="A143" s="71" t="s">
        <v>322</v>
      </c>
      <c r="B143" s="50"/>
      <c r="C143" s="78"/>
      <c r="D143" s="79">
        <f>SUMIF(Expenses!$C:$C,B143,Expenses!$E:$E)</f>
        <v>0</v>
      </c>
      <c r="E143" s="79">
        <f t="shared" si="4"/>
        <v>0</v>
      </c>
      <c r="F143" s="62" t="str">
        <f t="shared" si="5"/>
        <v>Within Budget</v>
      </c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spans="1:22" x14ac:dyDescent="0.25">
      <c r="A144" s="71" t="s">
        <v>323</v>
      </c>
      <c r="B144" s="50"/>
      <c r="C144" s="78"/>
      <c r="D144" s="79">
        <f>SUMIF(Expenses!$C:$C,B144,Expenses!$E:$E)</f>
        <v>0</v>
      </c>
      <c r="E144" s="79">
        <f t="shared" si="4"/>
        <v>0</v>
      </c>
      <c r="F144" s="62" t="str">
        <f t="shared" si="5"/>
        <v>Within Budget</v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spans="1:22" x14ac:dyDescent="0.25">
      <c r="A145" s="71" t="s">
        <v>324</v>
      </c>
      <c r="B145" s="50"/>
      <c r="C145" s="78"/>
      <c r="D145" s="79">
        <f>SUMIF(Expenses!$C:$C,B145,Expenses!$E:$E)</f>
        <v>0</v>
      </c>
      <c r="E145" s="79">
        <f t="shared" si="4"/>
        <v>0</v>
      </c>
      <c r="F145" s="62" t="str">
        <f t="shared" si="5"/>
        <v>Within Budget</v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spans="1:22" x14ac:dyDescent="0.25">
      <c r="A146" s="71" t="s">
        <v>325</v>
      </c>
      <c r="B146" s="50"/>
      <c r="C146" s="78"/>
      <c r="D146" s="79">
        <f>SUMIF(Expenses!$C:$C,B146,Expenses!$E:$E)</f>
        <v>0</v>
      </c>
      <c r="E146" s="79">
        <f t="shared" si="4"/>
        <v>0</v>
      </c>
      <c r="F146" s="62" t="str">
        <f t="shared" si="5"/>
        <v>Within Budget</v>
      </c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spans="1:22" x14ac:dyDescent="0.25">
      <c r="A147" s="71" t="s">
        <v>326</v>
      </c>
      <c r="B147" s="50"/>
      <c r="C147" s="78"/>
      <c r="D147" s="79">
        <f>SUMIF(Expenses!$C:$C,B147,Expenses!$E:$E)</f>
        <v>0</v>
      </c>
      <c r="E147" s="79">
        <f t="shared" si="4"/>
        <v>0</v>
      </c>
      <c r="F147" s="62" t="str">
        <f t="shared" si="5"/>
        <v>Within Budget</v>
      </c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spans="1:22" x14ac:dyDescent="0.25">
      <c r="A148" s="71" t="s">
        <v>327</v>
      </c>
      <c r="B148" s="50"/>
      <c r="C148" s="78"/>
      <c r="D148" s="79">
        <f>SUMIF(Expenses!$C:$C,B148,Expenses!$E:$E)</f>
        <v>0</v>
      </c>
      <c r="E148" s="79">
        <f t="shared" si="4"/>
        <v>0</v>
      </c>
      <c r="F148" s="62" t="str">
        <f t="shared" si="5"/>
        <v>Within Budget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spans="1:22" x14ac:dyDescent="0.25">
      <c r="A149" s="71" t="s">
        <v>328</v>
      </c>
      <c r="B149" s="50"/>
      <c r="C149" s="78"/>
      <c r="D149" s="79">
        <f>SUMIF(Expenses!$C:$C,B149,Expenses!$E:$E)</f>
        <v>0</v>
      </c>
      <c r="E149" s="79">
        <f t="shared" si="4"/>
        <v>0</v>
      </c>
      <c r="F149" s="62" t="str">
        <f t="shared" si="5"/>
        <v>Within Budget</v>
      </c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spans="1:22" x14ac:dyDescent="0.25">
      <c r="A150" s="71" t="s">
        <v>329</v>
      </c>
      <c r="B150" s="50"/>
      <c r="C150" s="78"/>
      <c r="D150" s="79">
        <f>SUMIF(Expenses!$C:$C,B150,Expenses!$E:$E)</f>
        <v>0</v>
      </c>
      <c r="E150" s="79">
        <f t="shared" si="4"/>
        <v>0</v>
      </c>
      <c r="F150" s="62" t="str">
        <f t="shared" si="5"/>
        <v>Within Budget</v>
      </c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spans="1:22" x14ac:dyDescent="0.25">
      <c r="A151" s="71" t="s">
        <v>330</v>
      </c>
      <c r="B151" s="50"/>
      <c r="C151" s="78"/>
      <c r="D151" s="79">
        <f>SUMIF(Expenses!$C:$C,B151,Expenses!$E:$E)</f>
        <v>0</v>
      </c>
      <c r="E151" s="79">
        <f t="shared" si="4"/>
        <v>0</v>
      </c>
      <c r="F151" s="62" t="str">
        <f t="shared" si="5"/>
        <v>Within Budget</v>
      </c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spans="1:22" x14ac:dyDescent="0.25">
      <c r="A152" s="71" t="s">
        <v>331</v>
      </c>
      <c r="B152" s="50"/>
      <c r="C152" s="78"/>
      <c r="D152" s="79">
        <f>SUMIF(Expenses!$C:$C,B152,Expenses!$E:$E)</f>
        <v>0</v>
      </c>
      <c r="E152" s="79">
        <f t="shared" si="4"/>
        <v>0</v>
      </c>
      <c r="F152" s="62" t="str">
        <f t="shared" si="5"/>
        <v>Within Budget</v>
      </c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spans="1:22" x14ac:dyDescent="0.25">
      <c r="A153" s="71" t="s">
        <v>332</v>
      </c>
      <c r="B153" s="50"/>
      <c r="C153" s="78"/>
      <c r="D153" s="79">
        <f>SUMIF(Expenses!$C:$C,B153,Expenses!$E:$E)</f>
        <v>0</v>
      </c>
      <c r="E153" s="79">
        <f t="shared" si="4"/>
        <v>0</v>
      </c>
      <c r="F153" s="62" t="str">
        <f t="shared" si="5"/>
        <v>Within Budget</v>
      </c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spans="1:22" x14ac:dyDescent="0.25">
      <c r="A154" s="71" t="s">
        <v>333</v>
      </c>
      <c r="B154" s="50"/>
      <c r="C154" s="78"/>
      <c r="D154" s="79">
        <f>SUMIF(Expenses!$C:$C,B154,Expenses!$E:$E)</f>
        <v>0</v>
      </c>
      <c r="E154" s="79">
        <f t="shared" si="4"/>
        <v>0</v>
      </c>
      <c r="F154" s="62" t="str">
        <f t="shared" si="5"/>
        <v>Within Budget</v>
      </c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spans="1:22" x14ac:dyDescent="0.25">
      <c r="A155" s="71" t="s">
        <v>334</v>
      </c>
      <c r="B155" s="50"/>
      <c r="C155" s="78"/>
      <c r="D155" s="79">
        <f>SUMIF(Expenses!$C:$C,B155,Expenses!$E:$E)</f>
        <v>0</v>
      </c>
      <c r="E155" s="79">
        <f t="shared" si="4"/>
        <v>0</v>
      </c>
      <c r="F155" s="62" t="str">
        <f t="shared" si="5"/>
        <v>Within Budget</v>
      </c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spans="1:22" x14ac:dyDescent="0.25">
      <c r="A156" s="71" t="s">
        <v>335</v>
      </c>
      <c r="B156" s="50"/>
      <c r="C156" s="78"/>
      <c r="D156" s="79">
        <f>SUMIF(Expenses!$C:$C,B156,Expenses!$E:$E)</f>
        <v>0</v>
      </c>
      <c r="E156" s="79">
        <f t="shared" si="4"/>
        <v>0</v>
      </c>
      <c r="F156" s="62" t="str">
        <f t="shared" si="5"/>
        <v>Within Budget</v>
      </c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spans="1:22" x14ac:dyDescent="0.25">
      <c r="A157" s="71" t="s">
        <v>336</v>
      </c>
      <c r="B157" s="50"/>
      <c r="C157" s="78"/>
      <c r="D157" s="79">
        <f>SUMIF(Expenses!$C:$C,B157,Expenses!$E:$E)</f>
        <v>0</v>
      </c>
      <c r="E157" s="79">
        <f t="shared" si="4"/>
        <v>0</v>
      </c>
      <c r="F157" s="62" t="str">
        <f t="shared" si="5"/>
        <v>Within Budget</v>
      </c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 spans="1:22" x14ac:dyDescent="0.25">
      <c r="A158" s="71" t="s">
        <v>337</v>
      </c>
      <c r="B158" s="50"/>
      <c r="C158" s="78"/>
      <c r="D158" s="79">
        <f>SUMIF(Expenses!$C:$C,B158,Expenses!$E:$E)</f>
        <v>0</v>
      </c>
      <c r="E158" s="79">
        <f t="shared" si="4"/>
        <v>0</v>
      </c>
      <c r="F158" s="62" t="str">
        <f t="shared" si="5"/>
        <v>Within Budget</v>
      </c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spans="1:22" x14ac:dyDescent="0.25">
      <c r="A159" s="71" t="s">
        <v>338</v>
      </c>
      <c r="B159" s="50"/>
      <c r="C159" s="78"/>
      <c r="D159" s="79">
        <f>SUMIF(Expenses!$C:$C,B159,Expenses!$E:$E)</f>
        <v>0</v>
      </c>
      <c r="E159" s="79">
        <f t="shared" si="4"/>
        <v>0</v>
      </c>
      <c r="F159" s="62" t="str">
        <f t="shared" si="5"/>
        <v>Within Budget</v>
      </c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spans="1:22" x14ac:dyDescent="0.25">
      <c r="A160" s="71" t="s">
        <v>339</v>
      </c>
      <c r="B160" s="50"/>
      <c r="C160" s="78"/>
      <c r="D160" s="79">
        <f>SUMIF(Expenses!$C:$C,B160,Expenses!$E:$E)</f>
        <v>0</v>
      </c>
      <c r="E160" s="79">
        <f t="shared" si="4"/>
        <v>0</v>
      </c>
      <c r="F160" s="62" t="str">
        <f t="shared" si="5"/>
        <v>Within Budget</v>
      </c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spans="1:22" x14ac:dyDescent="0.25">
      <c r="A161" s="71" t="s">
        <v>340</v>
      </c>
      <c r="B161" s="50"/>
      <c r="C161" s="78"/>
      <c r="D161" s="79">
        <f>SUMIF(Expenses!$C:$C,B161,Expenses!$E:$E)</f>
        <v>0</v>
      </c>
      <c r="E161" s="79">
        <f t="shared" si="4"/>
        <v>0</v>
      </c>
      <c r="F161" s="62" t="str">
        <f t="shared" si="5"/>
        <v>Within Budget</v>
      </c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spans="1:22" x14ac:dyDescent="0.25">
      <c r="A162" s="71" t="s">
        <v>341</v>
      </c>
      <c r="B162" s="50"/>
      <c r="C162" s="78"/>
      <c r="D162" s="79">
        <f>SUMIF(Expenses!$C:$C,B162,Expenses!$E:$E)</f>
        <v>0</v>
      </c>
      <c r="E162" s="79">
        <f t="shared" si="4"/>
        <v>0</v>
      </c>
      <c r="F162" s="62" t="str">
        <f t="shared" si="5"/>
        <v>Within Budget</v>
      </c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 spans="1:22" x14ac:dyDescent="0.25">
      <c r="A163" s="71" t="s">
        <v>342</v>
      </c>
      <c r="B163" s="50"/>
      <c r="C163" s="78"/>
      <c r="D163" s="79">
        <f>SUMIF(Expenses!$C:$C,B163,Expenses!$E:$E)</f>
        <v>0</v>
      </c>
      <c r="E163" s="79">
        <f t="shared" si="4"/>
        <v>0</v>
      </c>
      <c r="F163" s="62" t="str">
        <f t="shared" si="5"/>
        <v>Within Budget</v>
      </c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spans="1:22" x14ac:dyDescent="0.25">
      <c r="A164" s="71" t="s">
        <v>343</v>
      </c>
      <c r="B164" s="50"/>
      <c r="C164" s="78"/>
      <c r="D164" s="79">
        <f>SUMIF(Expenses!$C:$C,B164,Expenses!$E:$E)</f>
        <v>0</v>
      </c>
      <c r="E164" s="79">
        <f t="shared" si="4"/>
        <v>0</v>
      </c>
      <c r="F164" s="62" t="str">
        <f t="shared" si="5"/>
        <v>Within Budget</v>
      </c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spans="1:22" x14ac:dyDescent="0.25">
      <c r="A165" s="71" t="s">
        <v>344</v>
      </c>
      <c r="B165" s="50"/>
      <c r="C165" s="78"/>
      <c r="D165" s="79">
        <f>SUMIF(Expenses!$C:$C,B165,Expenses!$E:$E)</f>
        <v>0</v>
      </c>
      <c r="E165" s="79">
        <f t="shared" si="4"/>
        <v>0</v>
      </c>
      <c r="F165" s="62" t="str">
        <f t="shared" si="5"/>
        <v>Within Budget</v>
      </c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spans="1:22" x14ac:dyDescent="0.25">
      <c r="A166" s="71" t="s">
        <v>345</v>
      </c>
      <c r="B166" s="50"/>
      <c r="C166" s="78"/>
      <c r="D166" s="79">
        <f>SUMIF(Expenses!$C:$C,B166,Expenses!$E:$E)</f>
        <v>0</v>
      </c>
      <c r="E166" s="79">
        <f t="shared" si="4"/>
        <v>0</v>
      </c>
      <c r="F166" s="62" t="str">
        <f t="shared" si="5"/>
        <v>Within Budget</v>
      </c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spans="1:22" x14ac:dyDescent="0.25">
      <c r="A167" s="71" t="s">
        <v>346</v>
      </c>
      <c r="B167" s="50"/>
      <c r="C167" s="78"/>
      <c r="D167" s="79">
        <f>SUMIF(Expenses!$C:$C,B167,Expenses!$E:$E)</f>
        <v>0</v>
      </c>
      <c r="E167" s="79">
        <f t="shared" si="4"/>
        <v>0</v>
      </c>
      <c r="F167" s="62" t="str">
        <f t="shared" si="5"/>
        <v>Within Budget</v>
      </c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 spans="1:22" x14ac:dyDescent="0.25">
      <c r="A168" s="71" t="s">
        <v>347</v>
      </c>
      <c r="B168" s="50"/>
      <c r="C168" s="78"/>
      <c r="D168" s="79">
        <f>SUMIF(Expenses!$C:$C,B168,Expenses!$E:$E)</f>
        <v>0</v>
      </c>
      <c r="E168" s="79">
        <f t="shared" si="4"/>
        <v>0</v>
      </c>
      <c r="F168" s="62" t="str">
        <f t="shared" si="5"/>
        <v>Within Budget</v>
      </c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 spans="1:22" x14ac:dyDescent="0.25">
      <c r="A169" s="71" t="s">
        <v>348</v>
      </c>
      <c r="B169" s="50"/>
      <c r="C169" s="78"/>
      <c r="D169" s="79">
        <f>SUMIF(Expenses!$C:$C,B169,Expenses!$E:$E)</f>
        <v>0</v>
      </c>
      <c r="E169" s="79">
        <f t="shared" si="4"/>
        <v>0</v>
      </c>
      <c r="F169" s="62" t="str">
        <f t="shared" si="5"/>
        <v>Within Budget</v>
      </c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spans="1:22" x14ac:dyDescent="0.25">
      <c r="A170" s="71" t="s">
        <v>349</v>
      </c>
      <c r="B170" s="50"/>
      <c r="C170" s="78"/>
      <c r="D170" s="79">
        <f>SUMIF(Expenses!$C:$C,B170,Expenses!$E:$E)</f>
        <v>0</v>
      </c>
      <c r="E170" s="79">
        <f t="shared" si="4"/>
        <v>0</v>
      </c>
      <c r="F170" s="62" t="str">
        <f t="shared" si="5"/>
        <v>Within Budget</v>
      </c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 spans="1:22" x14ac:dyDescent="0.25">
      <c r="A171" s="71" t="s">
        <v>350</v>
      </c>
      <c r="B171" s="50"/>
      <c r="C171" s="78"/>
      <c r="D171" s="79">
        <f>SUMIF(Expenses!$C:$C,B171,Expenses!$E:$E)</f>
        <v>0</v>
      </c>
      <c r="E171" s="79">
        <f t="shared" si="4"/>
        <v>0</v>
      </c>
      <c r="F171" s="62" t="str">
        <f t="shared" si="5"/>
        <v>Within Budget</v>
      </c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 spans="1:22" x14ac:dyDescent="0.25">
      <c r="A172" s="71" t="s">
        <v>351</v>
      </c>
      <c r="B172" s="50"/>
      <c r="C172" s="78"/>
      <c r="D172" s="79">
        <f>SUMIF(Expenses!$C:$C,B172,Expenses!$E:$E)</f>
        <v>0</v>
      </c>
      <c r="E172" s="79">
        <f t="shared" si="4"/>
        <v>0</v>
      </c>
      <c r="F172" s="62" t="str">
        <f t="shared" si="5"/>
        <v>Within Budget</v>
      </c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 spans="1:22" x14ac:dyDescent="0.25">
      <c r="A173" s="71" t="s">
        <v>352</v>
      </c>
      <c r="B173" s="50"/>
      <c r="C173" s="78"/>
      <c r="D173" s="79">
        <f>SUMIF(Expenses!$C:$C,B173,Expenses!$E:$E)</f>
        <v>0</v>
      </c>
      <c r="E173" s="79">
        <f t="shared" si="4"/>
        <v>0</v>
      </c>
      <c r="F173" s="62" t="str">
        <f t="shared" si="5"/>
        <v>Within Budget</v>
      </c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 spans="1:22" x14ac:dyDescent="0.25">
      <c r="A174" s="71" t="s">
        <v>353</v>
      </c>
      <c r="B174" s="50"/>
      <c r="C174" s="78"/>
      <c r="D174" s="79">
        <f>SUMIF(Expenses!$C:$C,B174,Expenses!$E:$E)</f>
        <v>0</v>
      </c>
      <c r="E174" s="79">
        <f t="shared" si="4"/>
        <v>0</v>
      </c>
      <c r="F174" s="62" t="str">
        <f t="shared" si="5"/>
        <v>Within Budget</v>
      </c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 spans="1:22" x14ac:dyDescent="0.25">
      <c r="A175" s="71" t="s">
        <v>354</v>
      </c>
      <c r="B175" s="50"/>
      <c r="C175" s="78"/>
      <c r="D175" s="79">
        <f>SUMIF(Expenses!$C:$C,B175,Expenses!$E:$E)</f>
        <v>0</v>
      </c>
      <c r="E175" s="79">
        <f t="shared" si="4"/>
        <v>0</v>
      </c>
      <c r="F175" s="62" t="str">
        <f t="shared" si="5"/>
        <v>Within Budget</v>
      </c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 spans="1:22" x14ac:dyDescent="0.25">
      <c r="A176" s="71" t="s">
        <v>355</v>
      </c>
      <c r="B176" s="50"/>
      <c r="C176" s="78"/>
      <c r="D176" s="79">
        <f>SUMIF(Expenses!$C:$C,B176,Expenses!$E:$E)</f>
        <v>0</v>
      </c>
      <c r="E176" s="79">
        <f t="shared" si="4"/>
        <v>0</v>
      </c>
      <c r="F176" s="62" t="str">
        <f t="shared" si="5"/>
        <v>Within Budget</v>
      </c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 spans="1:22" x14ac:dyDescent="0.25">
      <c r="A177" s="71" t="s">
        <v>356</v>
      </c>
      <c r="B177" s="50"/>
      <c r="C177" s="78"/>
      <c r="D177" s="79">
        <f>SUMIF(Expenses!$C:$C,B177,Expenses!$E:$E)</f>
        <v>0</v>
      </c>
      <c r="E177" s="79">
        <f t="shared" si="4"/>
        <v>0</v>
      </c>
      <c r="F177" s="62" t="str">
        <f t="shared" si="5"/>
        <v>Within Budget</v>
      </c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 spans="1:22" x14ac:dyDescent="0.25">
      <c r="A178" s="71" t="s">
        <v>357</v>
      </c>
      <c r="B178" s="50"/>
      <c r="C178" s="78"/>
      <c r="D178" s="79">
        <f>SUMIF(Expenses!$C:$C,B178,Expenses!$E:$E)</f>
        <v>0</v>
      </c>
      <c r="E178" s="79">
        <f t="shared" si="4"/>
        <v>0</v>
      </c>
      <c r="F178" s="62" t="str">
        <f t="shared" si="5"/>
        <v>Within Budget</v>
      </c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 spans="1:22" x14ac:dyDescent="0.25">
      <c r="A179" s="71" t="s">
        <v>358</v>
      </c>
      <c r="B179" s="50"/>
      <c r="C179" s="78"/>
      <c r="D179" s="79">
        <f>SUMIF(Expenses!$C:$C,B179,Expenses!$E:$E)</f>
        <v>0</v>
      </c>
      <c r="E179" s="79">
        <f t="shared" si="4"/>
        <v>0</v>
      </c>
      <c r="F179" s="62" t="str">
        <f t="shared" si="5"/>
        <v>Within Budget</v>
      </c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 spans="1:22" x14ac:dyDescent="0.25">
      <c r="A180" s="71" t="s">
        <v>359</v>
      </c>
      <c r="B180" s="50"/>
      <c r="C180" s="78"/>
      <c r="D180" s="79">
        <f>SUMIF(Expenses!$C:$C,B180,Expenses!$E:$E)</f>
        <v>0</v>
      </c>
      <c r="E180" s="79">
        <f t="shared" si="4"/>
        <v>0</v>
      </c>
      <c r="F180" s="62" t="str">
        <f t="shared" si="5"/>
        <v>Within Budget</v>
      </c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 spans="1:22" x14ac:dyDescent="0.25">
      <c r="A181" s="71" t="s">
        <v>360</v>
      </c>
      <c r="B181" s="50"/>
      <c r="C181" s="78"/>
      <c r="D181" s="79">
        <f>SUMIF(Expenses!$C:$C,B181,Expenses!$E:$E)</f>
        <v>0</v>
      </c>
      <c r="E181" s="79">
        <f t="shared" si="4"/>
        <v>0</v>
      </c>
      <c r="F181" s="62" t="str">
        <f t="shared" si="5"/>
        <v>Within Budget</v>
      </c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 spans="1:22" x14ac:dyDescent="0.25">
      <c r="A182" s="71" t="s">
        <v>361</v>
      </c>
      <c r="B182" s="50"/>
      <c r="C182" s="78"/>
      <c r="D182" s="79">
        <f>SUMIF(Expenses!$C:$C,B182,Expenses!$E:$E)</f>
        <v>0</v>
      </c>
      <c r="E182" s="79">
        <f t="shared" si="4"/>
        <v>0</v>
      </c>
      <c r="F182" s="62" t="str">
        <f t="shared" si="5"/>
        <v>Within Budget</v>
      </c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spans="1:22" x14ac:dyDescent="0.25">
      <c r="A183" s="71" t="s">
        <v>362</v>
      </c>
      <c r="B183" s="50"/>
      <c r="C183" s="78"/>
      <c r="D183" s="79">
        <f>SUMIF(Expenses!$C:$C,B183,Expenses!$E:$E)</f>
        <v>0</v>
      </c>
      <c r="E183" s="79">
        <f t="shared" si="4"/>
        <v>0</v>
      </c>
      <c r="F183" s="62" t="str">
        <f t="shared" si="5"/>
        <v>Within Budget</v>
      </c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 spans="1:22" x14ac:dyDescent="0.25">
      <c r="A184" s="71" t="s">
        <v>363</v>
      </c>
      <c r="B184" s="50"/>
      <c r="C184" s="78"/>
      <c r="D184" s="79">
        <f>SUMIF(Expenses!$C:$C,B184,Expenses!$E:$E)</f>
        <v>0</v>
      </c>
      <c r="E184" s="79">
        <f t="shared" si="4"/>
        <v>0</v>
      </c>
      <c r="F184" s="62" t="str">
        <f t="shared" si="5"/>
        <v>Within Budget</v>
      </c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 spans="1:22" x14ac:dyDescent="0.25">
      <c r="A185" s="71" t="s">
        <v>364</v>
      </c>
      <c r="B185" s="50"/>
      <c r="C185" s="78"/>
      <c r="D185" s="79">
        <f>SUMIF(Expenses!$C:$C,B185,Expenses!$E:$E)</f>
        <v>0</v>
      </c>
      <c r="E185" s="79">
        <f t="shared" si="4"/>
        <v>0</v>
      </c>
      <c r="F185" s="62" t="str">
        <f t="shared" si="5"/>
        <v>Within Budget</v>
      </c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</row>
    <row r="186" spans="1:22" x14ac:dyDescent="0.25">
      <c r="A186" s="71" t="s">
        <v>365</v>
      </c>
      <c r="B186" s="50"/>
      <c r="C186" s="78"/>
      <c r="D186" s="79">
        <f>SUMIF(Expenses!$C:$C,B186,Expenses!$E:$E)</f>
        <v>0</v>
      </c>
      <c r="E186" s="79">
        <f t="shared" si="4"/>
        <v>0</v>
      </c>
      <c r="F186" s="62" t="str">
        <f t="shared" si="5"/>
        <v>Within Budget</v>
      </c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 spans="1:22" x14ac:dyDescent="0.25">
      <c r="A187" s="71" t="s">
        <v>366</v>
      </c>
      <c r="B187" s="50"/>
      <c r="C187" s="78"/>
      <c r="D187" s="79">
        <f>SUMIF(Expenses!$C:$C,B187,Expenses!$E:$E)</f>
        <v>0</v>
      </c>
      <c r="E187" s="79">
        <f t="shared" si="4"/>
        <v>0</v>
      </c>
      <c r="F187" s="62" t="str">
        <f t="shared" si="5"/>
        <v>Within Budget</v>
      </c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 spans="1:22" x14ac:dyDescent="0.25">
      <c r="A188" s="71" t="s">
        <v>367</v>
      </c>
      <c r="B188" s="50"/>
      <c r="C188" s="78"/>
      <c r="D188" s="79">
        <f>SUMIF(Expenses!$C:$C,B188,Expenses!$E:$E)</f>
        <v>0</v>
      </c>
      <c r="E188" s="79">
        <f t="shared" si="4"/>
        <v>0</v>
      </c>
      <c r="F188" s="62" t="str">
        <f t="shared" si="5"/>
        <v>Within Budget</v>
      </c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 spans="1:22" x14ac:dyDescent="0.25">
      <c r="A189" s="71" t="s">
        <v>368</v>
      </c>
      <c r="B189" s="50"/>
      <c r="C189" s="78"/>
      <c r="D189" s="79">
        <f>SUMIF(Expenses!$C:$C,B189,Expenses!$E:$E)</f>
        <v>0</v>
      </c>
      <c r="E189" s="79">
        <f t="shared" si="4"/>
        <v>0</v>
      </c>
      <c r="F189" s="62" t="str">
        <f t="shared" si="5"/>
        <v>Within Budget</v>
      </c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 spans="1:22" x14ac:dyDescent="0.25">
      <c r="A190" s="71" t="s">
        <v>369</v>
      </c>
      <c r="B190" s="50"/>
      <c r="C190" s="78"/>
      <c r="D190" s="79">
        <f>SUMIF(Expenses!$C:$C,B190,Expenses!$E:$E)</f>
        <v>0</v>
      </c>
      <c r="E190" s="79">
        <f t="shared" si="4"/>
        <v>0</v>
      </c>
      <c r="F190" s="62" t="str">
        <f t="shared" si="5"/>
        <v>Within Budget</v>
      </c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 spans="1:22" x14ac:dyDescent="0.25">
      <c r="A191" s="71" t="s">
        <v>370</v>
      </c>
      <c r="B191" s="50"/>
      <c r="C191" s="78"/>
      <c r="D191" s="79">
        <f>SUMIF(Expenses!$C:$C,B191,Expenses!$E:$E)</f>
        <v>0</v>
      </c>
      <c r="E191" s="79">
        <f t="shared" si="4"/>
        <v>0</v>
      </c>
      <c r="F191" s="62" t="str">
        <f t="shared" si="5"/>
        <v>Within Budget</v>
      </c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 spans="1:22" x14ac:dyDescent="0.25">
      <c r="A192" s="71" t="s">
        <v>371</v>
      </c>
      <c r="B192" s="50"/>
      <c r="C192" s="78"/>
      <c r="D192" s="79">
        <f>SUMIF(Expenses!$C:$C,B192,Expenses!$E:$E)</f>
        <v>0</v>
      </c>
      <c r="E192" s="79">
        <f t="shared" si="4"/>
        <v>0</v>
      </c>
      <c r="F192" s="62" t="str">
        <f t="shared" si="5"/>
        <v>Within Budget</v>
      </c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</row>
    <row r="193" spans="1:22" x14ac:dyDescent="0.25">
      <c r="A193" s="71" t="s">
        <v>372</v>
      </c>
      <c r="B193" s="50"/>
      <c r="C193" s="78"/>
      <c r="D193" s="79">
        <f>SUMIF(Expenses!$C:$C,B193,Expenses!$E:$E)</f>
        <v>0</v>
      </c>
      <c r="E193" s="79">
        <f t="shared" si="4"/>
        <v>0</v>
      </c>
      <c r="F193" s="62" t="str">
        <f t="shared" si="5"/>
        <v>Within Budget</v>
      </c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 spans="1:22" x14ac:dyDescent="0.25">
      <c r="A194" s="71" t="s">
        <v>373</v>
      </c>
      <c r="B194" s="50"/>
      <c r="C194" s="78"/>
      <c r="D194" s="79">
        <f>SUMIF(Expenses!$C:$C,B194,Expenses!$E:$E)</f>
        <v>0</v>
      </c>
      <c r="E194" s="79">
        <f t="shared" ref="E194:E200" si="6">C194-D194</f>
        <v>0</v>
      </c>
      <c r="F194" s="62" t="str">
        <f t="shared" ref="F194:F200" si="7">IF(E194&gt;=0,"Within Budget","Over Budget")</f>
        <v>Within Budget</v>
      </c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 spans="1:22" x14ac:dyDescent="0.25">
      <c r="A195" s="71" t="s">
        <v>374</v>
      </c>
      <c r="B195" s="50"/>
      <c r="C195" s="78"/>
      <c r="D195" s="79">
        <f>SUMIF(Expenses!$C:$C,B195,Expenses!$E:$E)</f>
        <v>0</v>
      </c>
      <c r="E195" s="79">
        <f t="shared" si="6"/>
        <v>0</v>
      </c>
      <c r="F195" s="62" t="str">
        <f t="shared" si="7"/>
        <v>Within Budget</v>
      </c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 spans="1:22" x14ac:dyDescent="0.25">
      <c r="A196" s="71" t="s">
        <v>375</v>
      </c>
      <c r="B196" s="50"/>
      <c r="C196" s="78"/>
      <c r="D196" s="79">
        <f>SUMIF(Expenses!$C:$C,B196,Expenses!$E:$E)</f>
        <v>0</v>
      </c>
      <c r="E196" s="79">
        <f t="shared" si="6"/>
        <v>0</v>
      </c>
      <c r="F196" s="62" t="str">
        <f t="shared" si="7"/>
        <v>Within Budget</v>
      </c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</row>
    <row r="197" spans="1:22" x14ac:dyDescent="0.25">
      <c r="A197" s="71" t="s">
        <v>376</v>
      </c>
      <c r="B197" s="50"/>
      <c r="C197" s="78"/>
      <c r="D197" s="79">
        <f>SUMIF(Expenses!$C:$C,B197,Expenses!$E:$E)</f>
        <v>0</v>
      </c>
      <c r="E197" s="79">
        <f t="shared" si="6"/>
        <v>0</v>
      </c>
      <c r="F197" s="62" t="str">
        <f t="shared" si="7"/>
        <v>Within Budget</v>
      </c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 spans="1:22" x14ac:dyDescent="0.25">
      <c r="A198" s="71" t="s">
        <v>377</v>
      </c>
      <c r="B198" s="50"/>
      <c r="C198" s="78"/>
      <c r="D198" s="79">
        <f>SUMIF(Expenses!$C:$C,B198,Expenses!$E:$E)</f>
        <v>0</v>
      </c>
      <c r="E198" s="79">
        <f t="shared" si="6"/>
        <v>0</v>
      </c>
      <c r="F198" s="62" t="str">
        <f t="shared" si="7"/>
        <v>Within Budget</v>
      </c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 spans="1:22" x14ac:dyDescent="0.25">
      <c r="A199" s="71" t="s">
        <v>378</v>
      </c>
      <c r="B199" s="50"/>
      <c r="C199" s="78"/>
      <c r="D199" s="79">
        <f>SUMIF(Expenses!$C:$C,B199,Expenses!$E:$E)</f>
        <v>0</v>
      </c>
      <c r="E199" s="79">
        <f t="shared" si="6"/>
        <v>0</v>
      </c>
      <c r="F199" s="62" t="str">
        <f t="shared" si="7"/>
        <v>Within Budget</v>
      </c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 spans="1:22" x14ac:dyDescent="0.25">
      <c r="A200" s="74" t="s">
        <v>379</v>
      </c>
      <c r="B200" s="56"/>
      <c r="C200" s="80"/>
      <c r="D200" s="79">
        <f>SUMIF(Expenses!$C:$C,B200,Expenses!$E:$E)</f>
        <v>0</v>
      </c>
      <c r="E200" s="79">
        <f t="shared" si="6"/>
        <v>0</v>
      </c>
      <c r="F200" s="63" t="str">
        <f t="shared" si="7"/>
        <v>Within Budget</v>
      </c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</sheetData>
  <conditionalFormatting sqref="F2:F200">
    <cfRule type="containsText" dxfId="3" priority="1" operator="containsText" text="Within Budget">
      <formula>NOT(ISERROR(SEARCH("Within Budget",F2)))</formula>
    </cfRule>
    <cfRule type="containsText" dxfId="2" priority="2" operator="containsText" text="Over Budget">
      <formula>NOT(ISERROR(SEARCH("Over Budget",F2)))</formula>
    </cfRule>
    <cfRule type="containsText" dxfId="1" priority="3" operator="containsText" text="Under Budget">
      <formula>NOT(ISERROR(SEARCH("Under Budget",F2)))</formula>
    </cfRule>
    <cfRule type="containsText" dxfId="0" priority="4" operator="containsText" text="Within Budget">
      <formula>NOT(ISERROR(SEARCH("Within Budget",F2)))</formula>
    </cfRule>
  </conditionalFormatting>
  <dataValidations count="1">
    <dataValidation type="list" allowBlank="1" showInputMessage="1" showErrorMessage="1" sqref="B2:B200" xr:uid="{00000000-0002-0000-0800-000000000000}">
      <formula1>BudgetCategoryList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X101"/>
  <sheetViews>
    <sheetView showGridLines="0" showRowColHeaders="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3" bestFit="1" customWidth="1"/>
    <col min="2" max="2" width="20.5703125" bestFit="1" customWidth="1"/>
    <col min="3" max="3" width="20.85546875" bestFit="1" customWidth="1"/>
    <col min="4" max="4" width="16.5703125" bestFit="1" customWidth="1"/>
    <col min="5" max="5" width="24.42578125" bestFit="1" customWidth="1"/>
    <col min="6" max="6" width="21" bestFit="1" customWidth="1"/>
    <col min="7" max="7" width="31" bestFit="1" customWidth="1"/>
    <col min="8" max="8" width="10.7109375" bestFit="1" customWidth="1"/>
  </cols>
  <sheetData>
    <row r="1" spans="1:24" ht="23.1" customHeight="1" x14ac:dyDescent="0.3">
      <c r="A1" s="164" t="s">
        <v>477</v>
      </c>
      <c r="B1" s="165" t="s">
        <v>478</v>
      </c>
      <c r="C1" s="165" t="s">
        <v>479</v>
      </c>
      <c r="D1" s="165" t="s">
        <v>480</v>
      </c>
      <c r="E1" s="165" t="s">
        <v>481</v>
      </c>
      <c r="F1" s="165" t="s">
        <v>482</v>
      </c>
      <c r="G1" s="165" t="s">
        <v>483</v>
      </c>
      <c r="H1" s="166" t="s">
        <v>7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23.1" customHeight="1" x14ac:dyDescent="0.25">
      <c r="A2" s="71" t="str">
        <f t="shared" ref="A2:A33" si="0">"SUP"&amp;TEXT(ROW()-1,"000")</f>
        <v>SUP001</v>
      </c>
      <c r="B2" s="32" t="s">
        <v>102</v>
      </c>
      <c r="C2" s="50">
        <v>9120475646</v>
      </c>
      <c r="D2" s="50" t="s">
        <v>551</v>
      </c>
      <c r="E2" s="50" t="s">
        <v>552</v>
      </c>
      <c r="F2" s="50" t="s">
        <v>553</v>
      </c>
      <c r="G2" s="152" t="s">
        <v>554</v>
      </c>
      <c r="H2" s="36" t="s">
        <v>35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x14ac:dyDescent="0.25">
      <c r="A3" s="71" t="str">
        <f t="shared" si="0"/>
        <v>SUP002</v>
      </c>
      <c r="B3" s="32"/>
      <c r="C3" s="50"/>
      <c r="D3" s="50"/>
      <c r="E3" s="50"/>
      <c r="F3" s="50"/>
      <c r="G3" s="32"/>
      <c r="H3" s="36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x14ac:dyDescent="0.25">
      <c r="A4" s="71" t="str">
        <f t="shared" si="0"/>
        <v>SUP003</v>
      </c>
      <c r="B4" s="32"/>
      <c r="C4" s="50"/>
      <c r="D4" s="50"/>
      <c r="E4" s="50"/>
      <c r="F4" s="50"/>
      <c r="G4" s="32"/>
      <c r="H4" s="3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71" t="str">
        <f t="shared" si="0"/>
        <v>SUP004</v>
      </c>
      <c r="B5" s="32"/>
      <c r="C5" s="50"/>
      <c r="D5" s="50"/>
      <c r="E5" s="50"/>
      <c r="F5" s="50"/>
      <c r="G5" s="32"/>
      <c r="H5" s="36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4" x14ac:dyDescent="0.25">
      <c r="A6" s="71" t="str">
        <f t="shared" si="0"/>
        <v>SUP005</v>
      </c>
      <c r="B6" s="32"/>
      <c r="C6" s="50"/>
      <c r="D6" s="50"/>
      <c r="E6" s="50"/>
      <c r="F6" s="50"/>
      <c r="G6" s="32"/>
      <c r="H6" s="36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25">
      <c r="A7" s="71" t="str">
        <f t="shared" si="0"/>
        <v>SUP006</v>
      </c>
      <c r="B7" s="32"/>
      <c r="C7" s="50"/>
      <c r="D7" s="50"/>
      <c r="E7" s="50"/>
      <c r="F7" s="50"/>
      <c r="G7" s="32"/>
      <c r="H7" s="36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25">
      <c r="A8" s="71" t="str">
        <f t="shared" si="0"/>
        <v>SUP007</v>
      </c>
      <c r="B8" s="32"/>
      <c r="C8" s="50"/>
      <c r="D8" s="50"/>
      <c r="E8" s="50"/>
      <c r="F8" s="50"/>
      <c r="G8" s="32"/>
      <c r="H8" s="36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25">
      <c r="A9" s="71" t="str">
        <f t="shared" si="0"/>
        <v>SUP008</v>
      </c>
      <c r="B9" s="32"/>
      <c r="C9" s="50"/>
      <c r="D9" s="50"/>
      <c r="E9" s="50"/>
      <c r="F9" s="50"/>
      <c r="G9" s="32"/>
      <c r="H9" s="36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25">
      <c r="A10" s="71" t="str">
        <f t="shared" si="0"/>
        <v>SUP009</v>
      </c>
      <c r="B10" s="32"/>
      <c r="C10" s="50"/>
      <c r="D10" s="50"/>
      <c r="E10" s="50"/>
      <c r="F10" s="50"/>
      <c r="G10" s="32"/>
      <c r="H10" s="36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25">
      <c r="A11" s="71" t="str">
        <f t="shared" si="0"/>
        <v>SUP010</v>
      </c>
      <c r="B11" s="32"/>
      <c r="C11" s="50"/>
      <c r="D11" s="50"/>
      <c r="E11" s="50"/>
      <c r="F11" s="50"/>
      <c r="G11" s="32"/>
      <c r="H11" s="36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25">
      <c r="A12" s="71" t="str">
        <f t="shared" si="0"/>
        <v>SUP011</v>
      </c>
      <c r="B12" s="32"/>
      <c r="C12" s="50"/>
      <c r="D12" s="50"/>
      <c r="E12" s="50"/>
      <c r="F12" s="50"/>
      <c r="G12" s="32"/>
      <c r="H12" s="36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25">
      <c r="A13" s="71" t="str">
        <f t="shared" si="0"/>
        <v>SUP012</v>
      </c>
      <c r="B13" s="32"/>
      <c r="C13" s="50"/>
      <c r="D13" s="50"/>
      <c r="E13" s="50"/>
      <c r="F13" s="50"/>
      <c r="G13" s="32"/>
      <c r="H13" s="36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25">
      <c r="A14" s="71" t="str">
        <f t="shared" si="0"/>
        <v>SUP013</v>
      </c>
      <c r="B14" s="32"/>
      <c r="C14" s="50"/>
      <c r="D14" s="50"/>
      <c r="E14" s="50"/>
      <c r="F14" s="50"/>
      <c r="G14" s="32"/>
      <c r="H14" s="36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25">
      <c r="A15" s="71" t="str">
        <f t="shared" si="0"/>
        <v>SUP014</v>
      </c>
      <c r="B15" s="32"/>
      <c r="C15" s="50"/>
      <c r="D15" s="50"/>
      <c r="E15" s="50"/>
      <c r="F15" s="50"/>
      <c r="G15" s="32"/>
      <c r="H15" s="3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25">
      <c r="A16" s="71" t="str">
        <f t="shared" si="0"/>
        <v>SUP015</v>
      </c>
      <c r="B16" s="32"/>
      <c r="C16" s="50"/>
      <c r="D16" s="50"/>
      <c r="E16" s="50"/>
      <c r="F16" s="50"/>
      <c r="G16" s="32"/>
      <c r="H16" s="36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25">
      <c r="A17" s="71" t="str">
        <f t="shared" si="0"/>
        <v>SUP016</v>
      </c>
      <c r="B17" s="32"/>
      <c r="C17" s="50"/>
      <c r="D17" s="50"/>
      <c r="E17" s="50"/>
      <c r="F17" s="50"/>
      <c r="G17" s="32"/>
      <c r="H17" s="36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25">
      <c r="A18" s="71" t="str">
        <f t="shared" si="0"/>
        <v>SUP017</v>
      </c>
      <c r="B18" s="32"/>
      <c r="C18" s="50"/>
      <c r="D18" s="50"/>
      <c r="E18" s="50"/>
      <c r="F18" s="50"/>
      <c r="G18" s="32"/>
      <c r="H18" s="36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25">
      <c r="A19" s="71" t="str">
        <f t="shared" si="0"/>
        <v>SUP018</v>
      </c>
      <c r="B19" s="32"/>
      <c r="C19" s="50"/>
      <c r="D19" s="50"/>
      <c r="E19" s="50"/>
      <c r="F19" s="50"/>
      <c r="G19" s="32"/>
      <c r="H19" s="36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25">
      <c r="A20" s="71" t="str">
        <f t="shared" si="0"/>
        <v>SUP019</v>
      </c>
      <c r="B20" s="32"/>
      <c r="C20" s="50"/>
      <c r="D20" s="50"/>
      <c r="E20" s="50"/>
      <c r="F20" s="50"/>
      <c r="G20" s="32"/>
      <c r="H20" s="36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25">
      <c r="A21" s="71" t="str">
        <f t="shared" si="0"/>
        <v>SUP020</v>
      </c>
      <c r="B21" s="32"/>
      <c r="C21" s="50"/>
      <c r="D21" s="50"/>
      <c r="E21" s="50"/>
      <c r="F21" s="50"/>
      <c r="G21" s="32"/>
      <c r="H21" s="36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25">
      <c r="A22" s="71" t="str">
        <f t="shared" si="0"/>
        <v>SUP021</v>
      </c>
      <c r="B22" s="32"/>
      <c r="C22" s="50"/>
      <c r="D22" s="50"/>
      <c r="E22" s="50"/>
      <c r="F22" s="50"/>
      <c r="G22" s="32"/>
      <c r="H22" s="36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25">
      <c r="A23" s="71" t="str">
        <f t="shared" si="0"/>
        <v>SUP022</v>
      </c>
      <c r="B23" s="32"/>
      <c r="C23" s="50"/>
      <c r="D23" s="50"/>
      <c r="E23" s="50"/>
      <c r="F23" s="50"/>
      <c r="G23" s="32"/>
      <c r="H23" s="36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25">
      <c r="A24" s="71" t="str">
        <f t="shared" si="0"/>
        <v>SUP023</v>
      </c>
      <c r="B24" s="32"/>
      <c r="C24" s="50"/>
      <c r="D24" s="50"/>
      <c r="E24" s="50"/>
      <c r="F24" s="50"/>
      <c r="G24" s="32"/>
      <c r="H24" s="36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25">
      <c r="A25" s="71" t="str">
        <f t="shared" si="0"/>
        <v>SUP024</v>
      </c>
      <c r="B25" s="32"/>
      <c r="C25" s="50"/>
      <c r="D25" s="50"/>
      <c r="E25" s="50"/>
      <c r="F25" s="50"/>
      <c r="G25" s="32"/>
      <c r="H25" s="36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25">
      <c r="A26" s="71" t="str">
        <f t="shared" si="0"/>
        <v>SUP025</v>
      </c>
      <c r="B26" s="32"/>
      <c r="C26" s="50"/>
      <c r="D26" s="50"/>
      <c r="E26" s="50"/>
      <c r="F26" s="50"/>
      <c r="G26" s="32"/>
      <c r="H26" s="3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25">
      <c r="A27" s="71" t="str">
        <f t="shared" si="0"/>
        <v>SUP026</v>
      </c>
      <c r="B27" s="32"/>
      <c r="C27" s="50"/>
      <c r="D27" s="50"/>
      <c r="E27" s="50"/>
      <c r="F27" s="50"/>
      <c r="G27" s="32"/>
      <c r="H27" s="36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25">
      <c r="A28" s="71" t="str">
        <f t="shared" si="0"/>
        <v>SUP027</v>
      </c>
      <c r="B28" s="32"/>
      <c r="C28" s="50"/>
      <c r="D28" s="50"/>
      <c r="E28" s="50"/>
      <c r="F28" s="50"/>
      <c r="G28" s="32"/>
      <c r="H28" s="36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25">
      <c r="A29" s="71" t="str">
        <f t="shared" si="0"/>
        <v>SUP028</v>
      </c>
      <c r="B29" s="32"/>
      <c r="C29" s="50"/>
      <c r="D29" s="50"/>
      <c r="E29" s="50"/>
      <c r="F29" s="50"/>
      <c r="G29" s="32"/>
      <c r="H29" s="36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25">
      <c r="A30" s="71" t="str">
        <f t="shared" si="0"/>
        <v>SUP029</v>
      </c>
      <c r="B30" s="32"/>
      <c r="C30" s="50"/>
      <c r="D30" s="50"/>
      <c r="E30" s="50"/>
      <c r="F30" s="50"/>
      <c r="G30" s="32"/>
      <c r="H30" s="36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25">
      <c r="A31" s="71" t="str">
        <f t="shared" si="0"/>
        <v>SUP030</v>
      </c>
      <c r="B31" s="32"/>
      <c r="C31" s="50"/>
      <c r="D31" s="50"/>
      <c r="E31" s="50"/>
      <c r="F31" s="50"/>
      <c r="G31" s="32"/>
      <c r="H31" s="36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25">
      <c r="A32" s="71" t="str">
        <f t="shared" si="0"/>
        <v>SUP031</v>
      </c>
      <c r="B32" s="32"/>
      <c r="C32" s="50"/>
      <c r="D32" s="50"/>
      <c r="E32" s="50"/>
      <c r="F32" s="50"/>
      <c r="G32" s="32"/>
      <c r="H32" s="36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25">
      <c r="A33" s="71" t="str">
        <f t="shared" si="0"/>
        <v>SUP032</v>
      </c>
      <c r="B33" s="32"/>
      <c r="C33" s="50"/>
      <c r="D33" s="50"/>
      <c r="E33" s="50"/>
      <c r="F33" s="50"/>
      <c r="G33" s="32"/>
      <c r="H33" s="36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25">
      <c r="A34" s="71" t="str">
        <f t="shared" ref="A34:A65" si="1">"SUP"&amp;TEXT(ROW()-1,"000")</f>
        <v>SUP033</v>
      </c>
      <c r="B34" s="32"/>
      <c r="C34" s="50"/>
      <c r="D34" s="50"/>
      <c r="E34" s="50"/>
      <c r="F34" s="50"/>
      <c r="G34" s="32"/>
      <c r="H34" s="36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25">
      <c r="A35" s="71" t="str">
        <f t="shared" si="1"/>
        <v>SUP034</v>
      </c>
      <c r="B35" s="32"/>
      <c r="C35" s="50"/>
      <c r="D35" s="50"/>
      <c r="E35" s="50"/>
      <c r="F35" s="50"/>
      <c r="G35" s="32"/>
      <c r="H35" s="36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25">
      <c r="A36" s="71" t="str">
        <f t="shared" si="1"/>
        <v>SUP035</v>
      </c>
      <c r="B36" s="32"/>
      <c r="C36" s="50"/>
      <c r="D36" s="50"/>
      <c r="E36" s="50"/>
      <c r="F36" s="50"/>
      <c r="G36" s="32"/>
      <c r="H36" s="36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25">
      <c r="A37" s="71" t="str">
        <f t="shared" si="1"/>
        <v>SUP036</v>
      </c>
      <c r="B37" s="32"/>
      <c r="C37" s="50"/>
      <c r="D37" s="50"/>
      <c r="E37" s="50"/>
      <c r="F37" s="50"/>
      <c r="G37" s="32"/>
      <c r="H37" s="3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25">
      <c r="A38" s="71" t="str">
        <f t="shared" si="1"/>
        <v>SUP037</v>
      </c>
      <c r="B38" s="32"/>
      <c r="C38" s="50"/>
      <c r="D38" s="50"/>
      <c r="E38" s="50"/>
      <c r="F38" s="50"/>
      <c r="G38" s="32"/>
      <c r="H38" s="36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25">
      <c r="A39" s="71" t="str">
        <f t="shared" si="1"/>
        <v>SUP038</v>
      </c>
      <c r="B39" s="32"/>
      <c r="C39" s="50"/>
      <c r="D39" s="50"/>
      <c r="E39" s="50"/>
      <c r="F39" s="50"/>
      <c r="G39" s="32"/>
      <c r="H39" s="36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25">
      <c r="A40" s="71" t="str">
        <f t="shared" si="1"/>
        <v>SUP039</v>
      </c>
      <c r="B40" s="32"/>
      <c r="C40" s="50"/>
      <c r="D40" s="50"/>
      <c r="E40" s="50"/>
      <c r="F40" s="50"/>
      <c r="G40" s="32"/>
      <c r="H40" s="36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25">
      <c r="A41" s="71" t="str">
        <f t="shared" si="1"/>
        <v>SUP040</v>
      </c>
      <c r="B41" s="32"/>
      <c r="C41" s="50"/>
      <c r="D41" s="50"/>
      <c r="E41" s="50"/>
      <c r="F41" s="50"/>
      <c r="G41" s="32"/>
      <c r="H41" s="36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25">
      <c r="A42" s="71" t="str">
        <f t="shared" si="1"/>
        <v>SUP041</v>
      </c>
      <c r="B42" s="32"/>
      <c r="C42" s="50"/>
      <c r="D42" s="50"/>
      <c r="E42" s="50"/>
      <c r="F42" s="50"/>
      <c r="G42" s="32"/>
      <c r="H42" s="36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25">
      <c r="A43" s="71" t="str">
        <f t="shared" si="1"/>
        <v>SUP042</v>
      </c>
      <c r="B43" s="32"/>
      <c r="C43" s="50"/>
      <c r="D43" s="50"/>
      <c r="E43" s="50"/>
      <c r="F43" s="50"/>
      <c r="G43" s="32"/>
      <c r="H43" s="36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25">
      <c r="A44" s="71" t="str">
        <f t="shared" si="1"/>
        <v>SUP043</v>
      </c>
      <c r="B44" s="32"/>
      <c r="C44" s="50"/>
      <c r="D44" s="50"/>
      <c r="E44" s="50"/>
      <c r="F44" s="50"/>
      <c r="G44" s="32"/>
      <c r="H44" s="36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25">
      <c r="A45" s="71" t="str">
        <f t="shared" si="1"/>
        <v>SUP044</v>
      </c>
      <c r="B45" s="32"/>
      <c r="C45" s="50"/>
      <c r="D45" s="50"/>
      <c r="E45" s="50"/>
      <c r="F45" s="50"/>
      <c r="G45" s="32"/>
      <c r="H45" s="36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25">
      <c r="A46" s="71" t="str">
        <f t="shared" si="1"/>
        <v>SUP045</v>
      </c>
      <c r="B46" s="32"/>
      <c r="C46" s="50"/>
      <c r="D46" s="50"/>
      <c r="E46" s="50"/>
      <c r="F46" s="50"/>
      <c r="G46" s="32"/>
      <c r="H46" s="36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25">
      <c r="A47" s="71" t="str">
        <f t="shared" si="1"/>
        <v>SUP046</v>
      </c>
      <c r="B47" s="32"/>
      <c r="C47" s="50"/>
      <c r="D47" s="50"/>
      <c r="E47" s="50"/>
      <c r="F47" s="50"/>
      <c r="G47" s="32"/>
      <c r="H47" s="36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25">
      <c r="A48" s="71" t="str">
        <f t="shared" si="1"/>
        <v>SUP047</v>
      </c>
      <c r="B48" s="32"/>
      <c r="C48" s="50"/>
      <c r="D48" s="50"/>
      <c r="E48" s="50"/>
      <c r="F48" s="50"/>
      <c r="G48" s="32"/>
      <c r="H48" s="3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25">
      <c r="A49" s="71" t="str">
        <f t="shared" si="1"/>
        <v>SUP048</v>
      </c>
      <c r="B49" s="32"/>
      <c r="C49" s="50"/>
      <c r="D49" s="50"/>
      <c r="E49" s="50"/>
      <c r="F49" s="50"/>
      <c r="G49" s="32"/>
      <c r="H49" s="36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25">
      <c r="A50" s="71" t="str">
        <f t="shared" si="1"/>
        <v>SUP049</v>
      </c>
      <c r="B50" s="32"/>
      <c r="C50" s="50"/>
      <c r="D50" s="50"/>
      <c r="E50" s="50"/>
      <c r="F50" s="50"/>
      <c r="G50" s="32"/>
      <c r="H50" s="36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25">
      <c r="A51" s="71" t="str">
        <f t="shared" si="1"/>
        <v>SUP050</v>
      </c>
      <c r="B51" s="32"/>
      <c r="C51" s="50"/>
      <c r="D51" s="50"/>
      <c r="E51" s="50"/>
      <c r="F51" s="50"/>
      <c r="G51" s="32"/>
      <c r="H51" s="36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25">
      <c r="A52" s="71" t="str">
        <f t="shared" si="1"/>
        <v>SUP051</v>
      </c>
      <c r="B52" s="32"/>
      <c r="C52" s="50"/>
      <c r="D52" s="50"/>
      <c r="E52" s="50"/>
      <c r="F52" s="50"/>
      <c r="G52" s="32"/>
      <c r="H52" s="36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spans="1:24" x14ac:dyDescent="0.25">
      <c r="A53" s="71" t="str">
        <f t="shared" si="1"/>
        <v>SUP052</v>
      </c>
      <c r="B53" s="32"/>
      <c r="C53" s="50"/>
      <c r="D53" s="50"/>
      <c r="E53" s="50"/>
      <c r="F53" s="50"/>
      <c r="G53" s="32"/>
      <c r="H53" s="36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spans="1:24" x14ac:dyDescent="0.25">
      <c r="A54" s="71" t="str">
        <f t="shared" si="1"/>
        <v>SUP053</v>
      </c>
      <c r="B54" s="32"/>
      <c r="C54" s="50"/>
      <c r="D54" s="50"/>
      <c r="E54" s="50"/>
      <c r="F54" s="50"/>
      <c r="G54" s="32"/>
      <c r="H54" s="36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1:24" x14ac:dyDescent="0.25">
      <c r="A55" s="71" t="str">
        <f t="shared" si="1"/>
        <v>SUP054</v>
      </c>
      <c r="B55" s="32"/>
      <c r="C55" s="50"/>
      <c r="D55" s="50"/>
      <c r="E55" s="50"/>
      <c r="F55" s="50"/>
      <c r="G55" s="32"/>
      <c r="H55" s="36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spans="1:24" x14ac:dyDescent="0.25">
      <c r="A56" s="71" t="str">
        <f t="shared" si="1"/>
        <v>SUP055</v>
      </c>
      <c r="B56" s="32"/>
      <c r="C56" s="50"/>
      <c r="D56" s="50"/>
      <c r="E56" s="50"/>
      <c r="F56" s="50"/>
      <c r="G56" s="32"/>
      <c r="H56" s="36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spans="1:24" x14ac:dyDescent="0.25">
      <c r="A57" s="71" t="str">
        <f t="shared" si="1"/>
        <v>SUP056</v>
      </c>
      <c r="B57" s="32"/>
      <c r="C57" s="50"/>
      <c r="D57" s="50"/>
      <c r="E57" s="50"/>
      <c r="F57" s="50"/>
      <c r="G57" s="32"/>
      <c r="H57" s="36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1:24" x14ac:dyDescent="0.25">
      <c r="A58" s="71" t="str">
        <f t="shared" si="1"/>
        <v>SUP057</v>
      </c>
      <c r="B58" s="32"/>
      <c r="C58" s="50"/>
      <c r="D58" s="50"/>
      <c r="E58" s="50"/>
      <c r="F58" s="50"/>
      <c r="G58" s="32"/>
      <c r="H58" s="36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1:24" x14ac:dyDescent="0.25">
      <c r="A59" s="71" t="str">
        <f t="shared" si="1"/>
        <v>SUP058</v>
      </c>
      <c r="B59" s="32"/>
      <c r="C59" s="50"/>
      <c r="D59" s="50"/>
      <c r="E59" s="50"/>
      <c r="F59" s="50"/>
      <c r="G59" s="32"/>
      <c r="H59" s="3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1:24" x14ac:dyDescent="0.25">
      <c r="A60" s="71" t="str">
        <f t="shared" si="1"/>
        <v>SUP059</v>
      </c>
      <c r="B60" s="32"/>
      <c r="C60" s="50"/>
      <c r="D60" s="50"/>
      <c r="E60" s="50"/>
      <c r="F60" s="50"/>
      <c r="G60" s="32"/>
      <c r="H60" s="36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1:24" x14ac:dyDescent="0.25">
      <c r="A61" s="71" t="str">
        <f t="shared" si="1"/>
        <v>SUP060</v>
      </c>
      <c r="B61" s="32"/>
      <c r="C61" s="50"/>
      <c r="D61" s="50"/>
      <c r="E61" s="50"/>
      <c r="F61" s="50"/>
      <c r="G61" s="32"/>
      <c r="H61" s="36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spans="1:24" x14ac:dyDescent="0.25">
      <c r="A62" s="71" t="str">
        <f t="shared" si="1"/>
        <v>SUP061</v>
      </c>
      <c r="B62" s="32"/>
      <c r="C62" s="50"/>
      <c r="D62" s="50"/>
      <c r="E62" s="50"/>
      <c r="F62" s="50"/>
      <c r="G62" s="32"/>
      <c r="H62" s="36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spans="1:24" x14ac:dyDescent="0.25">
      <c r="A63" s="71" t="str">
        <f t="shared" si="1"/>
        <v>SUP062</v>
      </c>
      <c r="B63" s="32"/>
      <c r="C63" s="50"/>
      <c r="D63" s="50"/>
      <c r="E63" s="50"/>
      <c r="F63" s="50"/>
      <c r="G63" s="32"/>
      <c r="H63" s="36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1:24" x14ac:dyDescent="0.25">
      <c r="A64" s="71" t="str">
        <f t="shared" si="1"/>
        <v>SUP063</v>
      </c>
      <c r="B64" s="32"/>
      <c r="C64" s="50"/>
      <c r="D64" s="50"/>
      <c r="E64" s="50"/>
      <c r="F64" s="50"/>
      <c r="G64" s="32"/>
      <c r="H64" s="36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1:24" x14ac:dyDescent="0.25">
      <c r="A65" s="71" t="str">
        <f t="shared" si="1"/>
        <v>SUP064</v>
      </c>
      <c r="B65" s="32"/>
      <c r="C65" s="50"/>
      <c r="D65" s="50"/>
      <c r="E65" s="50"/>
      <c r="F65" s="50"/>
      <c r="G65" s="32"/>
      <c r="H65" s="36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spans="1:24" x14ac:dyDescent="0.25">
      <c r="A66" s="71" t="str">
        <f t="shared" ref="A66:A101" si="2">"SUP"&amp;TEXT(ROW()-1,"000")</f>
        <v>SUP065</v>
      </c>
      <c r="B66" s="32"/>
      <c r="C66" s="50"/>
      <c r="D66" s="50"/>
      <c r="E66" s="50"/>
      <c r="F66" s="50"/>
      <c r="G66" s="32"/>
      <c r="H66" s="36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spans="1:24" x14ac:dyDescent="0.25">
      <c r="A67" s="71" t="str">
        <f t="shared" si="2"/>
        <v>SUP066</v>
      </c>
      <c r="B67" s="32"/>
      <c r="C67" s="50"/>
      <c r="D67" s="50"/>
      <c r="E67" s="50"/>
      <c r="F67" s="50"/>
      <c r="G67" s="32"/>
      <c r="H67" s="36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spans="1:24" x14ac:dyDescent="0.25">
      <c r="A68" s="71" t="str">
        <f t="shared" si="2"/>
        <v>SUP067</v>
      </c>
      <c r="B68" s="32"/>
      <c r="C68" s="50"/>
      <c r="D68" s="50"/>
      <c r="E68" s="50"/>
      <c r="F68" s="50"/>
      <c r="G68" s="32"/>
      <c r="H68" s="36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spans="1:24" x14ac:dyDescent="0.25">
      <c r="A69" s="71" t="str">
        <f t="shared" si="2"/>
        <v>SUP068</v>
      </c>
      <c r="B69" s="32"/>
      <c r="C69" s="50"/>
      <c r="D69" s="50"/>
      <c r="E69" s="50"/>
      <c r="F69" s="50"/>
      <c r="G69" s="32"/>
      <c r="H69" s="36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 spans="1:24" x14ac:dyDescent="0.25">
      <c r="A70" s="71" t="str">
        <f t="shared" si="2"/>
        <v>SUP069</v>
      </c>
      <c r="B70" s="32"/>
      <c r="C70" s="50"/>
      <c r="D70" s="50"/>
      <c r="E70" s="50"/>
      <c r="F70" s="50"/>
      <c r="G70" s="32"/>
      <c r="H70" s="3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1:24" x14ac:dyDescent="0.25">
      <c r="A71" s="71" t="str">
        <f t="shared" si="2"/>
        <v>SUP070</v>
      </c>
      <c r="B71" s="32"/>
      <c r="C71" s="50"/>
      <c r="D71" s="50"/>
      <c r="E71" s="50"/>
      <c r="F71" s="50"/>
      <c r="G71" s="32"/>
      <c r="H71" s="36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 spans="1:24" x14ac:dyDescent="0.25">
      <c r="A72" s="71" t="str">
        <f t="shared" si="2"/>
        <v>SUP071</v>
      </c>
      <c r="B72" s="32"/>
      <c r="C72" s="50"/>
      <c r="D72" s="50"/>
      <c r="E72" s="50"/>
      <c r="F72" s="50"/>
      <c r="G72" s="32"/>
      <c r="H72" s="36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 spans="1:24" x14ac:dyDescent="0.25">
      <c r="A73" s="71" t="str">
        <f t="shared" si="2"/>
        <v>SUP072</v>
      </c>
      <c r="B73" s="32"/>
      <c r="C73" s="50"/>
      <c r="D73" s="50"/>
      <c r="E73" s="50"/>
      <c r="F73" s="50"/>
      <c r="G73" s="32"/>
      <c r="H73" s="36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4" x14ac:dyDescent="0.25">
      <c r="A74" s="71" t="str">
        <f t="shared" si="2"/>
        <v>SUP073</v>
      </c>
      <c r="B74" s="32"/>
      <c r="C74" s="50"/>
      <c r="D74" s="50"/>
      <c r="E74" s="50"/>
      <c r="F74" s="50"/>
      <c r="G74" s="32"/>
      <c r="H74" s="36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1:24" x14ac:dyDescent="0.25">
      <c r="A75" s="71" t="str">
        <f t="shared" si="2"/>
        <v>SUP074</v>
      </c>
      <c r="B75" s="32"/>
      <c r="C75" s="50"/>
      <c r="D75" s="50"/>
      <c r="E75" s="50"/>
      <c r="F75" s="50"/>
      <c r="G75" s="32"/>
      <c r="H75" s="36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spans="1:24" x14ac:dyDescent="0.25">
      <c r="A76" s="71" t="str">
        <f t="shared" si="2"/>
        <v>SUP075</v>
      </c>
      <c r="B76" s="32"/>
      <c r="C76" s="50"/>
      <c r="D76" s="50"/>
      <c r="E76" s="50"/>
      <c r="F76" s="50"/>
      <c r="G76" s="32"/>
      <c r="H76" s="36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1:24" x14ac:dyDescent="0.25">
      <c r="A77" s="71" t="str">
        <f t="shared" si="2"/>
        <v>SUP076</v>
      </c>
      <c r="B77" s="32"/>
      <c r="C77" s="50"/>
      <c r="D77" s="50"/>
      <c r="E77" s="50"/>
      <c r="F77" s="50"/>
      <c r="G77" s="32"/>
      <c r="H77" s="36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spans="1:24" x14ac:dyDescent="0.25">
      <c r="A78" s="71" t="str">
        <f t="shared" si="2"/>
        <v>SUP077</v>
      </c>
      <c r="B78" s="32"/>
      <c r="C78" s="50"/>
      <c r="D78" s="50"/>
      <c r="E78" s="50"/>
      <c r="F78" s="50"/>
      <c r="G78" s="32"/>
      <c r="H78" s="36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1:24" x14ac:dyDescent="0.25">
      <c r="A79" s="71" t="str">
        <f t="shared" si="2"/>
        <v>SUP078</v>
      </c>
      <c r="B79" s="32"/>
      <c r="C79" s="50"/>
      <c r="D79" s="50"/>
      <c r="E79" s="50"/>
      <c r="F79" s="50"/>
      <c r="G79" s="32"/>
      <c r="H79" s="36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spans="1:24" x14ac:dyDescent="0.25">
      <c r="A80" s="71" t="str">
        <f t="shared" si="2"/>
        <v>SUP079</v>
      </c>
      <c r="B80" s="32"/>
      <c r="C80" s="50"/>
      <c r="D80" s="50"/>
      <c r="E80" s="50"/>
      <c r="F80" s="50"/>
      <c r="G80" s="32"/>
      <c r="H80" s="36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spans="1:24" x14ac:dyDescent="0.25">
      <c r="A81" s="71" t="str">
        <f t="shared" si="2"/>
        <v>SUP080</v>
      </c>
      <c r="B81" s="32"/>
      <c r="C81" s="50"/>
      <c r="D81" s="50"/>
      <c r="E81" s="50"/>
      <c r="F81" s="50"/>
      <c r="G81" s="32"/>
      <c r="H81" s="3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spans="1:24" x14ac:dyDescent="0.25">
      <c r="A82" s="71" t="str">
        <f t="shared" si="2"/>
        <v>SUP081</v>
      </c>
      <c r="B82" s="32"/>
      <c r="C82" s="50"/>
      <c r="D82" s="50"/>
      <c r="E82" s="50"/>
      <c r="F82" s="50"/>
      <c r="G82" s="32"/>
      <c r="H82" s="36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spans="1:24" x14ac:dyDescent="0.25">
      <c r="A83" s="71" t="str">
        <f t="shared" si="2"/>
        <v>SUP082</v>
      </c>
      <c r="B83" s="32"/>
      <c r="C83" s="50"/>
      <c r="D83" s="50"/>
      <c r="E83" s="50"/>
      <c r="F83" s="50"/>
      <c r="G83" s="32"/>
      <c r="H83" s="36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1:24" x14ac:dyDescent="0.25">
      <c r="A84" s="71" t="str">
        <f t="shared" si="2"/>
        <v>SUP083</v>
      </c>
      <c r="B84" s="32"/>
      <c r="C84" s="50"/>
      <c r="D84" s="50"/>
      <c r="E84" s="50"/>
      <c r="F84" s="50"/>
      <c r="G84" s="32"/>
      <c r="H84" s="36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24" x14ac:dyDescent="0.25">
      <c r="A85" s="71" t="str">
        <f t="shared" si="2"/>
        <v>SUP084</v>
      </c>
      <c r="B85" s="32"/>
      <c r="C85" s="50"/>
      <c r="D85" s="50"/>
      <c r="E85" s="50"/>
      <c r="F85" s="50"/>
      <c r="G85" s="32"/>
      <c r="H85" s="36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24" x14ac:dyDescent="0.25">
      <c r="A86" s="71" t="str">
        <f t="shared" si="2"/>
        <v>SUP085</v>
      </c>
      <c r="B86" s="32"/>
      <c r="C86" s="50"/>
      <c r="D86" s="50"/>
      <c r="E86" s="50"/>
      <c r="F86" s="50"/>
      <c r="G86" s="32"/>
      <c r="H86" s="36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1:24" x14ac:dyDescent="0.25">
      <c r="A87" s="71" t="str">
        <f t="shared" si="2"/>
        <v>SUP086</v>
      </c>
      <c r="B87" s="32"/>
      <c r="C87" s="50"/>
      <c r="D87" s="50"/>
      <c r="E87" s="50"/>
      <c r="F87" s="50"/>
      <c r="G87" s="32"/>
      <c r="H87" s="36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spans="1:24" x14ac:dyDescent="0.25">
      <c r="A88" s="71" t="str">
        <f t="shared" si="2"/>
        <v>SUP087</v>
      </c>
      <c r="B88" s="32"/>
      <c r="C88" s="50"/>
      <c r="D88" s="50"/>
      <c r="E88" s="50"/>
      <c r="F88" s="50"/>
      <c r="G88" s="32"/>
      <c r="H88" s="36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spans="1:24" x14ac:dyDescent="0.25">
      <c r="A89" s="71" t="str">
        <f t="shared" si="2"/>
        <v>SUP088</v>
      </c>
      <c r="B89" s="32"/>
      <c r="C89" s="50"/>
      <c r="D89" s="50"/>
      <c r="E89" s="50"/>
      <c r="F89" s="50"/>
      <c r="G89" s="32"/>
      <c r="H89" s="36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spans="1:24" x14ac:dyDescent="0.25">
      <c r="A90" s="71" t="str">
        <f t="shared" si="2"/>
        <v>SUP089</v>
      </c>
      <c r="B90" s="32"/>
      <c r="C90" s="50"/>
      <c r="D90" s="50"/>
      <c r="E90" s="50"/>
      <c r="F90" s="50"/>
      <c r="G90" s="32"/>
      <c r="H90" s="36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24" x14ac:dyDescent="0.25">
      <c r="A91" s="71" t="str">
        <f t="shared" si="2"/>
        <v>SUP090</v>
      </c>
      <c r="B91" s="32"/>
      <c r="C91" s="50"/>
      <c r="D91" s="50"/>
      <c r="E91" s="50"/>
      <c r="F91" s="50"/>
      <c r="G91" s="32"/>
      <c r="H91" s="36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1:24" x14ac:dyDescent="0.25">
      <c r="A92" s="71" t="str">
        <f t="shared" si="2"/>
        <v>SUP091</v>
      </c>
      <c r="B92" s="32"/>
      <c r="C92" s="50"/>
      <c r="D92" s="50"/>
      <c r="E92" s="50"/>
      <c r="F92" s="50"/>
      <c r="G92" s="32"/>
      <c r="H92" s="3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1:24" x14ac:dyDescent="0.25">
      <c r="A93" s="71" t="str">
        <f t="shared" si="2"/>
        <v>SUP092</v>
      </c>
      <c r="B93" s="32"/>
      <c r="C93" s="50"/>
      <c r="D93" s="50"/>
      <c r="E93" s="50"/>
      <c r="F93" s="50"/>
      <c r="G93" s="32"/>
      <c r="H93" s="36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spans="1:24" x14ac:dyDescent="0.25">
      <c r="A94" s="71" t="str">
        <f t="shared" si="2"/>
        <v>SUP093</v>
      </c>
      <c r="B94" s="32"/>
      <c r="C94" s="50"/>
      <c r="D94" s="50"/>
      <c r="E94" s="50"/>
      <c r="F94" s="50"/>
      <c r="G94" s="32"/>
      <c r="H94" s="36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4" x14ac:dyDescent="0.25">
      <c r="A95" s="71" t="str">
        <f t="shared" si="2"/>
        <v>SUP094</v>
      </c>
      <c r="B95" s="32"/>
      <c r="C95" s="50"/>
      <c r="D95" s="50"/>
      <c r="E95" s="50"/>
      <c r="F95" s="50"/>
      <c r="G95" s="32"/>
      <c r="H95" s="36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 spans="1:24" x14ac:dyDescent="0.25">
      <c r="A96" s="71" t="str">
        <f t="shared" si="2"/>
        <v>SUP095</v>
      </c>
      <c r="B96" s="32"/>
      <c r="C96" s="50"/>
      <c r="D96" s="50"/>
      <c r="E96" s="50"/>
      <c r="F96" s="50"/>
      <c r="G96" s="32"/>
      <c r="H96" s="36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</row>
    <row r="97" spans="1:24" x14ac:dyDescent="0.25">
      <c r="A97" s="71" t="str">
        <f t="shared" si="2"/>
        <v>SUP096</v>
      </c>
      <c r="B97" s="32"/>
      <c r="C97" s="50"/>
      <c r="D97" s="50"/>
      <c r="E97" s="50"/>
      <c r="F97" s="50"/>
      <c r="G97" s="32"/>
      <c r="H97" s="36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 spans="1:24" x14ac:dyDescent="0.25">
      <c r="A98" s="71" t="str">
        <f t="shared" si="2"/>
        <v>SUP097</v>
      </c>
      <c r="B98" s="32"/>
      <c r="C98" s="50"/>
      <c r="D98" s="50"/>
      <c r="E98" s="50"/>
      <c r="F98" s="50"/>
      <c r="G98" s="32"/>
      <c r="H98" s="36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 spans="1:24" x14ac:dyDescent="0.25">
      <c r="A99" s="71" t="str">
        <f t="shared" si="2"/>
        <v>SUP098</v>
      </c>
      <c r="B99" s="32"/>
      <c r="C99" s="50"/>
      <c r="D99" s="50"/>
      <c r="E99" s="50"/>
      <c r="F99" s="50"/>
      <c r="G99" s="32"/>
      <c r="H99" s="36"/>
      <c r="I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 spans="1:24" x14ac:dyDescent="0.25">
      <c r="A100" s="71" t="str">
        <f t="shared" si="2"/>
        <v>SUP099</v>
      </c>
      <c r="B100" s="32"/>
      <c r="C100" s="50"/>
      <c r="D100" s="50"/>
      <c r="E100" s="50"/>
      <c r="F100" s="50"/>
      <c r="G100" s="32"/>
      <c r="H100" s="36"/>
      <c r="I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 spans="1:24" x14ac:dyDescent="0.25">
      <c r="A101" s="74" t="str">
        <f t="shared" si="2"/>
        <v>SUP100</v>
      </c>
      <c r="B101" s="32"/>
      <c r="C101" s="56"/>
      <c r="D101" s="56"/>
      <c r="E101" s="56"/>
      <c r="F101" s="56"/>
      <c r="G101" s="42"/>
      <c r="H101" s="36"/>
      <c r="I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</sheetData>
  <dataValidations count="2">
    <dataValidation type="list" allowBlank="1" showInputMessage="1" showErrorMessage="1" sqref="H2:H101" xr:uid="{00000000-0002-0000-0900-000000000000}">
      <formula1>Statuslist</formula1>
    </dataValidation>
    <dataValidation type="list" allowBlank="1" showInputMessage="1" showErrorMessage="1" sqref="B2:B101" xr:uid="{00000000-0002-0000-0900-000001000000}">
      <formula1>SupplierList</formula1>
    </dataValidation>
  </dataValidations>
  <hyperlinks>
    <hyperlink ref="G2" r:id="rId1" xr:uid="{00000000-0004-0000-0900-00000000000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>
      <selection activeCell="C2" sqref="C2"/>
    </sheetView>
  </sheetViews>
  <sheetFormatPr defaultRowHeight="15" x14ac:dyDescent="0.25"/>
  <cols>
    <col min="1" max="1" width="12.140625" bestFit="1" customWidth="1"/>
    <col min="2" max="2" width="17.5703125" bestFit="1" customWidth="1"/>
    <col min="3" max="3" width="13.42578125" bestFit="1" customWidth="1"/>
    <col min="4" max="4" width="15.85546875" bestFit="1" customWidth="1"/>
    <col min="5" max="5" width="15.28515625" bestFit="1" customWidth="1"/>
  </cols>
  <sheetData>
    <row r="1" spans="1:5" ht="27" customHeight="1" x14ac:dyDescent="0.25">
      <c r="A1" s="1" t="s">
        <v>484</v>
      </c>
      <c r="B1" s="1" t="s">
        <v>485</v>
      </c>
      <c r="C1" s="1" t="s">
        <v>486</v>
      </c>
      <c r="D1" s="1" t="s">
        <v>487</v>
      </c>
      <c r="E1" s="1" t="s">
        <v>108</v>
      </c>
    </row>
    <row r="2" spans="1:5" x14ac:dyDescent="0.25">
      <c r="A2" s="3">
        <f>Dashboard!D5</f>
        <v>284700</v>
      </c>
      <c r="B2" s="3">
        <f>Dashboard!F5</f>
        <v>1995000</v>
      </c>
      <c r="C2" s="3">
        <f>Dashboard!P5</f>
        <v>242200</v>
      </c>
      <c r="D2" s="3">
        <f>Dashboard!N5</f>
        <v>42500</v>
      </c>
      <c r="E2" s="3">
        <f>Dashboard!H5</f>
        <v>1813300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39997558519241921"/>
  </sheetPr>
  <dimension ref="B1:E12"/>
  <sheetViews>
    <sheetView showGridLines="0" showRowColHeaders="0" workbookViewId="0">
      <selection activeCell="E7" sqref="E7"/>
    </sheetView>
  </sheetViews>
  <sheetFormatPr defaultRowHeight="15" x14ac:dyDescent="0.25"/>
  <cols>
    <col min="2" max="2" width="24.42578125" bestFit="1" customWidth="1"/>
    <col min="3" max="3" width="23.5703125" customWidth="1"/>
    <col min="5" max="5" width="16.28515625" customWidth="1"/>
  </cols>
  <sheetData>
    <row r="1" spans="2:5" ht="23.25" x14ac:dyDescent="0.35">
      <c r="E1" s="86"/>
    </row>
    <row r="2" spans="2:5" ht="23.25" customHeight="1" x14ac:dyDescent="0.35">
      <c r="B2" s="139" t="s">
        <v>488</v>
      </c>
    </row>
    <row r="4" spans="2:5" x14ac:dyDescent="0.25">
      <c r="B4" s="32" t="s">
        <v>549</v>
      </c>
      <c r="C4" s="32"/>
    </row>
    <row r="5" spans="2:5" x14ac:dyDescent="0.25">
      <c r="B5" s="50"/>
      <c r="C5" s="50"/>
    </row>
    <row r="6" spans="2:5" x14ac:dyDescent="0.25">
      <c r="B6" s="32" t="s">
        <v>0</v>
      </c>
      <c r="C6" s="32" t="str">
        <f>IFERROR(INDEX(Inventory!$A:$A,MATCH($C$4,Inventory!$B:$B,0)),"")</f>
        <v/>
      </c>
    </row>
    <row r="7" spans="2:5" x14ac:dyDescent="0.25">
      <c r="B7" s="32" t="s">
        <v>2</v>
      </c>
      <c r="C7" s="32" t="str">
        <f>IFERROR(VLOOKUP($C$4,Inventory!$B:$R,2,FALSE),"")</f>
        <v/>
      </c>
    </row>
    <row r="8" spans="2:5" x14ac:dyDescent="0.25">
      <c r="B8" s="32" t="s">
        <v>107</v>
      </c>
      <c r="C8" s="32" t="str">
        <f>IFERROR(VLOOKUP($C$4,Inventory!$B:$R,6,FALSE),"")</f>
        <v/>
      </c>
    </row>
    <row r="9" spans="2:5" x14ac:dyDescent="0.25">
      <c r="B9" s="32" t="s">
        <v>4</v>
      </c>
      <c r="C9" s="76" t="str">
        <f>IFERROR(VLOOKUP($C$4,Inventory!$B:$R,7,FALSE),"")</f>
        <v/>
      </c>
    </row>
    <row r="10" spans="2:5" x14ac:dyDescent="0.25">
      <c r="B10" s="32" t="s">
        <v>5</v>
      </c>
      <c r="C10" s="76" t="str">
        <f>IFERROR(VLOOKUP($C$4,Inventory!$B:$R,8,FALSE),"")</f>
        <v/>
      </c>
    </row>
    <row r="11" spans="2:5" x14ac:dyDescent="0.25">
      <c r="B11" s="32" t="s">
        <v>108</v>
      </c>
      <c r="C11" s="76" t="str">
        <f>IFERROR(VLOOKUP($C$4,Inventory!$B:$R,10,FALSE),"")</f>
        <v/>
      </c>
    </row>
    <row r="12" spans="2:5" x14ac:dyDescent="0.25">
      <c r="B12" s="32" t="s">
        <v>7</v>
      </c>
      <c r="C12" s="32" t="str">
        <f>IFERROR(VLOOKUP($C$4,Inventory!$B:$R,11,FALSE),"")</f>
        <v/>
      </c>
    </row>
  </sheetData>
  <sheetProtection password="F716" sheet="1" objects="1" scenarios="1"/>
  <dataValidations count="1">
    <dataValidation type="list" allowBlank="1" showInputMessage="1" showErrorMessage="1" sqref="C4" xr:uid="{00000000-0002-0000-0B00-000000000000}">
      <formula1>ProductNames</formula1>
    </dataValidation>
  </dataValidation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M300"/>
  <sheetViews>
    <sheetView showGridLines="0" topLeftCell="C1" workbookViewId="0">
      <pane ySplit="1" topLeftCell="A2" activePane="bottomLeft" state="frozen"/>
      <selection pane="bottomLeft" activeCell="L2" sqref="L2:L6"/>
    </sheetView>
  </sheetViews>
  <sheetFormatPr defaultRowHeight="15" x14ac:dyDescent="0.25"/>
  <cols>
    <col min="1" max="1" width="15.5703125" bestFit="1" customWidth="1"/>
    <col min="2" max="2" width="30.85546875" bestFit="1" customWidth="1"/>
    <col min="3" max="3" width="20" bestFit="1" customWidth="1"/>
    <col min="4" max="4" width="15" bestFit="1" customWidth="1"/>
    <col min="5" max="5" width="9.42578125" bestFit="1" customWidth="1"/>
    <col min="6" max="6" width="21.140625" customWidth="1"/>
    <col min="7" max="7" width="9.7109375" bestFit="1" customWidth="1"/>
    <col min="8" max="8" width="29.5703125" customWidth="1"/>
    <col min="9" max="9" width="19.42578125" customWidth="1"/>
    <col min="10" max="10" width="11.85546875" bestFit="1" customWidth="1"/>
    <col min="12" max="12" width="20.28515625" bestFit="1" customWidth="1"/>
  </cols>
  <sheetData>
    <row r="1" spans="1:13" s="17" customFormat="1" ht="15.75" x14ac:dyDescent="0.25">
      <c r="A1" s="18" t="s">
        <v>2</v>
      </c>
      <c r="B1" s="19" t="s">
        <v>1</v>
      </c>
      <c r="C1" s="19" t="s">
        <v>3</v>
      </c>
      <c r="D1" s="19" t="s">
        <v>96</v>
      </c>
      <c r="E1" s="19" t="s">
        <v>7</v>
      </c>
      <c r="F1" s="19" t="s">
        <v>125</v>
      </c>
      <c r="G1" s="19" t="s">
        <v>90</v>
      </c>
      <c r="H1" s="19" t="s">
        <v>167</v>
      </c>
      <c r="I1" s="20" t="s">
        <v>169</v>
      </c>
      <c r="J1" s="19" t="s">
        <v>95</v>
      </c>
      <c r="K1" s="19" t="s">
        <v>542</v>
      </c>
      <c r="L1" s="19" t="s">
        <v>566</v>
      </c>
      <c r="M1" s="19" t="s">
        <v>544</v>
      </c>
    </row>
    <row r="2" spans="1:13" x14ac:dyDescent="0.25">
      <c r="A2" s="8" t="s">
        <v>8</v>
      </c>
      <c r="B2" s="22" t="s">
        <v>393</v>
      </c>
      <c r="C2" s="5" t="s">
        <v>19</v>
      </c>
      <c r="D2" s="5" t="s">
        <v>102</v>
      </c>
      <c r="E2" s="5" t="s">
        <v>35</v>
      </c>
      <c r="F2" s="5" t="s">
        <v>130</v>
      </c>
      <c r="G2" s="6" t="s">
        <v>87</v>
      </c>
      <c r="H2" s="5" t="s">
        <v>129</v>
      </c>
      <c r="I2" s="9" t="s">
        <v>130</v>
      </c>
      <c r="J2" s="24">
        <f>DATE(2026,8,1)</f>
        <v>46235</v>
      </c>
      <c r="K2" s="89" t="s">
        <v>526</v>
      </c>
      <c r="L2" s="89" t="s">
        <v>606</v>
      </c>
      <c r="M2" s="89"/>
    </row>
    <row r="3" spans="1:13" x14ac:dyDescent="0.25">
      <c r="A3" s="8" t="s">
        <v>9</v>
      </c>
      <c r="B3" s="22" t="s">
        <v>394</v>
      </c>
      <c r="C3" s="5" t="s">
        <v>20</v>
      </c>
      <c r="D3" s="5" t="s">
        <v>105</v>
      </c>
      <c r="E3" s="5" t="s">
        <v>36</v>
      </c>
      <c r="F3" s="5" t="s">
        <v>131</v>
      </c>
      <c r="G3" s="6" t="s">
        <v>88</v>
      </c>
      <c r="H3" s="5" t="s">
        <v>168</v>
      </c>
      <c r="I3" s="9" t="s">
        <v>131</v>
      </c>
      <c r="J3" s="24">
        <f>J2+1</f>
        <v>46236</v>
      </c>
      <c r="K3" s="89" t="s">
        <v>527</v>
      </c>
      <c r="L3" s="5" t="s">
        <v>607</v>
      </c>
      <c r="M3" s="5"/>
    </row>
    <row r="4" spans="1:13" x14ac:dyDescent="0.25">
      <c r="A4" s="8" t="s">
        <v>10</v>
      </c>
      <c r="B4" s="22" t="s">
        <v>395</v>
      </c>
      <c r="C4" s="5" t="s">
        <v>21</v>
      </c>
      <c r="D4" s="5" t="s">
        <v>106</v>
      </c>
      <c r="E4" s="5"/>
      <c r="F4" s="5" t="s">
        <v>132</v>
      </c>
      <c r="G4" s="6" t="s">
        <v>89</v>
      </c>
      <c r="H4" s="5" t="s">
        <v>178</v>
      </c>
      <c r="I4" s="9" t="s">
        <v>132</v>
      </c>
      <c r="J4" s="24">
        <f t="shared" ref="J4:J32" si="0">J3+1</f>
        <v>46237</v>
      </c>
      <c r="K4" s="89" t="s">
        <v>528</v>
      </c>
      <c r="L4" s="5" t="s">
        <v>608</v>
      </c>
      <c r="M4" s="5"/>
    </row>
    <row r="5" spans="1:13" x14ac:dyDescent="0.25">
      <c r="A5" s="8" t="s">
        <v>11</v>
      </c>
      <c r="B5" s="22" t="s">
        <v>396</v>
      </c>
      <c r="C5" s="5" t="s">
        <v>22</v>
      </c>
      <c r="D5" s="5" t="s">
        <v>103</v>
      </c>
      <c r="E5" s="5"/>
      <c r="F5" s="5" t="s">
        <v>133</v>
      </c>
      <c r="G5" s="6" t="s">
        <v>475</v>
      </c>
      <c r="H5" s="5" t="s">
        <v>179</v>
      </c>
      <c r="I5" s="9" t="s">
        <v>133</v>
      </c>
      <c r="J5" s="24">
        <f t="shared" si="0"/>
        <v>46238</v>
      </c>
      <c r="K5" s="89" t="s">
        <v>529</v>
      </c>
      <c r="L5" s="5" t="s">
        <v>609</v>
      </c>
      <c r="M5" s="5"/>
    </row>
    <row r="6" spans="1:13" x14ac:dyDescent="0.25">
      <c r="A6" s="8" t="s">
        <v>12</v>
      </c>
      <c r="B6" s="22" t="s">
        <v>397</v>
      </c>
      <c r="C6" s="5" t="s">
        <v>23</v>
      </c>
      <c r="D6" s="5" t="s">
        <v>104</v>
      </c>
      <c r="E6" s="5"/>
      <c r="F6" s="5" t="s">
        <v>134</v>
      </c>
      <c r="G6" s="6" t="s">
        <v>476</v>
      </c>
      <c r="H6" s="5"/>
      <c r="I6" s="9" t="s">
        <v>134</v>
      </c>
      <c r="J6" s="24">
        <f t="shared" si="0"/>
        <v>46239</v>
      </c>
      <c r="K6" s="89" t="s">
        <v>530</v>
      </c>
      <c r="L6" s="5" t="s">
        <v>610</v>
      </c>
      <c r="M6" s="5"/>
    </row>
    <row r="7" spans="1:13" x14ac:dyDescent="0.25">
      <c r="A7" s="8" t="s">
        <v>13</v>
      </c>
      <c r="B7" s="22" t="s">
        <v>398</v>
      </c>
      <c r="C7" s="5" t="s">
        <v>24</v>
      </c>
      <c r="D7" s="5"/>
      <c r="E7" s="5"/>
      <c r="F7" s="5" t="s">
        <v>135</v>
      </c>
      <c r="G7" s="5"/>
      <c r="H7" s="5"/>
      <c r="I7" s="9" t="s">
        <v>135</v>
      </c>
      <c r="J7" s="24">
        <f t="shared" si="0"/>
        <v>46240</v>
      </c>
      <c r="K7" s="89" t="s">
        <v>535</v>
      </c>
      <c r="L7" s="5"/>
      <c r="M7" s="5"/>
    </row>
    <row r="8" spans="1:13" x14ac:dyDescent="0.25">
      <c r="A8" s="8" t="s">
        <v>14</v>
      </c>
      <c r="B8" s="23" t="s">
        <v>399</v>
      </c>
      <c r="C8" s="5" t="s">
        <v>25</v>
      </c>
      <c r="D8" s="5"/>
      <c r="E8" s="5"/>
      <c r="F8" s="5" t="s">
        <v>136</v>
      </c>
      <c r="G8" s="5"/>
      <c r="H8" s="5"/>
      <c r="I8" s="9" t="s">
        <v>136</v>
      </c>
      <c r="J8" s="24">
        <f t="shared" si="0"/>
        <v>46241</v>
      </c>
      <c r="K8" s="89" t="s">
        <v>555</v>
      </c>
      <c r="L8" s="5"/>
      <c r="M8" s="5"/>
    </row>
    <row r="9" spans="1:13" x14ac:dyDescent="0.25">
      <c r="A9" s="8" t="s">
        <v>15</v>
      </c>
      <c r="B9" s="23" t="s">
        <v>400</v>
      </c>
      <c r="C9" s="5" t="s">
        <v>26</v>
      </c>
      <c r="D9" s="5"/>
      <c r="E9" s="5"/>
      <c r="F9" s="5" t="s">
        <v>173</v>
      </c>
      <c r="G9" s="5"/>
      <c r="H9" s="5"/>
      <c r="I9" s="9" t="s">
        <v>173</v>
      </c>
      <c r="J9" s="24">
        <f t="shared" si="0"/>
        <v>46242</v>
      </c>
      <c r="K9" s="89" t="s">
        <v>556</v>
      </c>
      <c r="L9" s="5"/>
      <c r="M9" s="5"/>
    </row>
    <row r="10" spans="1:13" x14ac:dyDescent="0.25">
      <c r="A10" s="8" t="s">
        <v>16</v>
      </c>
      <c r="B10" s="23" t="s">
        <v>401</v>
      </c>
      <c r="C10" s="5" t="s">
        <v>27</v>
      </c>
      <c r="D10" s="5"/>
      <c r="E10" s="5"/>
      <c r="F10" s="5" t="s">
        <v>174</v>
      </c>
      <c r="G10" s="5"/>
      <c r="H10" s="5"/>
      <c r="I10" s="9" t="s">
        <v>174</v>
      </c>
      <c r="J10" s="24">
        <f t="shared" si="0"/>
        <v>46243</v>
      </c>
      <c r="K10" s="89" t="s">
        <v>557</v>
      </c>
      <c r="L10" s="5"/>
      <c r="M10" s="5"/>
    </row>
    <row r="11" spans="1:13" x14ac:dyDescent="0.25">
      <c r="A11" s="8" t="s">
        <v>17</v>
      </c>
      <c r="B11" s="22" t="s">
        <v>402</v>
      </c>
      <c r="C11" s="5" t="s">
        <v>28</v>
      </c>
      <c r="D11" s="5"/>
      <c r="E11" s="5"/>
      <c r="F11" s="5" t="s">
        <v>175</v>
      </c>
      <c r="G11" s="5"/>
      <c r="H11" s="5"/>
      <c r="I11" s="9" t="s">
        <v>175</v>
      </c>
      <c r="J11" s="24">
        <f t="shared" si="0"/>
        <v>46244</v>
      </c>
      <c r="K11" s="89" t="s">
        <v>562</v>
      </c>
      <c r="L11" s="5"/>
      <c r="M11" s="5"/>
    </row>
    <row r="12" spans="1:13" x14ac:dyDescent="0.25">
      <c r="A12" s="8" t="s">
        <v>18</v>
      </c>
      <c r="B12" s="22" t="s">
        <v>403</v>
      </c>
      <c r="C12" s="5" t="s">
        <v>29</v>
      </c>
      <c r="D12" s="5"/>
      <c r="E12" s="5"/>
      <c r="F12" s="5" t="s">
        <v>176</v>
      </c>
      <c r="G12" s="5"/>
      <c r="H12" s="5"/>
      <c r="I12" s="9" t="s">
        <v>176</v>
      </c>
      <c r="J12" s="24">
        <f t="shared" si="0"/>
        <v>46245</v>
      </c>
      <c r="K12" s="89" t="s">
        <v>563</v>
      </c>
      <c r="L12" s="5"/>
      <c r="M12" s="5"/>
    </row>
    <row r="13" spans="1:13" x14ac:dyDescent="0.25">
      <c r="A13" s="8" t="s">
        <v>34</v>
      </c>
      <c r="B13" s="22" t="s">
        <v>404</v>
      </c>
      <c r="C13" s="5" t="s">
        <v>30</v>
      </c>
      <c r="D13" s="5"/>
      <c r="E13" s="5"/>
      <c r="F13" s="5" t="s">
        <v>177</v>
      </c>
      <c r="G13" s="5"/>
      <c r="H13" s="5"/>
      <c r="I13" s="9" t="s">
        <v>177</v>
      </c>
      <c r="J13" s="24">
        <f t="shared" si="0"/>
        <v>46246</v>
      </c>
      <c r="K13" s="89" t="s">
        <v>567</v>
      </c>
      <c r="L13" s="5"/>
      <c r="M13" s="5"/>
    </row>
    <row r="14" spans="1:13" x14ac:dyDescent="0.25">
      <c r="A14" s="8" t="s">
        <v>470</v>
      </c>
      <c r="B14" s="22" t="s">
        <v>405</v>
      </c>
      <c r="C14" s="5" t="s">
        <v>31</v>
      </c>
      <c r="D14" s="5"/>
      <c r="E14" s="5"/>
      <c r="F14" s="5" t="s">
        <v>16</v>
      </c>
      <c r="G14" s="5"/>
      <c r="H14" s="5"/>
      <c r="I14" s="9" t="s">
        <v>16</v>
      </c>
      <c r="J14" s="24">
        <f t="shared" si="0"/>
        <v>46247</v>
      </c>
      <c r="K14" s="89" t="s">
        <v>568</v>
      </c>
      <c r="L14" s="5"/>
      <c r="M14" s="5"/>
    </row>
    <row r="15" spans="1:13" x14ac:dyDescent="0.25">
      <c r="A15" s="8" t="s">
        <v>471</v>
      </c>
      <c r="B15" s="22" t="s">
        <v>406</v>
      </c>
      <c r="C15" s="5" t="s">
        <v>32</v>
      </c>
      <c r="D15" s="5"/>
      <c r="E15" s="5"/>
      <c r="F15" s="5"/>
      <c r="G15" s="5"/>
      <c r="H15" s="5"/>
      <c r="I15" s="9"/>
      <c r="J15" s="24">
        <f t="shared" si="0"/>
        <v>46248</v>
      </c>
      <c r="K15" s="89" t="s">
        <v>569</v>
      </c>
      <c r="L15" s="5"/>
      <c r="M15" s="5"/>
    </row>
    <row r="16" spans="1:13" x14ac:dyDescent="0.25">
      <c r="A16" s="8" t="s">
        <v>472</v>
      </c>
      <c r="B16" s="22" t="s">
        <v>407</v>
      </c>
      <c r="C16" s="5" t="s">
        <v>33</v>
      </c>
      <c r="D16" s="5"/>
      <c r="E16" s="5"/>
      <c r="F16" s="5"/>
      <c r="G16" s="5"/>
      <c r="H16" s="5"/>
      <c r="I16" s="9"/>
      <c r="J16" s="24">
        <f t="shared" si="0"/>
        <v>46249</v>
      </c>
      <c r="K16" s="89" t="s">
        <v>570</v>
      </c>
      <c r="L16" s="5"/>
      <c r="M16" s="5"/>
    </row>
    <row r="17" spans="1:13" x14ac:dyDescent="0.25">
      <c r="A17" s="8" t="s">
        <v>473</v>
      </c>
      <c r="B17" s="22" t="s">
        <v>408</v>
      </c>
      <c r="C17" s="5" t="s">
        <v>37</v>
      </c>
      <c r="D17" s="5"/>
      <c r="E17" s="5"/>
      <c r="F17" s="5"/>
      <c r="G17" s="5"/>
      <c r="H17" s="5"/>
      <c r="I17" s="9"/>
      <c r="J17" s="24">
        <f t="shared" si="0"/>
        <v>46250</v>
      </c>
      <c r="K17" s="89" t="s">
        <v>571</v>
      </c>
      <c r="L17" s="5"/>
      <c r="M17" s="5"/>
    </row>
    <row r="18" spans="1:13" x14ac:dyDescent="0.25">
      <c r="A18" s="8"/>
      <c r="B18" s="22" t="s">
        <v>409</v>
      </c>
      <c r="C18" s="5" t="s">
        <v>38</v>
      </c>
      <c r="D18" s="5"/>
      <c r="E18" s="5"/>
      <c r="F18" s="5"/>
      <c r="G18" s="5"/>
      <c r="H18" s="5"/>
      <c r="I18" s="9"/>
      <c r="J18" s="24">
        <f t="shared" si="0"/>
        <v>46251</v>
      </c>
      <c r="K18" s="89" t="s">
        <v>572</v>
      </c>
      <c r="L18" s="5"/>
      <c r="M18" s="5"/>
    </row>
    <row r="19" spans="1:13" x14ac:dyDescent="0.25">
      <c r="A19" s="8"/>
      <c r="B19" s="22" t="s">
        <v>410</v>
      </c>
      <c r="C19" s="5" t="s">
        <v>474</v>
      </c>
      <c r="D19" s="5"/>
      <c r="E19" s="5"/>
      <c r="F19" s="5"/>
      <c r="G19" s="5"/>
      <c r="H19" s="5"/>
      <c r="I19" s="9"/>
      <c r="J19" s="24">
        <f t="shared" si="0"/>
        <v>46252</v>
      </c>
      <c r="K19" s="89" t="s">
        <v>573</v>
      </c>
      <c r="L19" s="5"/>
      <c r="M19" s="5"/>
    </row>
    <row r="20" spans="1:13" x14ac:dyDescent="0.25">
      <c r="A20" s="8"/>
      <c r="B20" s="22" t="s">
        <v>411</v>
      </c>
      <c r="C20" s="5"/>
      <c r="D20" s="5"/>
      <c r="E20" s="5"/>
      <c r="F20" s="5"/>
      <c r="G20" s="5"/>
      <c r="H20" s="5"/>
      <c r="I20" s="9"/>
      <c r="J20" s="24">
        <f t="shared" si="0"/>
        <v>46253</v>
      </c>
      <c r="K20" s="89" t="s">
        <v>574</v>
      </c>
      <c r="L20" s="5"/>
      <c r="M20" s="5"/>
    </row>
    <row r="21" spans="1:13" x14ac:dyDescent="0.25">
      <c r="A21" s="8"/>
      <c r="B21" s="22" t="s">
        <v>412</v>
      </c>
      <c r="C21" s="5"/>
      <c r="D21" s="5"/>
      <c r="E21" s="5"/>
      <c r="F21" s="5"/>
      <c r="G21" s="5"/>
      <c r="H21" s="5"/>
      <c r="I21" s="9"/>
      <c r="J21" s="24">
        <f t="shared" si="0"/>
        <v>46254</v>
      </c>
      <c r="K21" s="89" t="s">
        <v>575</v>
      </c>
      <c r="L21" s="5"/>
      <c r="M21" s="5"/>
    </row>
    <row r="22" spans="1:13" x14ac:dyDescent="0.25">
      <c r="A22" s="8"/>
      <c r="B22" s="22" t="s">
        <v>413</v>
      </c>
      <c r="C22" s="5"/>
      <c r="D22" s="5"/>
      <c r="E22" s="5"/>
      <c r="F22" s="5"/>
      <c r="G22" s="5"/>
      <c r="H22" s="5"/>
      <c r="I22" s="9"/>
      <c r="J22" s="24">
        <f t="shared" si="0"/>
        <v>46255</v>
      </c>
      <c r="K22" s="89" t="s">
        <v>576</v>
      </c>
      <c r="L22" s="5"/>
      <c r="M22" s="5"/>
    </row>
    <row r="23" spans="1:13" x14ac:dyDescent="0.25">
      <c r="A23" s="8"/>
      <c r="B23" s="22" t="s">
        <v>414</v>
      </c>
      <c r="C23" s="5"/>
      <c r="D23" s="5"/>
      <c r="E23" s="5"/>
      <c r="F23" s="5"/>
      <c r="G23" s="5"/>
      <c r="H23" s="5"/>
      <c r="I23" s="9"/>
      <c r="J23" s="24">
        <f t="shared" si="0"/>
        <v>46256</v>
      </c>
      <c r="K23" s="89" t="s">
        <v>577</v>
      </c>
      <c r="L23" s="5"/>
      <c r="M23" s="5"/>
    </row>
    <row r="24" spans="1:13" x14ac:dyDescent="0.25">
      <c r="A24" s="8"/>
      <c r="B24" s="22" t="s">
        <v>415</v>
      </c>
      <c r="C24" s="5"/>
      <c r="D24" s="5"/>
      <c r="E24" s="5"/>
      <c r="F24" s="5"/>
      <c r="G24" s="5"/>
      <c r="H24" s="5"/>
      <c r="I24" s="9"/>
      <c r="J24" s="24">
        <f t="shared" si="0"/>
        <v>46257</v>
      </c>
      <c r="K24" s="89" t="s">
        <v>578</v>
      </c>
      <c r="L24" s="5"/>
      <c r="M24" s="5"/>
    </row>
    <row r="25" spans="1:13" x14ac:dyDescent="0.25">
      <c r="A25" s="8"/>
      <c r="B25" s="22" t="s">
        <v>416</v>
      </c>
      <c r="C25" s="5"/>
      <c r="D25" s="5"/>
      <c r="E25" s="5"/>
      <c r="F25" s="5"/>
      <c r="G25" s="5"/>
      <c r="H25" s="5"/>
      <c r="I25" s="9"/>
      <c r="J25" s="24">
        <f t="shared" si="0"/>
        <v>46258</v>
      </c>
      <c r="K25" s="89" t="s">
        <v>579</v>
      </c>
      <c r="L25" s="5"/>
      <c r="M25" s="5"/>
    </row>
    <row r="26" spans="1:13" x14ac:dyDescent="0.25">
      <c r="A26" s="8"/>
      <c r="B26" s="22" t="s">
        <v>417</v>
      </c>
      <c r="C26" s="5"/>
      <c r="D26" s="5"/>
      <c r="E26" s="5"/>
      <c r="F26" s="5"/>
      <c r="G26" s="5"/>
      <c r="H26" s="5"/>
      <c r="I26" s="9"/>
      <c r="J26" s="24">
        <f t="shared" si="0"/>
        <v>46259</v>
      </c>
      <c r="K26" s="89" t="s">
        <v>580</v>
      </c>
      <c r="L26" s="5"/>
      <c r="M26" s="5"/>
    </row>
    <row r="27" spans="1:13" x14ac:dyDescent="0.25">
      <c r="A27" s="8"/>
      <c r="B27" s="22" t="s">
        <v>418</v>
      </c>
      <c r="C27" s="5"/>
      <c r="D27" s="5"/>
      <c r="E27" s="5"/>
      <c r="F27" s="5"/>
      <c r="G27" s="5"/>
      <c r="H27" s="5"/>
      <c r="I27" s="9"/>
      <c r="J27" s="24">
        <f t="shared" si="0"/>
        <v>46260</v>
      </c>
      <c r="K27" s="89" t="s">
        <v>581</v>
      </c>
      <c r="L27" s="5"/>
      <c r="M27" s="5"/>
    </row>
    <row r="28" spans="1:13" x14ac:dyDescent="0.25">
      <c r="A28" s="8"/>
      <c r="B28" s="22" t="s">
        <v>419</v>
      </c>
      <c r="C28" s="5"/>
      <c r="D28" s="5"/>
      <c r="E28" s="5"/>
      <c r="F28" s="5"/>
      <c r="G28" s="5"/>
      <c r="H28" s="5"/>
      <c r="I28" s="9"/>
      <c r="J28" s="24">
        <f t="shared" si="0"/>
        <v>46261</v>
      </c>
      <c r="K28" s="89" t="s">
        <v>582</v>
      </c>
      <c r="L28" s="5"/>
      <c r="M28" s="5"/>
    </row>
    <row r="29" spans="1:13" x14ac:dyDescent="0.25">
      <c r="A29" s="8"/>
      <c r="B29" s="22" t="s">
        <v>420</v>
      </c>
      <c r="C29" s="5"/>
      <c r="D29" s="5"/>
      <c r="E29" s="5"/>
      <c r="F29" s="5"/>
      <c r="G29" s="5"/>
      <c r="H29" s="5"/>
      <c r="I29" s="9"/>
      <c r="J29" s="24">
        <f t="shared" si="0"/>
        <v>46262</v>
      </c>
      <c r="K29" s="89" t="s">
        <v>583</v>
      </c>
      <c r="L29" s="5"/>
      <c r="M29" s="5"/>
    </row>
    <row r="30" spans="1:13" x14ac:dyDescent="0.25">
      <c r="A30" s="8"/>
      <c r="B30" s="22" t="s">
        <v>421</v>
      </c>
      <c r="C30" s="5"/>
      <c r="D30" s="5"/>
      <c r="E30" s="5"/>
      <c r="F30" s="5"/>
      <c r="G30" s="5"/>
      <c r="H30" s="5"/>
      <c r="I30" s="9"/>
      <c r="J30" s="24">
        <f t="shared" si="0"/>
        <v>46263</v>
      </c>
      <c r="K30" s="89" t="s">
        <v>584</v>
      </c>
      <c r="L30" s="5"/>
      <c r="M30" s="5"/>
    </row>
    <row r="31" spans="1:13" x14ac:dyDescent="0.25">
      <c r="A31" s="8"/>
      <c r="B31" s="22" t="s">
        <v>422</v>
      </c>
      <c r="C31" s="5"/>
      <c r="D31" s="5"/>
      <c r="E31" s="5"/>
      <c r="F31" s="5"/>
      <c r="G31" s="5"/>
      <c r="H31" s="5"/>
      <c r="I31" s="9"/>
      <c r="J31" s="24">
        <f t="shared" si="0"/>
        <v>46264</v>
      </c>
      <c r="K31" s="89" t="s">
        <v>585</v>
      </c>
      <c r="L31" s="5"/>
      <c r="M31" s="5"/>
    </row>
    <row r="32" spans="1:13" x14ac:dyDescent="0.25">
      <c r="A32" s="8"/>
      <c r="B32" s="22" t="s">
        <v>423</v>
      </c>
      <c r="C32" s="5"/>
      <c r="D32" s="5"/>
      <c r="E32" s="5"/>
      <c r="F32" s="5"/>
      <c r="G32" s="5"/>
      <c r="H32" s="5"/>
      <c r="I32" s="9"/>
      <c r="J32" s="24">
        <f t="shared" si="0"/>
        <v>46265</v>
      </c>
      <c r="K32" s="89" t="s">
        <v>586</v>
      </c>
      <c r="L32" s="5"/>
      <c r="M32" s="5"/>
    </row>
    <row r="33" spans="1:13" x14ac:dyDescent="0.25">
      <c r="A33" s="8"/>
      <c r="B33" s="22" t="s">
        <v>424</v>
      </c>
      <c r="C33" s="5"/>
      <c r="D33" s="5"/>
      <c r="E33" s="5"/>
      <c r="F33" s="5"/>
      <c r="G33" s="5"/>
      <c r="H33" s="5"/>
      <c r="I33" s="9"/>
      <c r="J33" s="24"/>
      <c r="K33" s="89" t="s">
        <v>587</v>
      </c>
      <c r="L33" s="5"/>
      <c r="M33" s="5"/>
    </row>
    <row r="34" spans="1:13" x14ac:dyDescent="0.25">
      <c r="A34" s="8"/>
      <c r="B34" s="22" t="s">
        <v>425</v>
      </c>
      <c r="C34" s="5"/>
      <c r="D34" s="5"/>
      <c r="E34" s="5"/>
      <c r="F34" s="5"/>
      <c r="G34" s="5"/>
      <c r="H34" s="5"/>
      <c r="I34" s="9"/>
      <c r="J34" s="24"/>
      <c r="K34" s="89" t="s">
        <v>588</v>
      </c>
      <c r="L34" s="5"/>
      <c r="M34" s="5"/>
    </row>
    <row r="35" spans="1:13" x14ac:dyDescent="0.25">
      <c r="A35" s="8"/>
      <c r="B35" s="22" t="s">
        <v>426</v>
      </c>
      <c r="C35" s="5"/>
      <c r="D35" s="5"/>
      <c r="E35" s="5"/>
      <c r="F35" s="5"/>
      <c r="G35" s="5"/>
      <c r="H35" s="5"/>
      <c r="I35" s="9"/>
      <c r="J35" s="24"/>
      <c r="K35" s="89" t="s">
        <v>589</v>
      </c>
      <c r="L35" s="5"/>
      <c r="M35" s="5"/>
    </row>
    <row r="36" spans="1:13" x14ac:dyDescent="0.25">
      <c r="A36" s="8"/>
      <c r="B36" s="22" t="s">
        <v>427</v>
      </c>
      <c r="C36" s="5"/>
      <c r="D36" s="5"/>
      <c r="E36" s="5"/>
      <c r="F36" s="5"/>
      <c r="G36" s="5"/>
      <c r="H36" s="5"/>
      <c r="I36" s="9"/>
      <c r="J36" s="24"/>
      <c r="K36" s="89" t="s">
        <v>590</v>
      </c>
      <c r="L36" s="5"/>
      <c r="M36" s="5"/>
    </row>
    <row r="37" spans="1:13" x14ac:dyDescent="0.25">
      <c r="A37" s="8"/>
      <c r="B37" s="22" t="s">
        <v>428</v>
      </c>
      <c r="C37" s="5"/>
      <c r="D37" s="5"/>
      <c r="E37" s="5"/>
      <c r="F37" s="5"/>
      <c r="G37" s="5"/>
      <c r="H37" s="5"/>
      <c r="I37" s="9"/>
      <c r="J37" s="24"/>
      <c r="K37" s="89" t="s">
        <v>591</v>
      </c>
      <c r="L37" s="5"/>
      <c r="M37" s="5"/>
    </row>
    <row r="38" spans="1:13" x14ac:dyDescent="0.25">
      <c r="A38" s="8"/>
      <c r="B38" s="22" t="s">
        <v>429</v>
      </c>
      <c r="C38" s="5"/>
      <c r="D38" s="5"/>
      <c r="E38" s="5"/>
      <c r="F38" s="5"/>
      <c r="G38" s="5"/>
      <c r="H38" s="5"/>
      <c r="I38" s="9"/>
      <c r="J38" s="24"/>
      <c r="K38" s="89" t="s">
        <v>592</v>
      </c>
      <c r="L38" s="5"/>
      <c r="M38" s="5"/>
    </row>
    <row r="39" spans="1:13" x14ac:dyDescent="0.25">
      <c r="A39" s="8"/>
      <c r="B39" s="22" t="s">
        <v>430</v>
      </c>
      <c r="C39" s="5"/>
      <c r="D39" s="5"/>
      <c r="E39" s="5"/>
      <c r="F39" s="5"/>
      <c r="G39" s="5"/>
      <c r="H39" s="5"/>
      <c r="I39" s="9"/>
      <c r="J39" s="24"/>
      <c r="K39" s="89" t="s">
        <v>593</v>
      </c>
      <c r="L39" s="5"/>
      <c r="M39" s="5"/>
    </row>
    <row r="40" spans="1:13" x14ac:dyDescent="0.25">
      <c r="A40" s="8"/>
      <c r="B40" s="22" t="s">
        <v>431</v>
      </c>
      <c r="C40" s="5"/>
      <c r="D40" s="5"/>
      <c r="E40" s="5"/>
      <c r="F40" s="5"/>
      <c r="G40" s="5"/>
      <c r="H40" s="5"/>
      <c r="I40" s="9"/>
      <c r="J40" s="24"/>
      <c r="K40" s="89" t="s">
        <v>594</v>
      </c>
      <c r="L40" s="5"/>
      <c r="M40" s="5"/>
    </row>
    <row r="41" spans="1:13" x14ac:dyDescent="0.25">
      <c r="A41" s="8"/>
      <c r="B41" s="22" t="s">
        <v>432</v>
      </c>
      <c r="C41" s="5"/>
      <c r="D41" s="5"/>
      <c r="E41" s="5"/>
      <c r="F41" s="5"/>
      <c r="G41" s="5"/>
      <c r="H41" s="5"/>
      <c r="I41" s="9"/>
      <c r="J41" s="24"/>
      <c r="K41" s="89" t="s">
        <v>595</v>
      </c>
      <c r="L41" s="5"/>
      <c r="M41" s="5"/>
    </row>
    <row r="42" spans="1:13" x14ac:dyDescent="0.25">
      <c r="A42" s="8"/>
      <c r="B42" s="22" t="s">
        <v>433</v>
      </c>
      <c r="C42" s="5"/>
      <c r="D42" s="5"/>
      <c r="E42" s="5"/>
      <c r="F42" s="5"/>
      <c r="G42" s="5"/>
      <c r="H42" s="5"/>
      <c r="I42" s="9"/>
      <c r="J42" s="24"/>
      <c r="K42" s="89" t="s">
        <v>596</v>
      </c>
      <c r="L42" s="5"/>
      <c r="M42" s="5"/>
    </row>
    <row r="43" spans="1:13" x14ac:dyDescent="0.25">
      <c r="A43" s="8"/>
      <c r="B43" s="22" t="s">
        <v>434</v>
      </c>
      <c r="C43" s="5"/>
      <c r="D43" s="5"/>
      <c r="E43" s="5"/>
      <c r="F43" s="5"/>
      <c r="G43" s="5"/>
      <c r="H43" s="5"/>
      <c r="I43" s="9"/>
      <c r="J43" s="24"/>
      <c r="K43" s="89" t="s">
        <v>597</v>
      </c>
      <c r="L43" s="5"/>
      <c r="M43" s="5"/>
    </row>
    <row r="44" spans="1:13" x14ac:dyDescent="0.25">
      <c r="A44" s="8"/>
      <c r="B44" s="22" t="s">
        <v>435</v>
      </c>
      <c r="C44" s="5"/>
      <c r="D44" s="5"/>
      <c r="E44" s="5"/>
      <c r="F44" s="5"/>
      <c r="G44" s="5"/>
      <c r="H44" s="5"/>
      <c r="I44" s="9"/>
      <c r="J44" s="24"/>
      <c r="K44" s="89" t="s">
        <v>598</v>
      </c>
      <c r="L44" s="5"/>
      <c r="M44" s="5"/>
    </row>
    <row r="45" spans="1:13" x14ac:dyDescent="0.25">
      <c r="A45" s="8"/>
      <c r="B45" s="22" t="s">
        <v>436</v>
      </c>
      <c r="C45" s="5"/>
      <c r="D45" s="5"/>
      <c r="E45" s="5"/>
      <c r="F45" s="5"/>
      <c r="G45" s="5"/>
      <c r="H45" s="5"/>
      <c r="I45" s="9"/>
      <c r="J45" s="24"/>
      <c r="K45" s="89" t="s">
        <v>599</v>
      </c>
      <c r="L45" s="5"/>
      <c r="M45" s="5"/>
    </row>
    <row r="46" spans="1:13" x14ac:dyDescent="0.25">
      <c r="A46" s="8"/>
      <c r="B46" s="22" t="s">
        <v>437</v>
      </c>
      <c r="C46" s="5"/>
      <c r="D46" s="5"/>
      <c r="E46" s="5"/>
      <c r="F46" s="5"/>
      <c r="G46" s="5"/>
      <c r="H46" s="5"/>
      <c r="I46" s="9"/>
      <c r="J46" s="24"/>
      <c r="K46" s="89" t="s">
        <v>600</v>
      </c>
      <c r="L46" s="5"/>
      <c r="M46" s="5"/>
    </row>
    <row r="47" spans="1:13" x14ac:dyDescent="0.25">
      <c r="A47" s="8"/>
      <c r="B47" s="22" t="s">
        <v>438</v>
      </c>
      <c r="C47" s="5"/>
      <c r="D47" s="5"/>
      <c r="E47" s="5"/>
      <c r="F47" s="5"/>
      <c r="G47" s="5"/>
      <c r="H47" s="5"/>
      <c r="I47" s="9"/>
      <c r="J47" s="24"/>
      <c r="K47" s="89" t="s">
        <v>601</v>
      </c>
      <c r="L47" s="5"/>
      <c r="M47" s="5"/>
    </row>
    <row r="48" spans="1:13" x14ac:dyDescent="0.25">
      <c r="A48" s="8"/>
      <c r="B48" s="22" t="s">
        <v>439</v>
      </c>
      <c r="C48" s="5"/>
      <c r="D48" s="5"/>
      <c r="E48" s="5"/>
      <c r="F48" s="5"/>
      <c r="G48" s="5"/>
      <c r="H48" s="5"/>
      <c r="I48" s="9"/>
      <c r="J48" s="24"/>
      <c r="K48" s="89" t="s">
        <v>602</v>
      </c>
      <c r="L48" s="5"/>
      <c r="M48" s="5"/>
    </row>
    <row r="49" spans="1:13" x14ac:dyDescent="0.25">
      <c r="A49" s="8"/>
      <c r="B49" s="22" t="s">
        <v>440</v>
      </c>
      <c r="C49" s="5"/>
      <c r="D49" s="5"/>
      <c r="E49" s="5"/>
      <c r="F49" s="5"/>
      <c r="G49" s="5"/>
      <c r="H49" s="5"/>
      <c r="I49" s="9"/>
      <c r="J49" s="24"/>
      <c r="K49" s="89" t="s">
        <v>603</v>
      </c>
      <c r="L49" s="5"/>
      <c r="M49" s="5"/>
    </row>
    <row r="50" spans="1:13" x14ac:dyDescent="0.25">
      <c r="A50" s="8"/>
      <c r="B50" s="22" t="s">
        <v>441</v>
      </c>
      <c r="C50" s="5"/>
      <c r="D50" s="5"/>
      <c r="E50" s="5"/>
      <c r="F50" s="5"/>
      <c r="G50" s="5"/>
      <c r="H50" s="5"/>
      <c r="I50" s="9"/>
      <c r="J50" s="24"/>
      <c r="K50" s="89" t="s">
        <v>604</v>
      </c>
      <c r="L50" s="5"/>
      <c r="M50" s="5"/>
    </row>
    <row r="51" spans="1:13" x14ac:dyDescent="0.25">
      <c r="A51" s="8"/>
      <c r="B51" s="22" t="s">
        <v>442</v>
      </c>
      <c r="C51" s="5"/>
      <c r="D51" s="5"/>
      <c r="E51" s="5"/>
      <c r="F51" s="5"/>
      <c r="G51" s="5"/>
      <c r="H51" s="5"/>
      <c r="I51" s="9"/>
      <c r="J51" s="24"/>
      <c r="K51" s="89" t="s">
        <v>605</v>
      </c>
      <c r="L51" s="5"/>
      <c r="M51" s="5"/>
    </row>
    <row r="52" spans="1:13" x14ac:dyDescent="0.25">
      <c r="A52" s="8"/>
      <c r="B52" s="22" t="s">
        <v>443</v>
      </c>
      <c r="C52" s="5"/>
      <c r="D52" s="5"/>
      <c r="E52" s="5"/>
      <c r="F52" s="5"/>
      <c r="G52" s="5"/>
      <c r="H52" s="5"/>
      <c r="I52" s="9"/>
      <c r="J52" s="24"/>
      <c r="K52" s="5"/>
      <c r="L52" s="5"/>
      <c r="M52" s="5"/>
    </row>
    <row r="53" spans="1:13" x14ac:dyDescent="0.25">
      <c r="A53" s="8"/>
      <c r="B53" s="22" t="s">
        <v>444</v>
      </c>
      <c r="C53" s="5"/>
      <c r="D53" s="5"/>
      <c r="E53" s="5"/>
      <c r="F53" s="5"/>
      <c r="G53" s="5"/>
      <c r="H53" s="5"/>
      <c r="I53" s="9"/>
      <c r="J53" s="24"/>
      <c r="K53" s="5"/>
      <c r="L53" s="5"/>
      <c r="M53" s="5"/>
    </row>
    <row r="54" spans="1:13" x14ac:dyDescent="0.25">
      <c r="A54" s="8"/>
      <c r="B54" s="22" t="s">
        <v>445</v>
      </c>
      <c r="C54" s="5"/>
      <c r="D54" s="5"/>
      <c r="E54" s="5"/>
      <c r="F54" s="5"/>
      <c r="G54" s="5"/>
      <c r="H54" s="5"/>
      <c r="I54" s="9"/>
      <c r="J54" s="24"/>
      <c r="K54" s="5"/>
      <c r="L54" s="5"/>
      <c r="M54" s="5"/>
    </row>
    <row r="55" spans="1:13" x14ac:dyDescent="0.25">
      <c r="A55" s="8"/>
      <c r="B55" s="22" t="s">
        <v>446</v>
      </c>
      <c r="C55" s="5"/>
      <c r="D55" s="5"/>
      <c r="E55" s="5"/>
      <c r="F55" s="5"/>
      <c r="G55" s="5"/>
      <c r="H55" s="5"/>
      <c r="I55" s="9"/>
      <c r="J55" s="24"/>
      <c r="K55" s="5"/>
      <c r="L55" s="5"/>
      <c r="M55" s="5"/>
    </row>
    <row r="56" spans="1:13" x14ac:dyDescent="0.25">
      <c r="A56" s="8"/>
      <c r="B56" s="22" t="s">
        <v>447</v>
      </c>
      <c r="C56" s="5"/>
      <c r="D56" s="5"/>
      <c r="E56" s="5"/>
      <c r="F56" s="5"/>
      <c r="G56" s="5"/>
      <c r="H56" s="5"/>
      <c r="I56" s="9"/>
      <c r="J56" s="24"/>
      <c r="K56" s="5"/>
      <c r="L56" s="5"/>
      <c r="M56" s="5"/>
    </row>
    <row r="57" spans="1:13" x14ac:dyDescent="0.25">
      <c r="A57" s="8"/>
      <c r="B57" s="22" t="s">
        <v>448</v>
      </c>
      <c r="C57" s="5"/>
      <c r="D57" s="5"/>
      <c r="E57" s="5"/>
      <c r="F57" s="5"/>
      <c r="G57" s="5"/>
      <c r="H57" s="5"/>
      <c r="I57" s="9"/>
      <c r="J57" s="24"/>
      <c r="K57" s="5"/>
      <c r="L57" s="5"/>
      <c r="M57" s="5"/>
    </row>
    <row r="58" spans="1:13" x14ac:dyDescent="0.25">
      <c r="A58" s="8"/>
      <c r="B58" s="22" t="s">
        <v>449</v>
      </c>
      <c r="C58" s="5"/>
      <c r="D58" s="5"/>
      <c r="E58" s="5"/>
      <c r="F58" s="5"/>
      <c r="G58" s="5"/>
      <c r="H58" s="5"/>
      <c r="I58" s="9"/>
      <c r="J58" s="24"/>
      <c r="K58" s="5"/>
      <c r="L58" s="5"/>
      <c r="M58" s="5"/>
    </row>
    <row r="59" spans="1:13" x14ac:dyDescent="0.25">
      <c r="A59" s="8"/>
      <c r="B59" s="22" t="s">
        <v>450</v>
      </c>
      <c r="C59" s="5"/>
      <c r="D59" s="5"/>
      <c r="E59" s="5"/>
      <c r="F59" s="5"/>
      <c r="G59" s="5"/>
      <c r="H59" s="5"/>
      <c r="I59" s="9"/>
      <c r="J59" s="24"/>
      <c r="K59" s="5"/>
      <c r="L59" s="5"/>
      <c r="M59" s="5"/>
    </row>
    <row r="60" spans="1:13" x14ac:dyDescent="0.25">
      <c r="A60" s="8"/>
      <c r="B60" s="22" t="s">
        <v>451</v>
      </c>
      <c r="C60" s="5"/>
      <c r="D60" s="5"/>
      <c r="E60" s="5"/>
      <c r="F60" s="5"/>
      <c r="G60" s="5"/>
      <c r="H60" s="5"/>
      <c r="I60" s="9"/>
      <c r="J60" s="24"/>
      <c r="K60" s="5"/>
      <c r="L60" s="5"/>
      <c r="M60" s="5"/>
    </row>
    <row r="61" spans="1:13" x14ac:dyDescent="0.25">
      <c r="A61" s="8"/>
      <c r="B61" s="22" t="s">
        <v>452</v>
      </c>
      <c r="C61" s="5"/>
      <c r="D61" s="5"/>
      <c r="E61" s="5"/>
      <c r="F61" s="5"/>
      <c r="G61" s="5"/>
      <c r="H61" s="5"/>
      <c r="I61" s="9"/>
      <c r="J61" s="24"/>
      <c r="K61" s="5"/>
      <c r="L61" s="5"/>
      <c r="M61" s="5"/>
    </row>
    <row r="62" spans="1:13" x14ac:dyDescent="0.25">
      <c r="A62" s="8"/>
      <c r="B62" s="22" t="s">
        <v>453</v>
      </c>
      <c r="C62" s="5"/>
      <c r="D62" s="5"/>
      <c r="E62" s="5"/>
      <c r="F62" s="5"/>
      <c r="G62" s="5"/>
      <c r="H62" s="5"/>
      <c r="I62" s="9"/>
      <c r="J62" s="24"/>
      <c r="K62" s="5"/>
      <c r="L62" s="5"/>
      <c r="M62" s="5"/>
    </row>
    <row r="63" spans="1:13" x14ac:dyDescent="0.25">
      <c r="A63" s="8"/>
      <c r="B63" s="22" t="s">
        <v>454</v>
      </c>
      <c r="C63" s="5"/>
      <c r="D63" s="5"/>
      <c r="E63" s="5"/>
      <c r="F63" s="5"/>
      <c r="G63" s="5"/>
      <c r="H63" s="5"/>
      <c r="I63" s="9"/>
      <c r="J63" s="24"/>
      <c r="K63" s="5"/>
      <c r="L63" s="5"/>
      <c r="M63" s="5"/>
    </row>
    <row r="64" spans="1:13" x14ac:dyDescent="0.25">
      <c r="A64" s="8"/>
      <c r="B64" s="22" t="s">
        <v>455</v>
      </c>
      <c r="C64" s="5"/>
      <c r="D64" s="5"/>
      <c r="E64" s="5"/>
      <c r="F64" s="5"/>
      <c r="G64" s="5"/>
      <c r="H64" s="5"/>
      <c r="I64" s="9"/>
      <c r="J64" s="24"/>
      <c r="K64" s="5"/>
      <c r="L64" s="5"/>
      <c r="M64" s="5"/>
    </row>
    <row r="65" spans="1:13" x14ac:dyDescent="0.25">
      <c r="A65" s="8"/>
      <c r="B65" s="22" t="s">
        <v>456</v>
      </c>
      <c r="C65" s="5"/>
      <c r="D65" s="5"/>
      <c r="E65" s="5"/>
      <c r="F65" s="5"/>
      <c r="G65" s="5"/>
      <c r="H65" s="5"/>
      <c r="I65" s="9"/>
      <c r="J65" s="24"/>
      <c r="K65" s="5"/>
      <c r="L65" s="5"/>
      <c r="M65" s="5"/>
    </row>
    <row r="66" spans="1:13" x14ac:dyDescent="0.25">
      <c r="A66" s="8"/>
      <c r="B66" s="22" t="s">
        <v>457</v>
      </c>
      <c r="C66" s="5"/>
      <c r="D66" s="5"/>
      <c r="E66" s="5"/>
      <c r="F66" s="5"/>
      <c r="G66" s="5"/>
      <c r="H66" s="5"/>
      <c r="I66" s="9"/>
      <c r="J66" s="24"/>
      <c r="K66" s="5"/>
      <c r="L66" s="5"/>
      <c r="M66" s="5"/>
    </row>
    <row r="67" spans="1:13" x14ac:dyDescent="0.25">
      <c r="A67" s="8"/>
      <c r="B67" s="22" t="s">
        <v>458</v>
      </c>
      <c r="C67" s="5"/>
      <c r="D67" s="5"/>
      <c r="E67" s="5"/>
      <c r="F67" s="5"/>
      <c r="G67" s="5"/>
      <c r="H67" s="5"/>
      <c r="I67" s="9"/>
      <c r="J67" s="24"/>
      <c r="K67" s="5"/>
      <c r="L67" s="5"/>
      <c r="M67" s="5"/>
    </row>
    <row r="68" spans="1:13" x14ac:dyDescent="0.25">
      <c r="A68" s="8"/>
      <c r="B68" s="22" t="s">
        <v>459</v>
      </c>
      <c r="C68" s="5"/>
      <c r="D68" s="5"/>
      <c r="E68" s="5"/>
      <c r="F68" s="5"/>
      <c r="G68" s="5"/>
      <c r="H68" s="5"/>
      <c r="I68" s="9"/>
      <c r="J68" s="24"/>
      <c r="K68" s="5"/>
      <c r="L68" s="5"/>
      <c r="M68" s="5"/>
    </row>
    <row r="69" spans="1:13" x14ac:dyDescent="0.25">
      <c r="A69" s="8"/>
      <c r="B69" s="22" t="s">
        <v>460</v>
      </c>
      <c r="C69" s="5"/>
      <c r="D69" s="5"/>
      <c r="E69" s="5"/>
      <c r="F69" s="5"/>
      <c r="G69" s="5"/>
      <c r="H69" s="5"/>
      <c r="I69" s="9"/>
      <c r="J69" s="24"/>
      <c r="K69" s="5"/>
      <c r="L69" s="5"/>
      <c r="M69" s="5"/>
    </row>
    <row r="70" spans="1:13" x14ac:dyDescent="0.25">
      <c r="A70" s="8"/>
      <c r="B70" s="22" t="s">
        <v>461</v>
      </c>
      <c r="C70" s="5"/>
      <c r="D70" s="5"/>
      <c r="E70" s="5"/>
      <c r="F70" s="5"/>
      <c r="G70" s="5"/>
      <c r="H70" s="5"/>
      <c r="I70" s="9"/>
      <c r="J70" s="24"/>
      <c r="K70" s="5"/>
      <c r="L70" s="5"/>
      <c r="M70" s="5"/>
    </row>
    <row r="71" spans="1:13" x14ac:dyDescent="0.25">
      <c r="A71" s="8"/>
      <c r="B71" s="22" t="s">
        <v>462</v>
      </c>
      <c r="C71" s="5"/>
      <c r="D71" s="5"/>
      <c r="E71" s="5"/>
      <c r="F71" s="5"/>
      <c r="G71" s="5"/>
      <c r="H71" s="5"/>
      <c r="I71" s="9"/>
      <c r="J71" s="24"/>
      <c r="K71" s="5"/>
      <c r="L71" s="5"/>
      <c r="M71" s="5"/>
    </row>
    <row r="72" spans="1:13" x14ac:dyDescent="0.25">
      <c r="A72" s="8"/>
      <c r="B72" s="22" t="s">
        <v>463</v>
      </c>
      <c r="C72" s="5"/>
      <c r="D72" s="5"/>
      <c r="E72" s="5"/>
      <c r="F72" s="5"/>
      <c r="G72" s="5"/>
      <c r="H72" s="5"/>
      <c r="I72" s="9"/>
      <c r="J72" s="24"/>
      <c r="K72" s="5"/>
      <c r="L72" s="5"/>
      <c r="M72" s="5"/>
    </row>
    <row r="73" spans="1:13" x14ac:dyDescent="0.25">
      <c r="A73" s="8"/>
      <c r="B73" s="22" t="s">
        <v>464</v>
      </c>
      <c r="C73" s="5"/>
      <c r="D73" s="5"/>
      <c r="E73" s="5"/>
      <c r="F73" s="5"/>
      <c r="G73" s="5"/>
      <c r="H73" s="5"/>
      <c r="I73" s="9"/>
      <c r="J73" s="24"/>
      <c r="K73" s="5"/>
      <c r="L73" s="5"/>
      <c r="M73" s="5"/>
    </row>
    <row r="74" spans="1:13" x14ac:dyDescent="0.25">
      <c r="A74" s="8"/>
      <c r="B74" s="22" t="s">
        <v>465</v>
      </c>
      <c r="C74" s="5"/>
      <c r="D74" s="5"/>
      <c r="E74" s="5"/>
      <c r="F74" s="5"/>
      <c r="G74" s="5"/>
      <c r="H74" s="5"/>
      <c r="I74" s="9"/>
      <c r="J74" s="24"/>
      <c r="K74" s="5"/>
      <c r="L74" s="5"/>
      <c r="M74" s="5"/>
    </row>
    <row r="75" spans="1:13" x14ac:dyDescent="0.25">
      <c r="A75" s="8"/>
      <c r="B75" s="22" t="s">
        <v>466</v>
      </c>
      <c r="C75" s="5"/>
      <c r="D75" s="5"/>
      <c r="E75" s="5"/>
      <c r="F75" s="5"/>
      <c r="G75" s="5"/>
      <c r="H75" s="5"/>
      <c r="I75" s="9"/>
      <c r="J75" s="24"/>
      <c r="K75" s="5"/>
      <c r="L75" s="5"/>
      <c r="M75" s="5"/>
    </row>
    <row r="76" spans="1:13" x14ac:dyDescent="0.25">
      <c r="A76" s="8"/>
      <c r="B76" s="22" t="s">
        <v>467</v>
      </c>
      <c r="C76" s="5"/>
      <c r="D76" s="5"/>
      <c r="E76" s="5"/>
      <c r="F76" s="5"/>
      <c r="G76" s="5"/>
      <c r="H76" s="5"/>
      <c r="I76" s="9"/>
      <c r="J76" s="24"/>
      <c r="K76" s="5"/>
      <c r="L76" s="5"/>
      <c r="M76" s="5"/>
    </row>
    <row r="77" spans="1:13" x14ac:dyDescent="0.25">
      <c r="A77" s="8"/>
      <c r="B77" s="22" t="s">
        <v>468</v>
      </c>
      <c r="C77" s="5"/>
      <c r="D77" s="5"/>
      <c r="E77" s="5"/>
      <c r="F77" s="5"/>
      <c r="G77" s="5"/>
      <c r="H77" s="5"/>
      <c r="I77" s="9"/>
      <c r="J77" s="24"/>
      <c r="K77" s="5"/>
      <c r="L77" s="5"/>
      <c r="M77" s="5"/>
    </row>
    <row r="78" spans="1:13" x14ac:dyDescent="0.25">
      <c r="A78" s="8"/>
      <c r="B78" s="22" t="s">
        <v>469</v>
      </c>
      <c r="C78" s="5"/>
      <c r="D78" s="5"/>
      <c r="E78" s="5"/>
      <c r="F78" s="5"/>
      <c r="G78" s="5"/>
      <c r="H78" s="5"/>
      <c r="I78" s="9"/>
      <c r="J78" s="24"/>
      <c r="K78" s="5"/>
      <c r="L78" s="5"/>
      <c r="M78" s="5"/>
    </row>
    <row r="79" spans="1:13" x14ac:dyDescent="0.25">
      <c r="A79" s="8"/>
      <c r="B79" s="5"/>
      <c r="C79" s="5"/>
      <c r="D79" s="5"/>
      <c r="E79" s="5"/>
      <c r="F79" s="5"/>
      <c r="G79" s="5"/>
      <c r="H79" s="5"/>
      <c r="I79" s="9"/>
      <c r="J79" s="24"/>
      <c r="K79" s="5"/>
      <c r="L79" s="5"/>
      <c r="M79" s="5"/>
    </row>
    <row r="80" spans="1:13" x14ac:dyDescent="0.25">
      <c r="A80" s="8"/>
      <c r="B80" s="5"/>
      <c r="C80" s="5"/>
      <c r="D80" s="5"/>
      <c r="E80" s="5"/>
      <c r="F80" s="5"/>
      <c r="G80" s="5"/>
      <c r="H80" s="5"/>
      <c r="I80" s="9"/>
      <c r="J80" s="24"/>
      <c r="K80" s="5"/>
      <c r="L80" s="5"/>
      <c r="M80" s="5"/>
    </row>
    <row r="81" spans="1:13" x14ac:dyDescent="0.25">
      <c r="A81" s="8"/>
      <c r="B81" s="5"/>
      <c r="C81" s="5"/>
      <c r="D81" s="5"/>
      <c r="E81" s="5"/>
      <c r="F81" s="5"/>
      <c r="G81" s="5"/>
      <c r="H81" s="5"/>
      <c r="I81" s="9"/>
      <c r="J81" s="24"/>
      <c r="K81" s="5"/>
      <c r="L81" s="5"/>
      <c r="M81" s="5"/>
    </row>
    <row r="82" spans="1:13" x14ac:dyDescent="0.25">
      <c r="A82" s="8"/>
      <c r="B82" s="5"/>
      <c r="C82" s="5"/>
      <c r="D82" s="5"/>
      <c r="E82" s="5"/>
      <c r="F82" s="5"/>
      <c r="G82" s="5"/>
      <c r="H82" s="5"/>
      <c r="I82" s="9"/>
      <c r="J82" s="24"/>
      <c r="K82" s="5"/>
      <c r="L82" s="5"/>
      <c r="M82" s="5"/>
    </row>
    <row r="83" spans="1:13" x14ac:dyDescent="0.25">
      <c r="A83" s="8"/>
      <c r="B83" s="5"/>
      <c r="C83" s="5"/>
      <c r="D83" s="5"/>
      <c r="E83" s="5"/>
      <c r="F83" s="5"/>
      <c r="G83" s="5"/>
      <c r="H83" s="5"/>
      <c r="I83" s="9"/>
      <c r="J83" s="24"/>
      <c r="K83" s="5"/>
      <c r="L83" s="5"/>
      <c r="M83" s="5"/>
    </row>
    <row r="84" spans="1:13" x14ac:dyDescent="0.25">
      <c r="A84" s="8"/>
      <c r="B84" s="5"/>
      <c r="C84" s="5"/>
      <c r="D84" s="5"/>
      <c r="E84" s="5"/>
      <c r="F84" s="5"/>
      <c r="G84" s="5"/>
      <c r="H84" s="5"/>
      <c r="I84" s="9"/>
      <c r="J84" s="24"/>
      <c r="K84" s="5"/>
      <c r="L84" s="5"/>
      <c r="M84" s="5"/>
    </row>
    <row r="85" spans="1:13" x14ac:dyDescent="0.25">
      <c r="A85" s="8"/>
      <c r="B85" s="5"/>
      <c r="C85" s="5"/>
      <c r="D85" s="5"/>
      <c r="E85" s="5"/>
      <c r="F85" s="5"/>
      <c r="G85" s="5"/>
      <c r="H85" s="5"/>
      <c r="I85" s="9"/>
      <c r="J85" s="24"/>
      <c r="K85" s="5"/>
      <c r="L85" s="5"/>
      <c r="M85" s="5"/>
    </row>
    <row r="86" spans="1:13" x14ac:dyDescent="0.25">
      <c r="A86" s="8"/>
      <c r="B86" s="5"/>
      <c r="C86" s="5"/>
      <c r="D86" s="5"/>
      <c r="E86" s="5"/>
      <c r="F86" s="5"/>
      <c r="G86" s="5"/>
      <c r="H86" s="5"/>
      <c r="I86" s="9"/>
      <c r="J86" s="24"/>
      <c r="K86" s="5"/>
      <c r="L86" s="5"/>
      <c r="M86" s="5"/>
    </row>
    <row r="87" spans="1:13" x14ac:dyDescent="0.25">
      <c r="A87" s="8"/>
      <c r="B87" s="5"/>
      <c r="C87" s="5"/>
      <c r="D87" s="5"/>
      <c r="E87" s="5"/>
      <c r="F87" s="5"/>
      <c r="G87" s="5"/>
      <c r="H87" s="5"/>
      <c r="I87" s="9"/>
      <c r="J87" s="24"/>
      <c r="K87" s="5"/>
      <c r="L87" s="5"/>
      <c r="M87" s="5"/>
    </row>
    <row r="88" spans="1:13" x14ac:dyDescent="0.25">
      <c r="A88" s="8"/>
      <c r="B88" s="5"/>
      <c r="C88" s="5"/>
      <c r="D88" s="5"/>
      <c r="E88" s="5"/>
      <c r="F88" s="5"/>
      <c r="G88" s="5"/>
      <c r="H88" s="5"/>
      <c r="I88" s="9"/>
      <c r="J88" s="24"/>
      <c r="K88" s="5"/>
      <c r="L88" s="5"/>
      <c r="M88" s="5"/>
    </row>
    <row r="89" spans="1:13" x14ac:dyDescent="0.25">
      <c r="A89" s="8"/>
      <c r="B89" s="5"/>
      <c r="C89" s="5"/>
      <c r="D89" s="5"/>
      <c r="E89" s="5"/>
      <c r="F89" s="5"/>
      <c r="G89" s="5"/>
      <c r="H89" s="5"/>
      <c r="I89" s="9"/>
      <c r="J89" s="24"/>
      <c r="K89" s="5"/>
      <c r="L89" s="5"/>
      <c r="M89" s="5"/>
    </row>
    <row r="90" spans="1:13" x14ac:dyDescent="0.25">
      <c r="A90" s="8"/>
      <c r="B90" s="5"/>
      <c r="C90" s="5"/>
      <c r="D90" s="5"/>
      <c r="E90" s="5"/>
      <c r="F90" s="5"/>
      <c r="G90" s="5"/>
      <c r="H90" s="5"/>
      <c r="I90" s="9"/>
      <c r="J90" s="24"/>
      <c r="K90" s="5"/>
      <c r="L90" s="5"/>
      <c r="M90" s="5"/>
    </row>
    <row r="91" spans="1:13" x14ac:dyDescent="0.25">
      <c r="A91" s="8"/>
      <c r="B91" s="5"/>
      <c r="C91" s="5"/>
      <c r="D91" s="5"/>
      <c r="E91" s="5"/>
      <c r="F91" s="5"/>
      <c r="G91" s="5"/>
      <c r="H91" s="5"/>
      <c r="I91" s="9"/>
      <c r="J91" s="24"/>
      <c r="K91" s="5"/>
      <c r="L91" s="5"/>
      <c r="M91" s="5"/>
    </row>
    <row r="92" spans="1:13" x14ac:dyDescent="0.25">
      <c r="A92" s="8"/>
      <c r="B92" s="5"/>
      <c r="C92" s="5"/>
      <c r="D92" s="5"/>
      <c r="E92" s="5"/>
      <c r="F92" s="5"/>
      <c r="G92" s="5"/>
      <c r="H92" s="5"/>
      <c r="I92" s="9"/>
      <c r="J92" s="24"/>
      <c r="K92" s="5"/>
      <c r="L92" s="5"/>
      <c r="M92" s="5"/>
    </row>
    <row r="93" spans="1:13" x14ac:dyDescent="0.25">
      <c r="A93" s="8"/>
      <c r="B93" s="5"/>
      <c r="C93" s="5"/>
      <c r="D93" s="5"/>
      <c r="E93" s="5"/>
      <c r="F93" s="5"/>
      <c r="G93" s="5"/>
      <c r="H93" s="5"/>
      <c r="I93" s="9"/>
      <c r="J93" s="24"/>
      <c r="K93" s="5"/>
      <c r="L93" s="5"/>
      <c r="M93" s="5"/>
    </row>
    <row r="94" spans="1:13" x14ac:dyDescent="0.25">
      <c r="A94" s="8"/>
      <c r="B94" s="5"/>
      <c r="C94" s="5"/>
      <c r="D94" s="5"/>
      <c r="E94" s="5"/>
      <c r="F94" s="5"/>
      <c r="G94" s="5"/>
      <c r="H94" s="5"/>
      <c r="I94" s="9"/>
      <c r="J94" s="24"/>
      <c r="K94" s="5"/>
      <c r="L94" s="5"/>
      <c r="M94" s="5"/>
    </row>
    <row r="95" spans="1:13" x14ac:dyDescent="0.25">
      <c r="A95" s="8"/>
      <c r="B95" s="5"/>
      <c r="C95" s="5"/>
      <c r="D95" s="5"/>
      <c r="E95" s="5"/>
      <c r="F95" s="5"/>
      <c r="G95" s="5"/>
      <c r="H95" s="5"/>
      <c r="I95" s="9"/>
      <c r="J95" s="24"/>
      <c r="K95" s="5"/>
      <c r="L95" s="5"/>
      <c r="M95" s="5"/>
    </row>
    <row r="96" spans="1:13" x14ac:dyDescent="0.25">
      <c r="A96" s="8"/>
      <c r="B96" s="5"/>
      <c r="C96" s="5"/>
      <c r="D96" s="5"/>
      <c r="E96" s="5"/>
      <c r="F96" s="5"/>
      <c r="G96" s="5"/>
      <c r="H96" s="5"/>
      <c r="I96" s="9"/>
      <c r="J96" s="24"/>
      <c r="K96" s="5"/>
      <c r="L96" s="5"/>
      <c r="M96" s="5"/>
    </row>
    <row r="97" spans="1:13" x14ac:dyDescent="0.25">
      <c r="A97" s="8"/>
      <c r="B97" s="5"/>
      <c r="C97" s="5"/>
      <c r="D97" s="5"/>
      <c r="E97" s="5"/>
      <c r="F97" s="5"/>
      <c r="G97" s="5"/>
      <c r="H97" s="5"/>
      <c r="I97" s="9"/>
      <c r="J97" s="24"/>
      <c r="K97" s="5"/>
      <c r="L97" s="5"/>
      <c r="M97" s="5"/>
    </row>
    <row r="98" spans="1:13" x14ac:dyDescent="0.25">
      <c r="A98" s="8"/>
      <c r="B98" s="5"/>
      <c r="C98" s="5"/>
      <c r="D98" s="5"/>
      <c r="E98" s="5"/>
      <c r="F98" s="5"/>
      <c r="G98" s="5"/>
      <c r="H98" s="5"/>
      <c r="I98" s="9"/>
      <c r="J98" s="24"/>
      <c r="K98" s="5"/>
      <c r="L98" s="5"/>
      <c r="M98" s="5"/>
    </row>
    <row r="99" spans="1:13" x14ac:dyDescent="0.25">
      <c r="A99" s="8"/>
      <c r="B99" s="5"/>
      <c r="C99" s="5"/>
      <c r="D99" s="5"/>
      <c r="E99" s="5"/>
      <c r="F99" s="5"/>
      <c r="G99" s="5"/>
      <c r="H99" s="5"/>
      <c r="I99" s="9"/>
      <c r="J99" s="24"/>
      <c r="K99" s="5"/>
      <c r="L99" s="5"/>
      <c r="M99" s="5"/>
    </row>
    <row r="100" spans="1:13" x14ac:dyDescent="0.25">
      <c r="A100" s="8"/>
      <c r="B100" s="5"/>
      <c r="C100" s="5"/>
      <c r="D100" s="5"/>
      <c r="E100" s="5"/>
      <c r="F100" s="5"/>
      <c r="G100" s="5"/>
      <c r="H100" s="5"/>
      <c r="I100" s="9"/>
      <c r="J100" s="24"/>
      <c r="K100" s="5"/>
      <c r="L100" s="5"/>
      <c r="M100" s="5"/>
    </row>
    <row r="101" spans="1:13" x14ac:dyDescent="0.25">
      <c r="A101" s="8"/>
      <c r="B101" s="5"/>
      <c r="C101" s="5"/>
      <c r="D101" s="5"/>
      <c r="E101" s="5"/>
      <c r="F101" s="5"/>
      <c r="G101" s="5"/>
      <c r="H101" s="5"/>
      <c r="I101" s="9"/>
      <c r="J101" s="24"/>
      <c r="K101" s="5"/>
      <c r="L101" s="5"/>
      <c r="M101" s="5"/>
    </row>
    <row r="102" spans="1:13" x14ac:dyDescent="0.25">
      <c r="A102" s="8"/>
      <c r="B102" s="5"/>
      <c r="C102" s="5"/>
      <c r="D102" s="5"/>
      <c r="E102" s="5"/>
      <c r="F102" s="5"/>
      <c r="G102" s="5"/>
      <c r="H102" s="5"/>
      <c r="I102" s="9"/>
      <c r="J102" s="24"/>
      <c r="K102" s="5"/>
      <c r="L102" s="5"/>
      <c r="M102" s="5"/>
    </row>
    <row r="103" spans="1:13" x14ac:dyDescent="0.25">
      <c r="A103" s="8"/>
      <c r="B103" s="5"/>
      <c r="C103" s="5"/>
      <c r="D103" s="5"/>
      <c r="E103" s="5"/>
      <c r="F103" s="5"/>
      <c r="G103" s="5"/>
      <c r="H103" s="5"/>
      <c r="I103" s="9"/>
      <c r="J103" s="24"/>
      <c r="K103" s="5"/>
      <c r="L103" s="5"/>
      <c r="M103" s="5"/>
    </row>
    <row r="104" spans="1:13" x14ac:dyDescent="0.25">
      <c r="A104" s="8"/>
      <c r="B104" s="5"/>
      <c r="C104" s="5"/>
      <c r="D104" s="5"/>
      <c r="E104" s="5"/>
      <c r="F104" s="5"/>
      <c r="G104" s="5"/>
      <c r="H104" s="5"/>
      <c r="I104" s="9"/>
      <c r="J104" s="24"/>
      <c r="K104" s="5"/>
      <c r="L104" s="5"/>
      <c r="M104" s="5"/>
    </row>
    <row r="105" spans="1:13" x14ac:dyDescent="0.25">
      <c r="A105" s="8"/>
      <c r="B105" s="5"/>
      <c r="C105" s="5"/>
      <c r="D105" s="5"/>
      <c r="E105" s="5"/>
      <c r="F105" s="5"/>
      <c r="G105" s="5"/>
      <c r="H105" s="5"/>
      <c r="I105" s="9"/>
      <c r="J105" s="24"/>
      <c r="K105" s="5"/>
      <c r="L105" s="5"/>
      <c r="M105" s="5"/>
    </row>
    <row r="106" spans="1:13" x14ac:dyDescent="0.25">
      <c r="A106" s="8"/>
      <c r="B106" s="5"/>
      <c r="C106" s="5"/>
      <c r="D106" s="5"/>
      <c r="E106" s="5"/>
      <c r="F106" s="5"/>
      <c r="G106" s="5"/>
      <c r="H106" s="5"/>
      <c r="I106" s="9"/>
      <c r="J106" s="24"/>
      <c r="K106" s="5"/>
      <c r="L106" s="5"/>
      <c r="M106" s="5"/>
    </row>
    <row r="107" spans="1:13" x14ac:dyDescent="0.25">
      <c r="A107" s="8"/>
      <c r="B107" s="5"/>
      <c r="C107" s="5"/>
      <c r="D107" s="5"/>
      <c r="E107" s="5"/>
      <c r="F107" s="5"/>
      <c r="G107" s="5"/>
      <c r="H107" s="5"/>
      <c r="I107" s="9"/>
      <c r="J107" s="24"/>
      <c r="K107" s="5"/>
      <c r="L107" s="5"/>
      <c r="M107" s="5"/>
    </row>
    <row r="108" spans="1:13" x14ac:dyDescent="0.25">
      <c r="A108" s="8"/>
      <c r="B108" s="5"/>
      <c r="C108" s="5"/>
      <c r="D108" s="5"/>
      <c r="E108" s="5"/>
      <c r="F108" s="5"/>
      <c r="G108" s="5"/>
      <c r="H108" s="5"/>
      <c r="I108" s="9"/>
      <c r="J108" s="24"/>
      <c r="K108" s="5"/>
      <c r="L108" s="5"/>
      <c r="M108" s="5"/>
    </row>
    <row r="109" spans="1:13" x14ac:dyDescent="0.25">
      <c r="A109" s="8"/>
      <c r="B109" s="5"/>
      <c r="C109" s="5"/>
      <c r="D109" s="5"/>
      <c r="E109" s="5"/>
      <c r="F109" s="5"/>
      <c r="G109" s="5"/>
      <c r="H109" s="5"/>
      <c r="I109" s="9"/>
      <c r="J109" s="24"/>
      <c r="K109" s="5"/>
      <c r="L109" s="5"/>
      <c r="M109" s="5"/>
    </row>
    <row r="110" spans="1:13" x14ac:dyDescent="0.25">
      <c r="A110" s="8"/>
      <c r="B110" s="5"/>
      <c r="C110" s="5"/>
      <c r="D110" s="5"/>
      <c r="E110" s="5"/>
      <c r="F110" s="5"/>
      <c r="G110" s="5"/>
      <c r="H110" s="5"/>
      <c r="I110" s="9"/>
      <c r="J110" s="24"/>
      <c r="K110" s="5"/>
      <c r="L110" s="5"/>
      <c r="M110" s="5"/>
    </row>
    <row r="111" spans="1:13" x14ac:dyDescent="0.25">
      <c r="A111" s="8"/>
      <c r="B111" s="5"/>
      <c r="C111" s="5"/>
      <c r="D111" s="5"/>
      <c r="E111" s="5"/>
      <c r="F111" s="5"/>
      <c r="G111" s="5"/>
      <c r="H111" s="5"/>
      <c r="I111" s="9"/>
      <c r="J111" s="24"/>
      <c r="K111" s="5"/>
      <c r="L111" s="5"/>
      <c r="M111" s="5"/>
    </row>
    <row r="112" spans="1:13" x14ac:dyDescent="0.25">
      <c r="A112" s="8"/>
      <c r="B112" s="5"/>
      <c r="C112" s="5"/>
      <c r="D112" s="5"/>
      <c r="E112" s="5"/>
      <c r="F112" s="5"/>
      <c r="G112" s="5"/>
      <c r="H112" s="5"/>
      <c r="I112" s="9"/>
      <c r="J112" s="24"/>
      <c r="K112" s="5"/>
      <c r="L112" s="5"/>
      <c r="M112" s="5"/>
    </row>
    <row r="113" spans="1:13" x14ac:dyDescent="0.25">
      <c r="A113" s="8"/>
      <c r="B113" s="5"/>
      <c r="C113" s="5"/>
      <c r="D113" s="5"/>
      <c r="E113" s="5"/>
      <c r="F113" s="5"/>
      <c r="G113" s="5"/>
      <c r="H113" s="5"/>
      <c r="I113" s="9"/>
      <c r="J113" s="24"/>
      <c r="K113" s="5"/>
      <c r="L113" s="5"/>
      <c r="M113" s="5"/>
    </row>
    <row r="114" spans="1:13" x14ac:dyDescent="0.25">
      <c r="A114" s="8"/>
      <c r="B114" s="5"/>
      <c r="C114" s="5"/>
      <c r="D114" s="5"/>
      <c r="E114" s="5"/>
      <c r="F114" s="5"/>
      <c r="G114" s="5"/>
      <c r="H114" s="5"/>
      <c r="I114" s="9"/>
      <c r="J114" s="24"/>
      <c r="K114" s="5"/>
      <c r="L114" s="5"/>
      <c r="M114" s="5"/>
    </row>
    <row r="115" spans="1:13" x14ac:dyDescent="0.25">
      <c r="A115" s="8"/>
      <c r="B115" s="5"/>
      <c r="C115" s="5"/>
      <c r="D115" s="5"/>
      <c r="E115" s="5"/>
      <c r="F115" s="5"/>
      <c r="G115" s="5"/>
      <c r="H115" s="5"/>
      <c r="I115" s="9"/>
      <c r="J115" s="24"/>
      <c r="K115" s="5"/>
      <c r="L115" s="5"/>
      <c r="M115" s="5"/>
    </row>
    <row r="116" spans="1:13" x14ac:dyDescent="0.25">
      <c r="A116" s="8"/>
      <c r="B116" s="5"/>
      <c r="C116" s="5"/>
      <c r="D116" s="5"/>
      <c r="E116" s="5"/>
      <c r="F116" s="5"/>
      <c r="G116" s="5"/>
      <c r="H116" s="5"/>
      <c r="I116" s="9"/>
      <c r="J116" s="24"/>
      <c r="K116" s="5"/>
      <c r="L116" s="5"/>
      <c r="M116" s="5"/>
    </row>
    <row r="117" spans="1:13" x14ac:dyDescent="0.25">
      <c r="A117" s="8"/>
      <c r="B117" s="5"/>
      <c r="C117" s="5"/>
      <c r="D117" s="5"/>
      <c r="E117" s="5"/>
      <c r="F117" s="5"/>
      <c r="G117" s="5"/>
      <c r="H117" s="5"/>
      <c r="I117" s="9"/>
      <c r="J117" s="24"/>
      <c r="K117" s="5"/>
      <c r="L117" s="5"/>
      <c r="M117" s="5"/>
    </row>
    <row r="118" spans="1:13" x14ac:dyDescent="0.25">
      <c r="A118" s="8"/>
      <c r="B118" s="5"/>
      <c r="C118" s="5"/>
      <c r="D118" s="5"/>
      <c r="E118" s="5"/>
      <c r="F118" s="5"/>
      <c r="G118" s="5"/>
      <c r="H118" s="5"/>
      <c r="I118" s="9"/>
      <c r="J118" s="24"/>
      <c r="K118" s="5"/>
      <c r="L118" s="5"/>
      <c r="M118" s="5"/>
    </row>
    <row r="119" spans="1:13" x14ac:dyDescent="0.25">
      <c r="A119" s="8"/>
      <c r="B119" s="5"/>
      <c r="C119" s="5"/>
      <c r="D119" s="5"/>
      <c r="E119" s="5"/>
      <c r="F119" s="5"/>
      <c r="G119" s="5"/>
      <c r="H119" s="5"/>
      <c r="I119" s="9"/>
      <c r="J119" s="24"/>
      <c r="K119" s="5"/>
      <c r="L119" s="5"/>
      <c r="M119" s="5"/>
    </row>
    <row r="120" spans="1:13" x14ac:dyDescent="0.25">
      <c r="A120" s="8"/>
      <c r="B120" s="5"/>
      <c r="C120" s="5"/>
      <c r="D120" s="5"/>
      <c r="E120" s="5"/>
      <c r="F120" s="5"/>
      <c r="G120" s="5"/>
      <c r="H120" s="5"/>
      <c r="I120" s="9"/>
      <c r="J120" s="24"/>
      <c r="K120" s="5"/>
      <c r="L120" s="5"/>
      <c r="M120" s="5"/>
    </row>
    <row r="121" spans="1:13" x14ac:dyDescent="0.25">
      <c r="A121" s="8"/>
      <c r="B121" s="5"/>
      <c r="C121" s="5"/>
      <c r="D121" s="5"/>
      <c r="E121" s="5"/>
      <c r="F121" s="5"/>
      <c r="G121" s="5"/>
      <c r="H121" s="5"/>
      <c r="I121" s="9"/>
      <c r="J121" s="24"/>
      <c r="K121" s="5"/>
      <c r="L121" s="5"/>
      <c r="M121" s="5"/>
    </row>
    <row r="122" spans="1:13" x14ac:dyDescent="0.25">
      <c r="A122" s="8"/>
      <c r="B122" s="5"/>
      <c r="C122" s="5"/>
      <c r="D122" s="5"/>
      <c r="E122" s="5"/>
      <c r="F122" s="5"/>
      <c r="G122" s="5"/>
      <c r="H122" s="5"/>
      <c r="I122" s="9"/>
      <c r="J122" s="24"/>
      <c r="K122" s="5"/>
      <c r="L122" s="5"/>
      <c r="M122" s="5"/>
    </row>
    <row r="123" spans="1:13" x14ac:dyDescent="0.25">
      <c r="A123" s="8"/>
      <c r="B123" s="5"/>
      <c r="C123" s="5"/>
      <c r="D123" s="5"/>
      <c r="E123" s="5"/>
      <c r="F123" s="5"/>
      <c r="G123" s="5"/>
      <c r="H123" s="5"/>
      <c r="I123" s="9"/>
      <c r="J123" s="24"/>
      <c r="K123" s="5"/>
      <c r="L123" s="5"/>
      <c r="M123" s="5"/>
    </row>
    <row r="124" spans="1:13" x14ac:dyDescent="0.25">
      <c r="A124" s="8"/>
      <c r="B124" s="5"/>
      <c r="C124" s="5"/>
      <c r="D124" s="5"/>
      <c r="E124" s="5"/>
      <c r="F124" s="5"/>
      <c r="G124" s="5"/>
      <c r="H124" s="5"/>
      <c r="I124" s="9"/>
      <c r="J124" s="24"/>
      <c r="K124" s="5"/>
      <c r="L124" s="5"/>
      <c r="M124" s="5"/>
    </row>
    <row r="125" spans="1:13" x14ac:dyDescent="0.25">
      <c r="A125" s="8"/>
      <c r="B125" s="5"/>
      <c r="C125" s="5"/>
      <c r="D125" s="5"/>
      <c r="E125" s="5"/>
      <c r="F125" s="5"/>
      <c r="G125" s="5"/>
      <c r="H125" s="5"/>
      <c r="I125" s="9"/>
      <c r="J125" s="24"/>
      <c r="K125" s="5"/>
      <c r="L125" s="5"/>
      <c r="M125" s="5"/>
    </row>
    <row r="126" spans="1:13" x14ac:dyDescent="0.25">
      <c r="A126" s="8"/>
      <c r="B126" s="5"/>
      <c r="C126" s="5"/>
      <c r="D126" s="5"/>
      <c r="E126" s="5"/>
      <c r="F126" s="5"/>
      <c r="G126" s="5"/>
      <c r="H126" s="5"/>
      <c r="I126" s="9"/>
      <c r="J126" s="24"/>
      <c r="K126" s="5"/>
      <c r="L126" s="5"/>
      <c r="M126" s="5"/>
    </row>
    <row r="127" spans="1:13" x14ac:dyDescent="0.25">
      <c r="A127" s="8"/>
      <c r="B127" s="5"/>
      <c r="C127" s="5"/>
      <c r="D127" s="5"/>
      <c r="E127" s="5"/>
      <c r="F127" s="5"/>
      <c r="G127" s="5"/>
      <c r="H127" s="5"/>
      <c r="I127" s="9"/>
      <c r="J127" s="24"/>
      <c r="K127" s="5"/>
      <c r="L127" s="5"/>
      <c r="M127" s="5"/>
    </row>
    <row r="128" spans="1:13" x14ac:dyDescent="0.25">
      <c r="A128" s="8"/>
      <c r="B128" s="5"/>
      <c r="C128" s="5"/>
      <c r="D128" s="5"/>
      <c r="E128" s="5"/>
      <c r="F128" s="5"/>
      <c r="G128" s="5"/>
      <c r="H128" s="5"/>
      <c r="I128" s="9"/>
      <c r="J128" s="24"/>
      <c r="K128" s="5"/>
      <c r="L128" s="5"/>
      <c r="M128" s="5"/>
    </row>
    <row r="129" spans="1:13" x14ac:dyDescent="0.25">
      <c r="A129" s="8"/>
      <c r="B129" s="5"/>
      <c r="C129" s="5"/>
      <c r="D129" s="5"/>
      <c r="E129" s="5"/>
      <c r="F129" s="5"/>
      <c r="G129" s="5"/>
      <c r="H129" s="5"/>
      <c r="I129" s="9"/>
      <c r="J129" s="24"/>
      <c r="K129" s="5"/>
      <c r="L129" s="5"/>
      <c r="M129" s="5"/>
    </row>
    <row r="130" spans="1:13" x14ac:dyDescent="0.25">
      <c r="A130" s="8"/>
      <c r="B130" s="5"/>
      <c r="C130" s="5"/>
      <c r="D130" s="5"/>
      <c r="E130" s="5"/>
      <c r="F130" s="5"/>
      <c r="G130" s="5"/>
      <c r="H130" s="5"/>
      <c r="I130" s="9"/>
      <c r="J130" s="24"/>
      <c r="K130" s="5"/>
      <c r="L130" s="5"/>
      <c r="M130" s="5"/>
    </row>
    <row r="131" spans="1:13" x14ac:dyDescent="0.25">
      <c r="A131" s="8"/>
      <c r="B131" s="5"/>
      <c r="C131" s="5"/>
      <c r="D131" s="5"/>
      <c r="E131" s="5"/>
      <c r="F131" s="5"/>
      <c r="G131" s="5"/>
      <c r="H131" s="5"/>
      <c r="I131" s="9"/>
      <c r="J131" s="24"/>
      <c r="K131" s="5"/>
      <c r="L131" s="5"/>
      <c r="M131" s="5"/>
    </row>
    <row r="132" spans="1:13" x14ac:dyDescent="0.25">
      <c r="A132" s="8"/>
      <c r="B132" s="5"/>
      <c r="C132" s="5"/>
      <c r="D132" s="5"/>
      <c r="E132" s="5"/>
      <c r="F132" s="5"/>
      <c r="G132" s="5"/>
      <c r="H132" s="5"/>
      <c r="I132" s="9"/>
      <c r="J132" s="24"/>
      <c r="K132" s="5"/>
      <c r="L132" s="5"/>
      <c r="M132" s="5"/>
    </row>
    <row r="133" spans="1:13" x14ac:dyDescent="0.25">
      <c r="A133" s="8"/>
      <c r="B133" s="5"/>
      <c r="C133" s="5"/>
      <c r="D133" s="5"/>
      <c r="E133" s="5"/>
      <c r="F133" s="5"/>
      <c r="G133" s="5"/>
      <c r="H133" s="5"/>
      <c r="I133" s="9"/>
      <c r="J133" s="24"/>
      <c r="K133" s="5"/>
      <c r="L133" s="5"/>
      <c r="M133" s="5"/>
    </row>
    <row r="134" spans="1:13" x14ac:dyDescent="0.25">
      <c r="A134" s="8"/>
      <c r="B134" s="5"/>
      <c r="C134" s="5"/>
      <c r="D134" s="5"/>
      <c r="E134" s="5"/>
      <c r="F134" s="5"/>
      <c r="G134" s="5"/>
      <c r="H134" s="5"/>
      <c r="I134" s="9"/>
      <c r="J134" s="24"/>
      <c r="K134" s="5"/>
      <c r="L134" s="5"/>
      <c r="M134" s="5"/>
    </row>
    <row r="135" spans="1:13" x14ac:dyDescent="0.25">
      <c r="A135" s="8"/>
      <c r="B135" s="5"/>
      <c r="C135" s="5"/>
      <c r="D135" s="5"/>
      <c r="E135" s="5"/>
      <c r="F135" s="5"/>
      <c r="G135" s="5"/>
      <c r="H135" s="5"/>
      <c r="I135" s="9"/>
      <c r="J135" s="24"/>
      <c r="K135" s="5"/>
      <c r="L135" s="5"/>
      <c r="M135" s="5"/>
    </row>
    <row r="136" spans="1:13" x14ac:dyDescent="0.25">
      <c r="A136" s="8"/>
      <c r="B136" s="5"/>
      <c r="C136" s="5"/>
      <c r="D136" s="5"/>
      <c r="E136" s="5"/>
      <c r="F136" s="5"/>
      <c r="G136" s="5"/>
      <c r="H136" s="5"/>
      <c r="I136" s="9"/>
      <c r="J136" s="24"/>
      <c r="K136" s="5"/>
      <c r="L136" s="5"/>
      <c r="M136" s="5"/>
    </row>
    <row r="137" spans="1:13" x14ac:dyDescent="0.25">
      <c r="A137" s="8"/>
      <c r="B137" s="5"/>
      <c r="C137" s="5"/>
      <c r="D137" s="5"/>
      <c r="E137" s="5"/>
      <c r="F137" s="5"/>
      <c r="G137" s="5"/>
      <c r="H137" s="5"/>
      <c r="I137" s="9"/>
      <c r="J137" s="24"/>
      <c r="K137" s="5"/>
      <c r="L137" s="5"/>
      <c r="M137" s="5"/>
    </row>
    <row r="138" spans="1:13" x14ac:dyDescent="0.25">
      <c r="A138" s="8"/>
      <c r="B138" s="5"/>
      <c r="C138" s="5"/>
      <c r="D138" s="5"/>
      <c r="E138" s="5"/>
      <c r="F138" s="5"/>
      <c r="G138" s="5"/>
      <c r="H138" s="5"/>
      <c r="I138" s="9"/>
      <c r="J138" s="24"/>
      <c r="K138" s="5"/>
      <c r="L138" s="5"/>
      <c r="M138" s="5"/>
    </row>
    <row r="139" spans="1:13" x14ac:dyDescent="0.25">
      <c r="A139" s="8"/>
      <c r="B139" s="5"/>
      <c r="C139" s="5"/>
      <c r="D139" s="5"/>
      <c r="E139" s="5"/>
      <c r="F139" s="5"/>
      <c r="G139" s="5"/>
      <c r="H139" s="5"/>
      <c r="I139" s="9"/>
      <c r="J139" s="24"/>
      <c r="K139" s="5"/>
      <c r="L139" s="5"/>
      <c r="M139" s="5"/>
    </row>
    <row r="140" spans="1:13" x14ac:dyDescent="0.25">
      <c r="A140" s="8"/>
      <c r="B140" s="5"/>
      <c r="C140" s="5"/>
      <c r="D140" s="5"/>
      <c r="E140" s="5"/>
      <c r="F140" s="5"/>
      <c r="G140" s="5"/>
      <c r="H140" s="5"/>
      <c r="I140" s="9"/>
      <c r="J140" s="24"/>
      <c r="K140" s="5"/>
      <c r="L140" s="5"/>
      <c r="M140" s="5"/>
    </row>
    <row r="141" spans="1:13" x14ac:dyDescent="0.25">
      <c r="A141" s="8"/>
      <c r="B141" s="5"/>
      <c r="C141" s="5"/>
      <c r="D141" s="5"/>
      <c r="E141" s="5"/>
      <c r="F141" s="5"/>
      <c r="G141" s="5"/>
      <c r="H141" s="5"/>
      <c r="I141" s="9"/>
      <c r="J141" s="24"/>
      <c r="K141" s="5"/>
      <c r="L141" s="5"/>
      <c r="M141" s="5"/>
    </row>
    <row r="142" spans="1:13" x14ac:dyDescent="0.25">
      <c r="A142" s="8"/>
      <c r="B142" s="5"/>
      <c r="C142" s="5"/>
      <c r="D142" s="5"/>
      <c r="E142" s="5"/>
      <c r="F142" s="5"/>
      <c r="G142" s="5"/>
      <c r="H142" s="5"/>
      <c r="I142" s="9"/>
      <c r="J142" s="24"/>
      <c r="K142" s="5"/>
      <c r="L142" s="5"/>
      <c r="M142" s="5"/>
    </row>
    <row r="143" spans="1:13" x14ac:dyDescent="0.25">
      <c r="A143" s="8"/>
      <c r="B143" s="5"/>
      <c r="C143" s="5"/>
      <c r="D143" s="5"/>
      <c r="E143" s="5"/>
      <c r="F143" s="5"/>
      <c r="G143" s="5"/>
      <c r="H143" s="5"/>
      <c r="I143" s="9"/>
      <c r="J143" s="24"/>
      <c r="K143" s="5"/>
      <c r="L143" s="5"/>
      <c r="M143" s="5"/>
    </row>
    <row r="144" spans="1:13" x14ac:dyDescent="0.25">
      <c r="A144" s="8"/>
      <c r="B144" s="5"/>
      <c r="C144" s="5"/>
      <c r="D144" s="5"/>
      <c r="E144" s="5"/>
      <c r="F144" s="5"/>
      <c r="G144" s="5"/>
      <c r="H144" s="5"/>
      <c r="I144" s="9"/>
      <c r="J144" s="24"/>
      <c r="K144" s="5"/>
      <c r="L144" s="5"/>
      <c r="M144" s="5"/>
    </row>
    <row r="145" spans="1:13" x14ac:dyDescent="0.25">
      <c r="A145" s="8"/>
      <c r="B145" s="5"/>
      <c r="C145" s="5"/>
      <c r="D145" s="5"/>
      <c r="E145" s="5"/>
      <c r="F145" s="5"/>
      <c r="G145" s="5"/>
      <c r="H145" s="5"/>
      <c r="I145" s="9"/>
      <c r="J145" s="24"/>
      <c r="K145" s="5"/>
      <c r="L145" s="5"/>
      <c r="M145" s="5"/>
    </row>
    <row r="146" spans="1:13" x14ac:dyDescent="0.25">
      <c r="A146" s="8"/>
      <c r="B146" s="5"/>
      <c r="C146" s="5"/>
      <c r="D146" s="5"/>
      <c r="E146" s="5"/>
      <c r="F146" s="5"/>
      <c r="G146" s="5"/>
      <c r="H146" s="5"/>
      <c r="I146" s="9"/>
      <c r="J146" s="24"/>
      <c r="K146" s="5"/>
      <c r="L146" s="5"/>
      <c r="M146" s="5"/>
    </row>
    <row r="147" spans="1:13" x14ac:dyDescent="0.25">
      <c r="A147" s="8"/>
      <c r="B147" s="5"/>
      <c r="C147" s="5"/>
      <c r="D147" s="5"/>
      <c r="E147" s="5"/>
      <c r="F147" s="5"/>
      <c r="G147" s="5"/>
      <c r="H147" s="5"/>
      <c r="I147" s="9"/>
      <c r="J147" s="24"/>
      <c r="K147" s="5"/>
      <c r="L147" s="5"/>
      <c r="M147" s="5"/>
    </row>
    <row r="148" spans="1:13" x14ac:dyDescent="0.25">
      <c r="A148" s="8"/>
      <c r="B148" s="5"/>
      <c r="C148" s="5"/>
      <c r="D148" s="5"/>
      <c r="E148" s="5"/>
      <c r="F148" s="5"/>
      <c r="G148" s="5"/>
      <c r="H148" s="5"/>
      <c r="I148" s="9"/>
      <c r="J148" s="24"/>
      <c r="K148" s="5"/>
      <c r="L148" s="5"/>
      <c r="M148" s="5"/>
    </row>
    <row r="149" spans="1:13" x14ac:dyDescent="0.25">
      <c r="A149" s="8"/>
      <c r="B149" s="5"/>
      <c r="C149" s="5"/>
      <c r="D149" s="5"/>
      <c r="E149" s="5"/>
      <c r="F149" s="5"/>
      <c r="G149" s="5"/>
      <c r="H149" s="5"/>
      <c r="I149" s="9"/>
      <c r="J149" s="24"/>
      <c r="K149" s="5"/>
      <c r="L149" s="5"/>
      <c r="M149" s="5"/>
    </row>
    <row r="150" spans="1:13" x14ac:dyDescent="0.25">
      <c r="A150" s="8"/>
      <c r="B150" s="5"/>
      <c r="C150" s="5"/>
      <c r="D150" s="5"/>
      <c r="E150" s="5"/>
      <c r="F150" s="5"/>
      <c r="G150" s="5"/>
      <c r="H150" s="5"/>
      <c r="I150" s="9"/>
      <c r="J150" s="24"/>
      <c r="K150" s="5"/>
      <c r="L150" s="5"/>
      <c r="M150" s="5"/>
    </row>
    <row r="151" spans="1:13" x14ac:dyDescent="0.25">
      <c r="A151" s="8"/>
      <c r="B151" s="5"/>
      <c r="C151" s="5"/>
      <c r="D151" s="5"/>
      <c r="E151" s="5"/>
      <c r="F151" s="5"/>
      <c r="G151" s="5"/>
      <c r="H151" s="5"/>
      <c r="I151" s="9"/>
      <c r="J151" s="24"/>
      <c r="K151" s="5"/>
      <c r="L151" s="5"/>
      <c r="M151" s="5"/>
    </row>
    <row r="152" spans="1:13" x14ac:dyDescent="0.25">
      <c r="A152" s="8"/>
      <c r="B152" s="5"/>
      <c r="C152" s="5"/>
      <c r="D152" s="5"/>
      <c r="E152" s="5"/>
      <c r="F152" s="5"/>
      <c r="G152" s="5"/>
      <c r="H152" s="5"/>
      <c r="I152" s="9"/>
      <c r="J152" s="24"/>
      <c r="K152" s="5"/>
      <c r="L152" s="5"/>
      <c r="M152" s="5"/>
    </row>
    <row r="153" spans="1:13" x14ac:dyDescent="0.25">
      <c r="A153" s="8"/>
      <c r="B153" s="5"/>
      <c r="C153" s="5"/>
      <c r="D153" s="5"/>
      <c r="E153" s="5"/>
      <c r="F153" s="5"/>
      <c r="G153" s="5"/>
      <c r="H153" s="5"/>
      <c r="I153" s="9"/>
      <c r="J153" s="24"/>
      <c r="K153" s="5"/>
      <c r="L153" s="5"/>
      <c r="M153" s="5"/>
    </row>
    <row r="154" spans="1:13" x14ac:dyDescent="0.25">
      <c r="A154" s="8"/>
      <c r="B154" s="5"/>
      <c r="C154" s="5"/>
      <c r="D154" s="5"/>
      <c r="E154" s="5"/>
      <c r="F154" s="5"/>
      <c r="G154" s="5"/>
      <c r="H154" s="5"/>
      <c r="I154" s="9"/>
      <c r="J154" s="24"/>
      <c r="K154" s="5"/>
      <c r="L154" s="5"/>
      <c r="M154" s="5"/>
    </row>
    <row r="155" spans="1:13" x14ac:dyDescent="0.25">
      <c r="A155" s="8"/>
      <c r="B155" s="5"/>
      <c r="C155" s="5"/>
      <c r="D155" s="5"/>
      <c r="E155" s="5"/>
      <c r="F155" s="5"/>
      <c r="G155" s="5"/>
      <c r="H155" s="5"/>
      <c r="I155" s="9"/>
      <c r="J155" s="24"/>
      <c r="K155" s="5"/>
      <c r="L155" s="5"/>
      <c r="M155" s="5"/>
    </row>
    <row r="156" spans="1:13" x14ac:dyDescent="0.25">
      <c r="A156" s="8"/>
      <c r="B156" s="5"/>
      <c r="C156" s="5"/>
      <c r="D156" s="5"/>
      <c r="E156" s="5"/>
      <c r="F156" s="5"/>
      <c r="G156" s="5"/>
      <c r="H156" s="5"/>
      <c r="I156" s="9"/>
      <c r="J156" s="24"/>
      <c r="K156" s="5"/>
      <c r="L156" s="5"/>
      <c r="M156" s="5"/>
    </row>
    <row r="157" spans="1:13" x14ac:dyDescent="0.25">
      <c r="A157" s="8"/>
      <c r="B157" s="5"/>
      <c r="C157" s="5"/>
      <c r="D157" s="5"/>
      <c r="E157" s="5"/>
      <c r="F157" s="5"/>
      <c r="G157" s="5"/>
      <c r="H157" s="5"/>
      <c r="I157" s="9"/>
      <c r="J157" s="24"/>
      <c r="K157" s="5"/>
      <c r="L157" s="5"/>
      <c r="M157" s="5"/>
    </row>
    <row r="158" spans="1:13" x14ac:dyDescent="0.25">
      <c r="A158" s="8"/>
      <c r="B158" s="5"/>
      <c r="C158" s="5"/>
      <c r="D158" s="5"/>
      <c r="E158" s="5"/>
      <c r="F158" s="5"/>
      <c r="G158" s="5"/>
      <c r="H158" s="5"/>
      <c r="I158" s="9"/>
      <c r="J158" s="24"/>
      <c r="K158" s="5"/>
      <c r="L158" s="5"/>
      <c r="M158" s="5"/>
    </row>
    <row r="159" spans="1:13" x14ac:dyDescent="0.25">
      <c r="A159" s="8"/>
      <c r="B159" s="5"/>
      <c r="C159" s="5"/>
      <c r="D159" s="5"/>
      <c r="E159" s="5"/>
      <c r="F159" s="5"/>
      <c r="G159" s="5"/>
      <c r="H159" s="5"/>
      <c r="I159" s="9"/>
      <c r="J159" s="24"/>
      <c r="K159" s="5"/>
      <c r="L159" s="5"/>
      <c r="M159" s="5"/>
    </row>
    <row r="160" spans="1:13" x14ac:dyDescent="0.25">
      <c r="A160" s="8"/>
      <c r="B160" s="5"/>
      <c r="C160" s="5"/>
      <c r="D160" s="5"/>
      <c r="E160" s="5"/>
      <c r="F160" s="5"/>
      <c r="G160" s="5"/>
      <c r="H160" s="5"/>
      <c r="I160" s="9"/>
      <c r="J160" s="24"/>
      <c r="K160" s="5"/>
      <c r="L160" s="5"/>
      <c r="M160" s="5"/>
    </row>
    <row r="161" spans="1:13" x14ac:dyDescent="0.25">
      <c r="A161" s="8"/>
      <c r="B161" s="5"/>
      <c r="C161" s="5"/>
      <c r="D161" s="5"/>
      <c r="E161" s="5"/>
      <c r="F161" s="5"/>
      <c r="G161" s="5"/>
      <c r="H161" s="5"/>
      <c r="I161" s="9"/>
      <c r="J161" s="24"/>
      <c r="K161" s="5"/>
      <c r="L161" s="5"/>
      <c r="M161" s="5"/>
    </row>
    <row r="162" spans="1:13" x14ac:dyDescent="0.25">
      <c r="A162" s="8"/>
      <c r="B162" s="5"/>
      <c r="C162" s="5"/>
      <c r="D162" s="5"/>
      <c r="E162" s="5"/>
      <c r="F162" s="5"/>
      <c r="G162" s="5"/>
      <c r="H162" s="5"/>
      <c r="I162" s="9"/>
      <c r="J162" s="24"/>
      <c r="K162" s="5"/>
      <c r="L162" s="5"/>
      <c r="M162" s="5"/>
    </row>
    <row r="163" spans="1:13" x14ac:dyDescent="0.25">
      <c r="A163" s="8"/>
      <c r="B163" s="5"/>
      <c r="C163" s="5"/>
      <c r="D163" s="5"/>
      <c r="E163" s="5"/>
      <c r="F163" s="5"/>
      <c r="G163" s="5"/>
      <c r="H163" s="5"/>
      <c r="I163" s="9"/>
      <c r="J163" s="24"/>
      <c r="K163" s="5"/>
      <c r="L163" s="5"/>
      <c r="M163" s="5"/>
    </row>
    <row r="164" spans="1:13" x14ac:dyDescent="0.25">
      <c r="A164" s="8"/>
      <c r="B164" s="5"/>
      <c r="C164" s="5"/>
      <c r="D164" s="5"/>
      <c r="E164" s="5"/>
      <c r="F164" s="5"/>
      <c r="G164" s="5"/>
      <c r="H164" s="5"/>
      <c r="I164" s="9"/>
      <c r="J164" s="24"/>
      <c r="K164" s="5"/>
      <c r="L164" s="5"/>
      <c r="M164" s="5"/>
    </row>
    <row r="165" spans="1:13" x14ac:dyDescent="0.25">
      <c r="A165" s="8"/>
      <c r="B165" s="5"/>
      <c r="C165" s="5"/>
      <c r="D165" s="5"/>
      <c r="E165" s="5"/>
      <c r="F165" s="5"/>
      <c r="G165" s="5"/>
      <c r="H165" s="5"/>
      <c r="I165" s="9"/>
      <c r="J165" s="24"/>
      <c r="K165" s="5"/>
      <c r="L165" s="5"/>
      <c r="M165" s="5"/>
    </row>
    <row r="166" spans="1:13" x14ac:dyDescent="0.25">
      <c r="A166" s="8"/>
      <c r="B166" s="5"/>
      <c r="C166" s="5"/>
      <c r="D166" s="5"/>
      <c r="E166" s="5"/>
      <c r="F166" s="5"/>
      <c r="G166" s="5"/>
      <c r="H166" s="5"/>
      <c r="I166" s="9"/>
      <c r="J166" s="24"/>
      <c r="K166" s="5"/>
      <c r="L166" s="5"/>
      <c r="M166" s="5"/>
    </row>
    <row r="167" spans="1:13" x14ac:dyDescent="0.25">
      <c r="A167" s="8"/>
      <c r="B167" s="5"/>
      <c r="C167" s="5"/>
      <c r="D167" s="5"/>
      <c r="E167" s="5"/>
      <c r="F167" s="5"/>
      <c r="G167" s="5"/>
      <c r="H167" s="5"/>
      <c r="I167" s="9"/>
      <c r="J167" s="24"/>
      <c r="K167" s="5"/>
      <c r="L167" s="5"/>
      <c r="M167" s="5"/>
    </row>
    <row r="168" spans="1:13" x14ac:dyDescent="0.25">
      <c r="A168" s="8"/>
      <c r="B168" s="5"/>
      <c r="C168" s="5"/>
      <c r="D168" s="5"/>
      <c r="E168" s="5"/>
      <c r="F168" s="5"/>
      <c r="G168" s="5"/>
      <c r="H168" s="5"/>
      <c r="I168" s="9"/>
      <c r="J168" s="24"/>
      <c r="K168" s="5"/>
      <c r="L168" s="5"/>
      <c r="M168" s="5"/>
    </row>
    <row r="169" spans="1:13" x14ac:dyDescent="0.25">
      <c r="A169" s="8"/>
      <c r="B169" s="5"/>
      <c r="C169" s="5"/>
      <c r="D169" s="5"/>
      <c r="E169" s="5"/>
      <c r="F169" s="5"/>
      <c r="G169" s="5"/>
      <c r="H169" s="5"/>
      <c r="I169" s="9"/>
      <c r="J169" s="24"/>
      <c r="K169" s="5"/>
      <c r="L169" s="5"/>
      <c r="M169" s="5"/>
    </row>
    <row r="170" spans="1:13" x14ac:dyDescent="0.25">
      <c r="A170" s="8"/>
      <c r="B170" s="5"/>
      <c r="C170" s="5"/>
      <c r="D170" s="5"/>
      <c r="E170" s="5"/>
      <c r="F170" s="5"/>
      <c r="G170" s="5"/>
      <c r="H170" s="5"/>
      <c r="I170" s="9"/>
      <c r="J170" s="24"/>
      <c r="K170" s="5"/>
      <c r="L170" s="5"/>
      <c r="M170" s="5"/>
    </row>
    <row r="171" spans="1:13" x14ac:dyDescent="0.25">
      <c r="A171" s="8"/>
      <c r="B171" s="5"/>
      <c r="C171" s="5"/>
      <c r="D171" s="5"/>
      <c r="E171" s="5"/>
      <c r="F171" s="5"/>
      <c r="G171" s="5"/>
      <c r="H171" s="5"/>
      <c r="I171" s="9"/>
      <c r="J171" s="24"/>
      <c r="K171" s="5"/>
      <c r="L171" s="5"/>
      <c r="M171" s="5"/>
    </row>
    <row r="172" spans="1:13" x14ac:dyDescent="0.25">
      <c r="A172" s="8"/>
      <c r="B172" s="5"/>
      <c r="C172" s="5"/>
      <c r="D172" s="5"/>
      <c r="E172" s="5"/>
      <c r="F172" s="5"/>
      <c r="G172" s="5"/>
      <c r="H172" s="5"/>
      <c r="I172" s="9"/>
      <c r="J172" s="24"/>
      <c r="K172" s="5"/>
      <c r="L172" s="5"/>
      <c r="M172" s="5"/>
    </row>
    <row r="173" spans="1:13" x14ac:dyDescent="0.25">
      <c r="A173" s="8"/>
      <c r="B173" s="5"/>
      <c r="C173" s="5"/>
      <c r="D173" s="5"/>
      <c r="E173" s="5"/>
      <c r="F173" s="5"/>
      <c r="G173" s="5"/>
      <c r="H173" s="5"/>
      <c r="I173" s="9"/>
      <c r="J173" s="24"/>
      <c r="K173" s="5"/>
      <c r="L173" s="5"/>
      <c r="M173" s="5"/>
    </row>
    <row r="174" spans="1:13" x14ac:dyDescent="0.25">
      <c r="A174" s="8"/>
      <c r="B174" s="5"/>
      <c r="C174" s="5"/>
      <c r="D174" s="5"/>
      <c r="E174" s="5"/>
      <c r="F174" s="5"/>
      <c r="G174" s="5"/>
      <c r="H174" s="5"/>
      <c r="I174" s="9"/>
      <c r="J174" s="24"/>
      <c r="K174" s="5"/>
      <c r="L174" s="5"/>
      <c r="M174" s="5"/>
    </row>
    <row r="175" spans="1:13" x14ac:dyDescent="0.25">
      <c r="A175" s="8"/>
      <c r="B175" s="5"/>
      <c r="C175" s="5"/>
      <c r="D175" s="5"/>
      <c r="E175" s="5"/>
      <c r="F175" s="5"/>
      <c r="G175" s="5"/>
      <c r="H175" s="5"/>
      <c r="I175" s="9"/>
      <c r="J175" s="24"/>
      <c r="K175" s="5"/>
      <c r="L175" s="5"/>
      <c r="M175" s="5"/>
    </row>
    <row r="176" spans="1:13" x14ac:dyDescent="0.25">
      <c r="A176" s="8"/>
      <c r="B176" s="5"/>
      <c r="C176" s="5"/>
      <c r="D176" s="5"/>
      <c r="E176" s="5"/>
      <c r="F176" s="5"/>
      <c r="G176" s="5"/>
      <c r="H176" s="5"/>
      <c r="I176" s="9"/>
      <c r="J176" s="24"/>
      <c r="K176" s="5"/>
      <c r="L176" s="5"/>
      <c r="M176" s="5"/>
    </row>
    <row r="177" spans="1:13" x14ac:dyDescent="0.25">
      <c r="A177" s="8"/>
      <c r="B177" s="5"/>
      <c r="C177" s="5"/>
      <c r="D177" s="5"/>
      <c r="E177" s="5"/>
      <c r="F177" s="5"/>
      <c r="G177" s="5"/>
      <c r="H177" s="5"/>
      <c r="I177" s="9"/>
      <c r="J177" s="24"/>
      <c r="K177" s="5"/>
      <c r="L177" s="5"/>
      <c r="M177" s="5"/>
    </row>
    <row r="178" spans="1:13" x14ac:dyDescent="0.25">
      <c r="A178" s="8"/>
      <c r="B178" s="5"/>
      <c r="C178" s="5"/>
      <c r="D178" s="5"/>
      <c r="E178" s="5"/>
      <c r="F178" s="5"/>
      <c r="G178" s="5"/>
      <c r="H178" s="5"/>
      <c r="I178" s="9"/>
      <c r="J178" s="24"/>
      <c r="K178" s="5"/>
      <c r="L178" s="5"/>
      <c r="M178" s="5"/>
    </row>
    <row r="179" spans="1:13" x14ac:dyDescent="0.25">
      <c r="A179" s="8"/>
      <c r="B179" s="5"/>
      <c r="C179" s="5"/>
      <c r="D179" s="5"/>
      <c r="E179" s="5"/>
      <c r="F179" s="5"/>
      <c r="G179" s="5"/>
      <c r="H179" s="5"/>
      <c r="I179" s="9"/>
      <c r="J179" s="24"/>
      <c r="K179" s="5"/>
      <c r="L179" s="5"/>
      <c r="M179" s="5"/>
    </row>
    <row r="180" spans="1:13" x14ac:dyDescent="0.25">
      <c r="A180" s="8"/>
      <c r="B180" s="5"/>
      <c r="C180" s="5"/>
      <c r="D180" s="5"/>
      <c r="E180" s="5"/>
      <c r="F180" s="5"/>
      <c r="G180" s="5"/>
      <c r="H180" s="5"/>
      <c r="I180" s="9"/>
      <c r="J180" s="24"/>
      <c r="K180" s="5"/>
      <c r="L180" s="5"/>
      <c r="M180" s="5"/>
    </row>
    <row r="181" spans="1:13" x14ac:dyDescent="0.25">
      <c r="A181" s="8"/>
      <c r="B181" s="5"/>
      <c r="C181" s="5"/>
      <c r="D181" s="5"/>
      <c r="E181" s="5"/>
      <c r="F181" s="5"/>
      <c r="G181" s="5"/>
      <c r="H181" s="5"/>
      <c r="I181" s="9"/>
      <c r="J181" s="24"/>
      <c r="K181" s="5"/>
      <c r="L181" s="5"/>
      <c r="M181" s="5"/>
    </row>
    <row r="182" spans="1:13" x14ac:dyDescent="0.25">
      <c r="A182" s="8"/>
      <c r="B182" s="5"/>
      <c r="C182" s="5"/>
      <c r="D182" s="5"/>
      <c r="E182" s="5"/>
      <c r="F182" s="5"/>
      <c r="G182" s="5"/>
      <c r="H182" s="5"/>
      <c r="I182" s="9"/>
      <c r="J182" s="24"/>
      <c r="K182" s="5"/>
      <c r="L182" s="5"/>
      <c r="M182" s="5"/>
    </row>
    <row r="183" spans="1:13" x14ac:dyDescent="0.25">
      <c r="A183" s="8"/>
      <c r="B183" s="5"/>
      <c r="C183" s="5"/>
      <c r="D183" s="5"/>
      <c r="E183" s="5"/>
      <c r="F183" s="5"/>
      <c r="G183" s="5"/>
      <c r="H183" s="5"/>
      <c r="I183" s="9"/>
      <c r="J183" s="24"/>
      <c r="K183" s="5"/>
      <c r="L183" s="5"/>
      <c r="M183" s="5"/>
    </row>
    <row r="184" spans="1:13" x14ac:dyDescent="0.25">
      <c r="A184" s="8"/>
      <c r="B184" s="5"/>
      <c r="C184" s="5"/>
      <c r="D184" s="5"/>
      <c r="E184" s="5"/>
      <c r="F184" s="5"/>
      <c r="G184" s="5"/>
      <c r="H184" s="5"/>
      <c r="I184" s="9"/>
      <c r="J184" s="24"/>
      <c r="K184" s="5"/>
      <c r="L184" s="5"/>
      <c r="M184" s="5"/>
    </row>
    <row r="185" spans="1:13" x14ac:dyDescent="0.25">
      <c r="A185" s="8"/>
      <c r="B185" s="5"/>
      <c r="C185" s="5"/>
      <c r="D185" s="5"/>
      <c r="E185" s="5"/>
      <c r="F185" s="5"/>
      <c r="G185" s="5"/>
      <c r="H185" s="5"/>
      <c r="I185" s="9"/>
      <c r="J185" s="24"/>
      <c r="K185" s="5"/>
      <c r="L185" s="5"/>
      <c r="M185" s="5"/>
    </row>
    <row r="186" spans="1:13" x14ac:dyDescent="0.25">
      <c r="A186" s="8"/>
      <c r="B186" s="5"/>
      <c r="C186" s="5"/>
      <c r="D186" s="5"/>
      <c r="E186" s="5"/>
      <c r="F186" s="5"/>
      <c r="G186" s="5"/>
      <c r="H186" s="5"/>
      <c r="I186" s="9"/>
      <c r="J186" s="24"/>
      <c r="K186" s="5"/>
      <c r="L186" s="5"/>
      <c r="M186" s="5"/>
    </row>
    <row r="187" spans="1:13" x14ac:dyDescent="0.25">
      <c r="A187" s="8"/>
      <c r="B187" s="5"/>
      <c r="C187" s="5"/>
      <c r="D187" s="5"/>
      <c r="E187" s="5"/>
      <c r="F187" s="5"/>
      <c r="G187" s="5"/>
      <c r="H187" s="5"/>
      <c r="I187" s="9"/>
      <c r="J187" s="24"/>
      <c r="K187" s="5"/>
      <c r="L187" s="5"/>
      <c r="M187" s="5"/>
    </row>
    <row r="188" spans="1:13" x14ac:dyDescent="0.25">
      <c r="A188" s="8"/>
      <c r="B188" s="5"/>
      <c r="C188" s="5"/>
      <c r="D188" s="5"/>
      <c r="E188" s="5"/>
      <c r="F188" s="5"/>
      <c r="G188" s="5"/>
      <c r="H188" s="5"/>
      <c r="I188" s="9"/>
      <c r="J188" s="24"/>
      <c r="K188" s="5"/>
      <c r="L188" s="5"/>
      <c r="M188" s="5"/>
    </row>
    <row r="189" spans="1:13" x14ac:dyDescent="0.25">
      <c r="A189" s="8"/>
      <c r="B189" s="5"/>
      <c r="C189" s="5"/>
      <c r="D189" s="5"/>
      <c r="E189" s="5"/>
      <c r="F189" s="5"/>
      <c r="G189" s="5"/>
      <c r="H189" s="5"/>
      <c r="I189" s="9"/>
      <c r="J189" s="24"/>
      <c r="K189" s="5"/>
      <c r="L189" s="5"/>
      <c r="M189" s="5"/>
    </row>
    <row r="190" spans="1:13" x14ac:dyDescent="0.25">
      <c r="A190" s="8"/>
      <c r="B190" s="5"/>
      <c r="C190" s="5"/>
      <c r="D190" s="5"/>
      <c r="E190" s="5"/>
      <c r="F190" s="5"/>
      <c r="G190" s="5"/>
      <c r="H190" s="5"/>
      <c r="I190" s="9"/>
      <c r="J190" s="24"/>
      <c r="K190" s="5"/>
      <c r="L190" s="5"/>
      <c r="M190" s="5"/>
    </row>
    <row r="191" spans="1:13" x14ac:dyDescent="0.25">
      <c r="A191" s="8"/>
      <c r="B191" s="5"/>
      <c r="C191" s="5"/>
      <c r="D191" s="5"/>
      <c r="E191" s="5"/>
      <c r="F191" s="5"/>
      <c r="G191" s="5"/>
      <c r="H191" s="5"/>
      <c r="I191" s="9"/>
      <c r="J191" s="24"/>
      <c r="K191" s="5"/>
      <c r="L191" s="5"/>
      <c r="M191" s="5"/>
    </row>
    <row r="192" spans="1:13" x14ac:dyDescent="0.25">
      <c r="A192" s="8"/>
      <c r="B192" s="5"/>
      <c r="C192" s="5"/>
      <c r="D192" s="5"/>
      <c r="E192" s="5"/>
      <c r="F192" s="5"/>
      <c r="G192" s="5"/>
      <c r="H192" s="5"/>
      <c r="I192" s="9"/>
      <c r="J192" s="24"/>
      <c r="K192" s="5"/>
      <c r="L192" s="5"/>
      <c r="M192" s="5"/>
    </row>
    <row r="193" spans="1:13" x14ac:dyDescent="0.25">
      <c r="A193" s="8"/>
      <c r="B193" s="5"/>
      <c r="C193" s="5"/>
      <c r="D193" s="5"/>
      <c r="E193" s="5"/>
      <c r="F193" s="5"/>
      <c r="G193" s="5"/>
      <c r="H193" s="5"/>
      <c r="I193" s="9"/>
      <c r="J193" s="24"/>
      <c r="K193" s="5"/>
      <c r="L193" s="5"/>
      <c r="M193" s="5"/>
    </row>
    <row r="194" spans="1:13" x14ac:dyDescent="0.25">
      <c r="A194" s="8"/>
      <c r="B194" s="5"/>
      <c r="C194" s="5"/>
      <c r="D194" s="5"/>
      <c r="E194" s="5"/>
      <c r="F194" s="5"/>
      <c r="G194" s="5"/>
      <c r="H194" s="5"/>
      <c r="I194" s="9"/>
      <c r="J194" s="24"/>
      <c r="K194" s="5"/>
      <c r="L194" s="5"/>
      <c r="M194" s="5"/>
    </row>
    <row r="195" spans="1:13" x14ac:dyDescent="0.25">
      <c r="A195" s="8"/>
      <c r="B195" s="5"/>
      <c r="C195" s="5"/>
      <c r="D195" s="5"/>
      <c r="E195" s="5"/>
      <c r="F195" s="5"/>
      <c r="G195" s="5"/>
      <c r="H195" s="5"/>
      <c r="I195" s="9"/>
      <c r="J195" s="24"/>
      <c r="K195" s="5"/>
      <c r="L195" s="5"/>
      <c r="M195" s="5"/>
    </row>
    <row r="196" spans="1:13" x14ac:dyDescent="0.25">
      <c r="A196" s="8"/>
      <c r="B196" s="5"/>
      <c r="C196" s="5"/>
      <c r="D196" s="5"/>
      <c r="E196" s="5"/>
      <c r="F196" s="5"/>
      <c r="G196" s="5"/>
      <c r="H196" s="5"/>
      <c r="I196" s="9"/>
      <c r="J196" s="24"/>
      <c r="K196" s="5"/>
      <c r="L196" s="5"/>
      <c r="M196" s="5"/>
    </row>
    <row r="197" spans="1:13" x14ac:dyDescent="0.25">
      <c r="A197" s="8"/>
      <c r="B197" s="5"/>
      <c r="C197" s="5"/>
      <c r="D197" s="5"/>
      <c r="E197" s="5"/>
      <c r="F197" s="5"/>
      <c r="G197" s="5"/>
      <c r="H197" s="5"/>
      <c r="I197" s="9"/>
      <c r="J197" s="24"/>
      <c r="K197" s="5"/>
      <c r="L197" s="5"/>
      <c r="M197" s="5"/>
    </row>
    <row r="198" spans="1:13" x14ac:dyDescent="0.25">
      <c r="A198" s="8"/>
      <c r="B198" s="5"/>
      <c r="C198" s="5"/>
      <c r="D198" s="5"/>
      <c r="E198" s="5"/>
      <c r="F198" s="5"/>
      <c r="G198" s="5"/>
      <c r="H198" s="5"/>
      <c r="I198" s="9"/>
      <c r="J198" s="24"/>
      <c r="K198" s="5"/>
      <c r="L198" s="5"/>
      <c r="M198" s="5"/>
    </row>
    <row r="199" spans="1:13" x14ac:dyDescent="0.25">
      <c r="A199" s="8"/>
      <c r="B199" s="5"/>
      <c r="C199" s="5"/>
      <c r="D199" s="5"/>
      <c r="E199" s="5"/>
      <c r="F199" s="5"/>
      <c r="G199" s="5"/>
      <c r="H199" s="5"/>
      <c r="I199" s="9"/>
      <c r="J199" s="24"/>
      <c r="K199" s="5"/>
      <c r="L199" s="5"/>
      <c r="M199" s="5"/>
    </row>
    <row r="200" spans="1:13" x14ac:dyDescent="0.25">
      <c r="A200" s="8"/>
      <c r="B200" s="5"/>
      <c r="C200" s="5"/>
      <c r="D200" s="5"/>
      <c r="E200" s="5"/>
      <c r="F200" s="5"/>
      <c r="G200" s="5"/>
      <c r="H200" s="5"/>
      <c r="I200" s="9"/>
      <c r="J200" s="24"/>
      <c r="K200" s="5"/>
      <c r="L200" s="5"/>
      <c r="M200" s="5"/>
    </row>
    <row r="201" spans="1:13" x14ac:dyDescent="0.25">
      <c r="A201" s="8"/>
      <c r="B201" s="5"/>
      <c r="C201" s="5"/>
      <c r="D201" s="5"/>
      <c r="E201" s="5"/>
      <c r="F201" s="5"/>
      <c r="G201" s="5"/>
      <c r="H201" s="5"/>
      <c r="I201" s="9"/>
      <c r="J201" s="24"/>
      <c r="K201" s="5"/>
      <c r="L201" s="5"/>
      <c r="M201" s="5"/>
    </row>
    <row r="202" spans="1:13" x14ac:dyDescent="0.25">
      <c r="A202" s="8"/>
      <c r="B202" s="5"/>
      <c r="C202" s="5"/>
      <c r="D202" s="5"/>
      <c r="E202" s="5"/>
      <c r="F202" s="5"/>
      <c r="G202" s="5"/>
      <c r="H202" s="5"/>
      <c r="I202" s="9"/>
      <c r="J202" s="24"/>
      <c r="K202" s="5"/>
      <c r="L202" s="5"/>
      <c r="M202" s="5"/>
    </row>
    <row r="203" spans="1:13" x14ac:dyDescent="0.25">
      <c r="A203" s="8"/>
      <c r="B203" s="5"/>
      <c r="C203" s="5"/>
      <c r="D203" s="5"/>
      <c r="E203" s="5"/>
      <c r="F203" s="5"/>
      <c r="G203" s="5"/>
      <c r="H203" s="5"/>
      <c r="I203" s="9"/>
      <c r="J203" s="24"/>
      <c r="K203" s="5"/>
      <c r="L203" s="5"/>
      <c r="M203" s="5"/>
    </row>
    <row r="204" spans="1:13" x14ac:dyDescent="0.25">
      <c r="A204" s="8"/>
      <c r="B204" s="5"/>
      <c r="C204" s="5"/>
      <c r="D204" s="5"/>
      <c r="E204" s="5"/>
      <c r="F204" s="5"/>
      <c r="G204" s="5"/>
      <c r="H204" s="5"/>
      <c r="I204" s="9"/>
      <c r="J204" s="24"/>
      <c r="K204" s="5"/>
      <c r="L204" s="5"/>
      <c r="M204" s="5"/>
    </row>
    <row r="205" spans="1:13" x14ac:dyDescent="0.25">
      <c r="A205" s="8"/>
      <c r="B205" s="5"/>
      <c r="C205" s="5"/>
      <c r="D205" s="5"/>
      <c r="E205" s="5"/>
      <c r="F205" s="5"/>
      <c r="G205" s="5"/>
      <c r="H205" s="5"/>
      <c r="I205" s="9"/>
      <c r="J205" s="24"/>
      <c r="K205" s="5"/>
      <c r="L205" s="5"/>
      <c r="M205" s="5"/>
    </row>
    <row r="206" spans="1:13" x14ac:dyDescent="0.25">
      <c r="A206" s="8"/>
      <c r="B206" s="5"/>
      <c r="C206" s="5"/>
      <c r="D206" s="5"/>
      <c r="E206" s="5"/>
      <c r="F206" s="5"/>
      <c r="G206" s="5"/>
      <c r="H206" s="5"/>
      <c r="I206" s="9"/>
      <c r="J206" s="24"/>
      <c r="K206" s="5"/>
      <c r="L206" s="5"/>
      <c r="M206" s="5"/>
    </row>
    <row r="207" spans="1:13" x14ac:dyDescent="0.25">
      <c r="A207" s="8"/>
      <c r="B207" s="5"/>
      <c r="C207" s="5"/>
      <c r="D207" s="5"/>
      <c r="E207" s="5"/>
      <c r="F207" s="5"/>
      <c r="G207" s="5"/>
      <c r="H207" s="5"/>
      <c r="I207" s="9"/>
      <c r="J207" s="24"/>
      <c r="K207" s="5"/>
      <c r="L207" s="5"/>
      <c r="M207" s="5"/>
    </row>
    <row r="208" spans="1:13" x14ac:dyDescent="0.25">
      <c r="A208" s="8"/>
      <c r="B208" s="5"/>
      <c r="C208" s="5"/>
      <c r="D208" s="5"/>
      <c r="E208" s="5"/>
      <c r="F208" s="5"/>
      <c r="G208" s="5"/>
      <c r="H208" s="5"/>
      <c r="I208" s="9"/>
      <c r="J208" s="24"/>
      <c r="K208" s="5"/>
      <c r="L208" s="5"/>
      <c r="M208" s="5"/>
    </row>
    <row r="209" spans="1:13" x14ac:dyDescent="0.25">
      <c r="A209" s="8"/>
      <c r="B209" s="5"/>
      <c r="C209" s="5"/>
      <c r="D209" s="5"/>
      <c r="E209" s="5"/>
      <c r="F209" s="5"/>
      <c r="G209" s="5"/>
      <c r="H209" s="5"/>
      <c r="I209" s="9"/>
      <c r="J209" s="24"/>
      <c r="K209" s="5"/>
      <c r="L209" s="5"/>
      <c r="M209" s="5"/>
    </row>
    <row r="210" spans="1:13" x14ac:dyDescent="0.25">
      <c r="A210" s="8"/>
      <c r="B210" s="5"/>
      <c r="C210" s="5"/>
      <c r="D210" s="5"/>
      <c r="E210" s="5"/>
      <c r="F210" s="5"/>
      <c r="G210" s="5"/>
      <c r="H210" s="5"/>
      <c r="I210" s="9"/>
      <c r="J210" s="24"/>
      <c r="K210" s="5"/>
      <c r="L210" s="5"/>
      <c r="M210" s="5"/>
    </row>
    <row r="211" spans="1:13" x14ac:dyDescent="0.25">
      <c r="A211" s="8"/>
      <c r="B211" s="5"/>
      <c r="C211" s="5"/>
      <c r="D211" s="5"/>
      <c r="E211" s="5"/>
      <c r="F211" s="5"/>
      <c r="G211" s="5"/>
      <c r="H211" s="5"/>
      <c r="I211" s="9"/>
      <c r="J211" s="24"/>
      <c r="K211" s="5"/>
      <c r="L211" s="5"/>
      <c r="M211" s="5"/>
    </row>
    <row r="212" spans="1:13" x14ac:dyDescent="0.25">
      <c r="A212" s="8"/>
      <c r="B212" s="5"/>
      <c r="C212" s="5"/>
      <c r="D212" s="5"/>
      <c r="E212" s="5"/>
      <c r="F212" s="5"/>
      <c r="G212" s="5"/>
      <c r="H212" s="5"/>
      <c r="I212" s="9"/>
      <c r="J212" s="24"/>
      <c r="K212" s="5"/>
      <c r="L212" s="5"/>
      <c r="M212" s="5"/>
    </row>
    <row r="213" spans="1:13" x14ac:dyDescent="0.25">
      <c r="A213" s="8"/>
      <c r="B213" s="5"/>
      <c r="C213" s="5"/>
      <c r="D213" s="5"/>
      <c r="E213" s="5"/>
      <c r="F213" s="5"/>
      <c r="G213" s="5"/>
      <c r="H213" s="5"/>
      <c r="I213" s="9"/>
      <c r="J213" s="24"/>
      <c r="K213" s="5"/>
      <c r="L213" s="5"/>
      <c r="M213" s="5"/>
    </row>
    <row r="214" spans="1:13" x14ac:dyDescent="0.25">
      <c r="A214" s="8"/>
      <c r="B214" s="5"/>
      <c r="C214" s="5"/>
      <c r="D214" s="5"/>
      <c r="E214" s="5"/>
      <c r="F214" s="5"/>
      <c r="G214" s="5"/>
      <c r="H214" s="5"/>
      <c r="I214" s="9"/>
      <c r="J214" s="24"/>
      <c r="K214" s="5"/>
      <c r="L214" s="5"/>
      <c r="M214" s="5"/>
    </row>
    <row r="215" spans="1:13" x14ac:dyDescent="0.25">
      <c r="A215" s="8"/>
      <c r="B215" s="5"/>
      <c r="C215" s="5"/>
      <c r="D215" s="5"/>
      <c r="E215" s="5"/>
      <c r="F215" s="5"/>
      <c r="G215" s="5"/>
      <c r="H215" s="5"/>
      <c r="I215" s="9"/>
      <c r="J215" s="24"/>
      <c r="K215" s="5"/>
      <c r="L215" s="5"/>
      <c r="M215" s="5"/>
    </row>
    <row r="216" spans="1:13" x14ac:dyDescent="0.25">
      <c r="A216" s="8"/>
      <c r="B216" s="5"/>
      <c r="C216" s="5"/>
      <c r="D216" s="5"/>
      <c r="E216" s="5"/>
      <c r="F216" s="5"/>
      <c r="G216" s="5"/>
      <c r="H216" s="5"/>
      <c r="I216" s="9"/>
      <c r="J216" s="24"/>
      <c r="K216" s="5"/>
      <c r="L216" s="5"/>
      <c r="M216" s="5"/>
    </row>
    <row r="217" spans="1:13" x14ac:dyDescent="0.25">
      <c r="A217" s="8"/>
      <c r="B217" s="5"/>
      <c r="C217" s="5"/>
      <c r="D217" s="5"/>
      <c r="E217" s="5"/>
      <c r="F217" s="5"/>
      <c r="G217" s="5"/>
      <c r="H217" s="5"/>
      <c r="I217" s="9"/>
      <c r="J217" s="24"/>
      <c r="K217" s="5"/>
      <c r="L217" s="5"/>
      <c r="M217" s="5"/>
    </row>
    <row r="218" spans="1:13" x14ac:dyDescent="0.25">
      <c r="A218" s="8"/>
      <c r="B218" s="5"/>
      <c r="C218" s="5"/>
      <c r="D218" s="5"/>
      <c r="E218" s="5"/>
      <c r="F218" s="5"/>
      <c r="G218" s="5"/>
      <c r="H218" s="5"/>
      <c r="I218" s="9"/>
      <c r="J218" s="24"/>
      <c r="K218" s="5"/>
      <c r="L218" s="5"/>
      <c r="M218" s="5"/>
    </row>
    <row r="219" spans="1:13" x14ac:dyDescent="0.25">
      <c r="A219" s="8"/>
      <c r="B219" s="5"/>
      <c r="C219" s="5"/>
      <c r="D219" s="5"/>
      <c r="E219" s="5"/>
      <c r="F219" s="5"/>
      <c r="G219" s="5"/>
      <c r="H219" s="5"/>
      <c r="I219" s="9"/>
      <c r="J219" s="24"/>
      <c r="K219" s="5"/>
      <c r="L219" s="5"/>
      <c r="M219" s="5"/>
    </row>
    <row r="220" spans="1:13" x14ac:dyDescent="0.25">
      <c r="A220" s="8"/>
      <c r="B220" s="5"/>
      <c r="C220" s="5"/>
      <c r="D220" s="5"/>
      <c r="E220" s="5"/>
      <c r="F220" s="5"/>
      <c r="G220" s="5"/>
      <c r="H220" s="5"/>
      <c r="I220" s="9"/>
      <c r="J220" s="24"/>
      <c r="K220" s="5"/>
      <c r="L220" s="5"/>
      <c r="M220" s="5"/>
    </row>
    <row r="221" spans="1:13" x14ac:dyDescent="0.25">
      <c r="A221" s="8"/>
      <c r="B221" s="5"/>
      <c r="C221" s="5"/>
      <c r="D221" s="5"/>
      <c r="E221" s="5"/>
      <c r="F221" s="5"/>
      <c r="G221" s="5"/>
      <c r="H221" s="5"/>
      <c r="I221" s="9"/>
      <c r="J221" s="24"/>
      <c r="K221" s="5"/>
      <c r="L221" s="5"/>
      <c r="M221" s="5"/>
    </row>
    <row r="222" spans="1:13" x14ac:dyDescent="0.25">
      <c r="A222" s="8"/>
      <c r="B222" s="5"/>
      <c r="C222" s="5"/>
      <c r="D222" s="5"/>
      <c r="E222" s="5"/>
      <c r="F222" s="5"/>
      <c r="G222" s="5"/>
      <c r="H222" s="5"/>
      <c r="I222" s="9"/>
      <c r="J222" s="24"/>
      <c r="K222" s="5"/>
      <c r="L222" s="5"/>
      <c r="M222" s="5"/>
    </row>
    <row r="223" spans="1:13" x14ac:dyDescent="0.25">
      <c r="A223" s="8"/>
      <c r="B223" s="5"/>
      <c r="C223" s="5"/>
      <c r="D223" s="5"/>
      <c r="E223" s="5"/>
      <c r="F223" s="5"/>
      <c r="G223" s="5"/>
      <c r="H223" s="5"/>
      <c r="I223" s="9"/>
      <c r="J223" s="24"/>
      <c r="K223" s="5"/>
      <c r="L223" s="5"/>
      <c r="M223" s="5"/>
    </row>
    <row r="224" spans="1:13" x14ac:dyDescent="0.25">
      <c r="A224" s="8"/>
      <c r="B224" s="5"/>
      <c r="C224" s="5"/>
      <c r="D224" s="5"/>
      <c r="E224" s="5"/>
      <c r="F224" s="5"/>
      <c r="G224" s="5"/>
      <c r="H224" s="5"/>
      <c r="I224" s="9"/>
      <c r="J224" s="24"/>
      <c r="K224" s="5"/>
      <c r="L224" s="5"/>
      <c r="M224" s="5"/>
    </row>
    <row r="225" spans="1:13" x14ac:dyDescent="0.25">
      <c r="A225" s="8"/>
      <c r="B225" s="5"/>
      <c r="C225" s="5"/>
      <c r="D225" s="5"/>
      <c r="E225" s="5"/>
      <c r="F225" s="5"/>
      <c r="G225" s="5"/>
      <c r="H225" s="5"/>
      <c r="I225" s="9"/>
      <c r="J225" s="24"/>
      <c r="K225" s="5"/>
      <c r="L225" s="5"/>
      <c r="M225" s="5"/>
    </row>
    <row r="226" spans="1:13" x14ac:dyDescent="0.25">
      <c r="A226" s="8"/>
      <c r="B226" s="5"/>
      <c r="C226" s="5"/>
      <c r="D226" s="5"/>
      <c r="E226" s="5"/>
      <c r="F226" s="5"/>
      <c r="G226" s="5"/>
      <c r="H226" s="5"/>
      <c r="I226" s="9"/>
      <c r="J226" s="24"/>
      <c r="K226" s="5"/>
      <c r="L226" s="5"/>
      <c r="M226" s="5"/>
    </row>
    <row r="227" spans="1:13" x14ac:dyDescent="0.25">
      <c r="A227" s="8"/>
      <c r="B227" s="5"/>
      <c r="C227" s="5"/>
      <c r="D227" s="5"/>
      <c r="E227" s="5"/>
      <c r="F227" s="5"/>
      <c r="G227" s="5"/>
      <c r="H227" s="5"/>
      <c r="I227" s="9"/>
      <c r="J227" s="24"/>
      <c r="K227" s="5"/>
      <c r="L227" s="5"/>
      <c r="M227" s="5"/>
    </row>
    <row r="228" spans="1:13" x14ac:dyDescent="0.25">
      <c r="A228" s="8"/>
      <c r="B228" s="5"/>
      <c r="C228" s="5"/>
      <c r="D228" s="5"/>
      <c r="E228" s="5"/>
      <c r="F228" s="5"/>
      <c r="G228" s="5"/>
      <c r="H228" s="5"/>
      <c r="I228" s="9"/>
      <c r="J228" s="24"/>
      <c r="K228" s="5"/>
      <c r="L228" s="5"/>
      <c r="M228" s="5"/>
    </row>
    <row r="229" spans="1:13" x14ac:dyDescent="0.25">
      <c r="A229" s="8"/>
      <c r="B229" s="5"/>
      <c r="C229" s="5"/>
      <c r="D229" s="5"/>
      <c r="E229" s="5"/>
      <c r="F229" s="5"/>
      <c r="G229" s="5"/>
      <c r="H229" s="5"/>
      <c r="I229" s="9"/>
      <c r="J229" s="24"/>
      <c r="K229" s="5"/>
      <c r="L229" s="5"/>
      <c r="M229" s="5"/>
    </row>
    <row r="230" spans="1:13" x14ac:dyDescent="0.25">
      <c r="A230" s="8"/>
      <c r="B230" s="5"/>
      <c r="C230" s="5"/>
      <c r="D230" s="5"/>
      <c r="E230" s="5"/>
      <c r="F230" s="5"/>
      <c r="G230" s="5"/>
      <c r="H230" s="5"/>
      <c r="I230" s="9"/>
      <c r="J230" s="24"/>
      <c r="K230" s="5"/>
      <c r="L230" s="5"/>
      <c r="M230" s="5"/>
    </row>
    <row r="231" spans="1:13" x14ac:dyDescent="0.25">
      <c r="A231" s="8"/>
      <c r="B231" s="5"/>
      <c r="C231" s="5"/>
      <c r="D231" s="5"/>
      <c r="E231" s="5"/>
      <c r="F231" s="5"/>
      <c r="G231" s="5"/>
      <c r="H231" s="5"/>
      <c r="I231" s="9"/>
      <c r="J231" s="24"/>
      <c r="K231" s="5"/>
      <c r="L231" s="5"/>
      <c r="M231" s="5"/>
    </row>
    <row r="232" spans="1:13" x14ac:dyDescent="0.25">
      <c r="A232" s="8"/>
      <c r="B232" s="5"/>
      <c r="C232" s="5"/>
      <c r="D232" s="5"/>
      <c r="E232" s="5"/>
      <c r="F232" s="5"/>
      <c r="G232" s="5"/>
      <c r="H232" s="5"/>
      <c r="I232" s="9"/>
      <c r="J232" s="24"/>
      <c r="K232" s="5"/>
      <c r="L232" s="5"/>
      <c r="M232" s="5"/>
    </row>
    <row r="233" spans="1:13" x14ac:dyDescent="0.25">
      <c r="A233" s="8"/>
      <c r="B233" s="5"/>
      <c r="C233" s="5"/>
      <c r="D233" s="5"/>
      <c r="E233" s="5"/>
      <c r="F233" s="5"/>
      <c r="G233" s="5"/>
      <c r="H233" s="5"/>
      <c r="I233" s="9"/>
      <c r="J233" s="24"/>
      <c r="K233" s="5"/>
      <c r="L233" s="5"/>
      <c r="M233" s="5"/>
    </row>
    <row r="234" spans="1:13" x14ac:dyDescent="0.25">
      <c r="A234" s="8"/>
      <c r="B234" s="5"/>
      <c r="C234" s="5"/>
      <c r="D234" s="5"/>
      <c r="E234" s="5"/>
      <c r="F234" s="5"/>
      <c r="G234" s="5"/>
      <c r="H234" s="5"/>
      <c r="I234" s="9"/>
      <c r="J234" s="24"/>
      <c r="K234" s="5"/>
      <c r="L234" s="5"/>
      <c r="M234" s="5"/>
    </row>
    <row r="235" spans="1:13" x14ac:dyDescent="0.25">
      <c r="A235" s="8"/>
      <c r="B235" s="5"/>
      <c r="C235" s="5"/>
      <c r="D235" s="5"/>
      <c r="E235" s="5"/>
      <c r="F235" s="5"/>
      <c r="G235" s="5"/>
      <c r="H235" s="5"/>
      <c r="I235" s="9"/>
      <c r="J235" s="24"/>
      <c r="K235" s="5"/>
      <c r="L235" s="5"/>
      <c r="M235" s="5"/>
    </row>
    <row r="236" spans="1:13" x14ac:dyDescent="0.25">
      <c r="A236" s="8"/>
      <c r="B236" s="5"/>
      <c r="C236" s="5"/>
      <c r="D236" s="5"/>
      <c r="E236" s="5"/>
      <c r="F236" s="5"/>
      <c r="G236" s="5"/>
      <c r="H236" s="5"/>
      <c r="I236" s="9"/>
      <c r="J236" s="24"/>
      <c r="K236" s="5"/>
      <c r="L236" s="5"/>
      <c r="M236" s="5"/>
    </row>
    <row r="237" spans="1:13" x14ac:dyDescent="0.25">
      <c r="A237" s="8"/>
      <c r="B237" s="5"/>
      <c r="C237" s="5"/>
      <c r="D237" s="5"/>
      <c r="E237" s="5"/>
      <c r="F237" s="5"/>
      <c r="G237" s="5"/>
      <c r="H237" s="5"/>
      <c r="I237" s="9"/>
      <c r="J237" s="24"/>
      <c r="K237" s="5"/>
      <c r="L237" s="5"/>
      <c r="M237" s="5"/>
    </row>
    <row r="238" spans="1:13" x14ac:dyDescent="0.25">
      <c r="A238" s="8"/>
      <c r="B238" s="5"/>
      <c r="C238" s="5"/>
      <c r="D238" s="5"/>
      <c r="E238" s="5"/>
      <c r="F238" s="5"/>
      <c r="G238" s="5"/>
      <c r="H238" s="5"/>
      <c r="I238" s="9"/>
      <c r="J238" s="24"/>
      <c r="K238" s="5"/>
      <c r="L238" s="5"/>
      <c r="M238" s="5"/>
    </row>
    <row r="239" spans="1:13" x14ac:dyDescent="0.25">
      <c r="A239" s="8"/>
      <c r="B239" s="5"/>
      <c r="C239" s="5"/>
      <c r="D239" s="5"/>
      <c r="E239" s="5"/>
      <c r="F239" s="5"/>
      <c r="G239" s="5"/>
      <c r="H239" s="5"/>
      <c r="I239" s="9"/>
      <c r="J239" s="24"/>
      <c r="K239" s="5"/>
      <c r="L239" s="5"/>
      <c r="M239" s="5"/>
    </row>
    <row r="240" spans="1:13" x14ac:dyDescent="0.25">
      <c r="A240" s="8"/>
      <c r="B240" s="5"/>
      <c r="C240" s="5"/>
      <c r="D240" s="5"/>
      <c r="E240" s="5"/>
      <c r="F240" s="5"/>
      <c r="G240" s="5"/>
      <c r="H240" s="5"/>
      <c r="I240" s="9"/>
      <c r="J240" s="24"/>
      <c r="K240" s="5"/>
      <c r="L240" s="5"/>
      <c r="M240" s="5"/>
    </row>
    <row r="241" spans="1:13" x14ac:dyDescent="0.25">
      <c r="A241" s="8"/>
      <c r="B241" s="5"/>
      <c r="C241" s="5"/>
      <c r="D241" s="5"/>
      <c r="E241" s="5"/>
      <c r="F241" s="5"/>
      <c r="G241" s="5"/>
      <c r="H241" s="5"/>
      <c r="I241" s="9"/>
      <c r="J241" s="24"/>
      <c r="K241" s="5"/>
      <c r="L241" s="5"/>
      <c r="M241" s="5"/>
    </row>
    <row r="242" spans="1:13" x14ac:dyDescent="0.25">
      <c r="A242" s="8"/>
      <c r="B242" s="5"/>
      <c r="C242" s="5"/>
      <c r="D242" s="5"/>
      <c r="E242" s="5"/>
      <c r="F242" s="5"/>
      <c r="G242" s="5"/>
      <c r="H242" s="5"/>
      <c r="I242" s="9"/>
      <c r="J242" s="24"/>
      <c r="K242" s="5"/>
      <c r="L242" s="5"/>
      <c r="M242" s="5"/>
    </row>
    <row r="243" spans="1:13" x14ac:dyDescent="0.25">
      <c r="A243" s="8"/>
      <c r="B243" s="5"/>
      <c r="C243" s="5"/>
      <c r="D243" s="5"/>
      <c r="E243" s="5"/>
      <c r="F243" s="5"/>
      <c r="G243" s="5"/>
      <c r="H243" s="5"/>
      <c r="I243" s="9"/>
      <c r="J243" s="24"/>
      <c r="K243" s="5"/>
      <c r="L243" s="5"/>
      <c r="M243" s="5"/>
    </row>
    <row r="244" spans="1:13" x14ac:dyDescent="0.25">
      <c r="A244" s="8"/>
      <c r="B244" s="5"/>
      <c r="C244" s="5"/>
      <c r="D244" s="5"/>
      <c r="E244" s="5"/>
      <c r="F244" s="5"/>
      <c r="G244" s="5"/>
      <c r="H244" s="5"/>
      <c r="I244" s="9"/>
      <c r="J244" s="24"/>
      <c r="K244" s="5"/>
      <c r="L244" s="5"/>
      <c r="M244" s="5"/>
    </row>
    <row r="245" spans="1:13" x14ac:dyDescent="0.25">
      <c r="A245" s="8"/>
      <c r="B245" s="5"/>
      <c r="C245" s="5"/>
      <c r="D245" s="5"/>
      <c r="E245" s="5"/>
      <c r="F245" s="5"/>
      <c r="G245" s="5"/>
      <c r="H245" s="5"/>
      <c r="I245" s="9"/>
      <c r="J245" s="24"/>
      <c r="K245" s="5"/>
      <c r="L245" s="5"/>
      <c r="M245" s="5"/>
    </row>
    <row r="246" spans="1:13" x14ac:dyDescent="0.25">
      <c r="A246" s="8"/>
      <c r="B246" s="5"/>
      <c r="C246" s="5"/>
      <c r="D246" s="5"/>
      <c r="E246" s="5"/>
      <c r="F246" s="5"/>
      <c r="G246" s="5"/>
      <c r="H246" s="5"/>
      <c r="I246" s="9"/>
      <c r="J246" s="24"/>
      <c r="K246" s="5"/>
      <c r="L246" s="5"/>
      <c r="M246" s="5"/>
    </row>
    <row r="247" spans="1:13" x14ac:dyDescent="0.25">
      <c r="A247" s="8"/>
      <c r="B247" s="5"/>
      <c r="C247" s="5"/>
      <c r="D247" s="5"/>
      <c r="E247" s="5"/>
      <c r="F247" s="5"/>
      <c r="G247" s="5"/>
      <c r="H247" s="5"/>
      <c r="I247" s="9"/>
      <c r="J247" s="24"/>
      <c r="K247" s="5"/>
      <c r="L247" s="5"/>
      <c r="M247" s="5"/>
    </row>
    <row r="248" spans="1:13" x14ac:dyDescent="0.25">
      <c r="A248" s="8"/>
      <c r="B248" s="5"/>
      <c r="C248" s="5"/>
      <c r="D248" s="5"/>
      <c r="E248" s="5"/>
      <c r="F248" s="5"/>
      <c r="G248" s="5"/>
      <c r="H248" s="5"/>
      <c r="I248" s="9"/>
      <c r="J248" s="24"/>
      <c r="K248" s="5"/>
      <c r="L248" s="5"/>
      <c r="M248" s="5"/>
    </row>
    <row r="249" spans="1:13" x14ac:dyDescent="0.25">
      <c r="A249" s="8"/>
      <c r="B249" s="5"/>
      <c r="C249" s="5"/>
      <c r="D249" s="5"/>
      <c r="E249" s="5"/>
      <c r="F249" s="5"/>
      <c r="G249" s="5"/>
      <c r="H249" s="5"/>
      <c r="I249" s="9"/>
      <c r="J249" s="24"/>
      <c r="K249" s="5"/>
      <c r="L249" s="5"/>
      <c r="M249" s="5"/>
    </row>
    <row r="250" spans="1:13" x14ac:dyDescent="0.25">
      <c r="A250" s="8"/>
      <c r="B250" s="5"/>
      <c r="C250" s="5"/>
      <c r="D250" s="5"/>
      <c r="E250" s="5"/>
      <c r="F250" s="5"/>
      <c r="G250" s="5"/>
      <c r="H250" s="5"/>
      <c r="I250" s="9"/>
      <c r="J250" s="24"/>
      <c r="K250" s="5"/>
      <c r="L250" s="5"/>
      <c r="M250" s="5"/>
    </row>
    <row r="251" spans="1:13" x14ac:dyDescent="0.25">
      <c r="A251" s="8"/>
      <c r="B251" s="5"/>
      <c r="C251" s="5"/>
      <c r="D251" s="5"/>
      <c r="E251" s="5"/>
      <c r="F251" s="5"/>
      <c r="G251" s="5"/>
      <c r="H251" s="5"/>
      <c r="I251" s="9"/>
      <c r="J251" s="24"/>
      <c r="K251" s="5"/>
      <c r="L251" s="5"/>
      <c r="M251" s="5"/>
    </row>
    <row r="252" spans="1:13" x14ac:dyDescent="0.25">
      <c r="A252" s="8"/>
      <c r="B252" s="5"/>
      <c r="C252" s="5"/>
      <c r="D252" s="5"/>
      <c r="E252" s="5"/>
      <c r="F252" s="5"/>
      <c r="G252" s="5"/>
      <c r="H252" s="5"/>
      <c r="I252" s="9"/>
      <c r="J252" s="24"/>
      <c r="K252" s="5"/>
      <c r="L252" s="5"/>
      <c r="M252" s="5"/>
    </row>
    <row r="253" spans="1:13" x14ac:dyDescent="0.25">
      <c r="A253" s="8"/>
      <c r="B253" s="5"/>
      <c r="C253" s="5"/>
      <c r="D253" s="5"/>
      <c r="E253" s="5"/>
      <c r="F253" s="5"/>
      <c r="G253" s="5"/>
      <c r="H253" s="5"/>
      <c r="I253" s="9"/>
      <c r="J253" s="24"/>
      <c r="K253" s="5"/>
      <c r="L253" s="5"/>
      <c r="M253" s="5"/>
    </row>
    <row r="254" spans="1:13" x14ac:dyDescent="0.25">
      <c r="A254" s="8"/>
      <c r="B254" s="5"/>
      <c r="C254" s="5"/>
      <c r="D254" s="5"/>
      <c r="E254" s="5"/>
      <c r="F254" s="5"/>
      <c r="G254" s="5"/>
      <c r="H254" s="5"/>
      <c r="I254" s="9"/>
      <c r="J254" s="24"/>
      <c r="K254" s="5"/>
      <c r="L254" s="5"/>
      <c r="M254" s="5"/>
    </row>
    <row r="255" spans="1:13" x14ac:dyDescent="0.25">
      <c r="A255" s="8"/>
      <c r="B255" s="5"/>
      <c r="C255" s="5"/>
      <c r="D255" s="5"/>
      <c r="E255" s="5"/>
      <c r="F255" s="5"/>
      <c r="G255" s="5"/>
      <c r="H255" s="5"/>
      <c r="I255" s="9"/>
      <c r="J255" s="24"/>
      <c r="K255" s="5"/>
      <c r="L255" s="5"/>
      <c r="M255" s="5"/>
    </row>
    <row r="256" spans="1:13" x14ac:dyDescent="0.25">
      <c r="A256" s="8"/>
      <c r="B256" s="5"/>
      <c r="C256" s="5"/>
      <c r="D256" s="5"/>
      <c r="E256" s="5"/>
      <c r="F256" s="5"/>
      <c r="G256" s="5"/>
      <c r="H256" s="5"/>
      <c r="I256" s="9"/>
      <c r="J256" s="24"/>
      <c r="K256" s="5"/>
      <c r="L256" s="5"/>
      <c r="M256" s="5"/>
    </row>
    <row r="257" spans="1:13" x14ac:dyDescent="0.25">
      <c r="A257" s="8"/>
      <c r="B257" s="5"/>
      <c r="C257" s="5"/>
      <c r="D257" s="5"/>
      <c r="E257" s="5"/>
      <c r="F257" s="5"/>
      <c r="G257" s="5"/>
      <c r="H257" s="5"/>
      <c r="I257" s="9"/>
      <c r="J257" s="24"/>
      <c r="K257" s="5"/>
      <c r="L257" s="5"/>
      <c r="M257" s="5"/>
    </row>
    <row r="258" spans="1:13" x14ac:dyDescent="0.25">
      <c r="A258" s="8"/>
      <c r="B258" s="5"/>
      <c r="C258" s="5"/>
      <c r="D258" s="5"/>
      <c r="E258" s="5"/>
      <c r="F258" s="5"/>
      <c r="G258" s="5"/>
      <c r="H258" s="5"/>
      <c r="I258" s="9"/>
      <c r="J258" s="24"/>
      <c r="K258" s="5"/>
      <c r="L258" s="5"/>
      <c r="M258" s="5"/>
    </row>
    <row r="259" spans="1:13" x14ac:dyDescent="0.25">
      <c r="A259" s="8"/>
      <c r="B259" s="5"/>
      <c r="C259" s="5"/>
      <c r="D259" s="5"/>
      <c r="E259" s="5"/>
      <c r="F259" s="5"/>
      <c r="G259" s="5"/>
      <c r="H259" s="5"/>
      <c r="I259" s="9"/>
      <c r="J259" s="24"/>
      <c r="K259" s="5"/>
      <c r="L259" s="5"/>
      <c r="M259" s="5"/>
    </row>
    <row r="260" spans="1:13" x14ac:dyDescent="0.25">
      <c r="A260" s="8"/>
      <c r="B260" s="5"/>
      <c r="C260" s="5"/>
      <c r="D260" s="5"/>
      <c r="E260" s="5"/>
      <c r="F260" s="5"/>
      <c r="G260" s="5"/>
      <c r="H260" s="5"/>
      <c r="I260" s="9"/>
      <c r="J260" s="24"/>
      <c r="K260" s="5"/>
      <c r="L260" s="5"/>
      <c r="M260" s="5"/>
    </row>
    <row r="261" spans="1:13" x14ac:dyDescent="0.25">
      <c r="A261" s="8"/>
      <c r="B261" s="5"/>
      <c r="C261" s="5"/>
      <c r="D261" s="5"/>
      <c r="E261" s="5"/>
      <c r="F261" s="5"/>
      <c r="G261" s="5"/>
      <c r="H261" s="5"/>
      <c r="I261" s="9"/>
      <c r="J261" s="24"/>
      <c r="K261" s="5"/>
      <c r="L261" s="5"/>
      <c r="M261" s="5"/>
    </row>
    <row r="262" spans="1:13" x14ac:dyDescent="0.25">
      <c r="A262" s="8"/>
      <c r="B262" s="5"/>
      <c r="C262" s="5"/>
      <c r="D262" s="5"/>
      <c r="E262" s="5"/>
      <c r="F262" s="5"/>
      <c r="G262" s="5"/>
      <c r="H262" s="5"/>
      <c r="I262" s="9"/>
      <c r="J262" s="24"/>
      <c r="K262" s="5"/>
      <c r="L262" s="5"/>
      <c r="M262" s="5"/>
    </row>
    <row r="263" spans="1:13" x14ac:dyDescent="0.25">
      <c r="A263" s="8"/>
      <c r="B263" s="5"/>
      <c r="C263" s="5"/>
      <c r="D263" s="5"/>
      <c r="E263" s="5"/>
      <c r="F263" s="5"/>
      <c r="G263" s="5"/>
      <c r="H263" s="5"/>
      <c r="I263" s="9"/>
      <c r="J263" s="24"/>
      <c r="K263" s="5"/>
      <c r="L263" s="5"/>
      <c r="M263" s="5"/>
    </row>
    <row r="264" spans="1:13" x14ac:dyDescent="0.25">
      <c r="A264" s="8"/>
      <c r="B264" s="5"/>
      <c r="C264" s="5"/>
      <c r="D264" s="5"/>
      <c r="E264" s="5"/>
      <c r="F264" s="5"/>
      <c r="G264" s="5"/>
      <c r="H264" s="5"/>
      <c r="I264" s="9"/>
      <c r="J264" s="24"/>
      <c r="K264" s="5"/>
      <c r="L264" s="5"/>
      <c r="M264" s="5"/>
    </row>
    <row r="265" spans="1:13" x14ac:dyDescent="0.25">
      <c r="A265" s="8"/>
      <c r="B265" s="5"/>
      <c r="C265" s="5"/>
      <c r="D265" s="5"/>
      <c r="E265" s="5"/>
      <c r="F265" s="5"/>
      <c r="G265" s="5"/>
      <c r="H265" s="5"/>
      <c r="I265" s="9"/>
      <c r="J265" s="24"/>
      <c r="K265" s="5"/>
      <c r="L265" s="5"/>
      <c r="M265" s="5"/>
    </row>
    <row r="266" spans="1:13" x14ac:dyDescent="0.25">
      <c r="A266" s="8"/>
      <c r="B266" s="5"/>
      <c r="C266" s="5"/>
      <c r="D266" s="5"/>
      <c r="E266" s="5"/>
      <c r="F266" s="5"/>
      <c r="G266" s="5"/>
      <c r="H266" s="5"/>
      <c r="I266" s="9"/>
      <c r="J266" s="24"/>
      <c r="K266" s="5"/>
      <c r="L266" s="5"/>
      <c r="M266" s="5"/>
    </row>
    <row r="267" spans="1:13" x14ac:dyDescent="0.25">
      <c r="A267" s="8"/>
      <c r="B267" s="5"/>
      <c r="C267" s="5"/>
      <c r="D267" s="5"/>
      <c r="E267" s="5"/>
      <c r="F267" s="5"/>
      <c r="G267" s="5"/>
      <c r="H267" s="5"/>
      <c r="I267" s="9"/>
      <c r="J267" s="24"/>
      <c r="K267" s="5"/>
      <c r="L267" s="5"/>
      <c r="M267" s="5"/>
    </row>
    <row r="268" spans="1:13" x14ac:dyDescent="0.25">
      <c r="A268" s="8"/>
      <c r="B268" s="5"/>
      <c r="C268" s="5"/>
      <c r="D268" s="5"/>
      <c r="E268" s="5"/>
      <c r="F268" s="5"/>
      <c r="G268" s="5"/>
      <c r="H268" s="5"/>
      <c r="I268" s="9"/>
      <c r="J268" s="24"/>
      <c r="K268" s="5"/>
      <c r="L268" s="5"/>
      <c r="M268" s="5"/>
    </row>
    <row r="269" spans="1:13" x14ac:dyDescent="0.25">
      <c r="A269" s="8"/>
      <c r="B269" s="5"/>
      <c r="C269" s="5"/>
      <c r="D269" s="5"/>
      <c r="E269" s="5"/>
      <c r="F269" s="5"/>
      <c r="G269" s="5"/>
      <c r="H269" s="5"/>
      <c r="I269" s="9"/>
      <c r="J269" s="24"/>
      <c r="K269" s="5"/>
      <c r="L269" s="5"/>
      <c r="M269" s="5"/>
    </row>
    <row r="270" spans="1:13" x14ac:dyDescent="0.25">
      <c r="A270" s="8"/>
      <c r="B270" s="5"/>
      <c r="C270" s="5"/>
      <c r="D270" s="5"/>
      <c r="E270" s="5"/>
      <c r="F270" s="5"/>
      <c r="G270" s="5"/>
      <c r="H270" s="5"/>
      <c r="I270" s="9"/>
      <c r="J270" s="24"/>
      <c r="K270" s="5"/>
      <c r="L270" s="5"/>
      <c r="M270" s="5"/>
    </row>
    <row r="271" spans="1:13" x14ac:dyDescent="0.25">
      <c r="A271" s="8"/>
      <c r="B271" s="5"/>
      <c r="C271" s="5"/>
      <c r="D271" s="5"/>
      <c r="E271" s="5"/>
      <c r="F271" s="5"/>
      <c r="G271" s="5"/>
      <c r="H271" s="5"/>
      <c r="I271" s="9"/>
      <c r="J271" s="24"/>
      <c r="K271" s="5"/>
      <c r="L271" s="5"/>
      <c r="M271" s="5"/>
    </row>
    <row r="272" spans="1:13" x14ac:dyDescent="0.25">
      <c r="A272" s="8"/>
      <c r="B272" s="5"/>
      <c r="C272" s="5"/>
      <c r="D272" s="5"/>
      <c r="E272" s="5"/>
      <c r="F272" s="5"/>
      <c r="G272" s="5"/>
      <c r="H272" s="5"/>
      <c r="I272" s="9"/>
      <c r="J272" s="24"/>
      <c r="K272" s="5"/>
      <c r="L272" s="5"/>
      <c r="M272" s="5"/>
    </row>
    <row r="273" spans="1:13" x14ac:dyDescent="0.25">
      <c r="A273" s="8"/>
      <c r="B273" s="5"/>
      <c r="C273" s="5"/>
      <c r="D273" s="5"/>
      <c r="E273" s="5"/>
      <c r="F273" s="5"/>
      <c r="G273" s="5"/>
      <c r="H273" s="5"/>
      <c r="I273" s="9"/>
      <c r="J273" s="24"/>
      <c r="K273" s="5"/>
      <c r="L273" s="5"/>
      <c r="M273" s="5"/>
    </row>
    <row r="274" spans="1:13" x14ac:dyDescent="0.25">
      <c r="A274" s="8"/>
      <c r="B274" s="5"/>
      <c r="C274" s="5"/>
      <c r="D274" s="5"/>
      <c r="E274" s="5"/>
      <c r="F274" s="5"/>
      <c r="G274" s="5"/>
      <c r="H274" s="5"/>
      <c r="I274" s="9"/>
      <c r="J274" s="24"/>
      <c r="K274" s="5"/>
      <c r="L274" s="5"/>
      <c r="M274" s="5"/>
    </row>
    <row r="275" spans="1:13" x14ac:dyDescent="0.25">
      <c r="A275" s="8"/>
      <c r="B275" s="5"/>
      <c r="C275" s="5"/>
      <c r="D275" s="5"/>
      <c r="E275" s="5"/>
      <c r="F275" s="5"/>
      <c r="G275" s="5"/>
      <c r="H275" s="5"/>
      <c r="I275" s="9"/>
      <c r="J275" s="24"/>
      <c r="K275" s="5"/>
      <c r="L275" s="5"/>
      <c r="M275" s="5"/>
    </row>
    <row r="276" spans="1:13" x14ac:dyDescent="0.25">
      <c r="A276" s="8"/>
      <c r="B276" s="5"/>
      <c r="C276" s="5"/>
      <c r="D276" s="5"/>
      <c r="E276" s="5"/>
      <c r="F276" s="5"/>
      <c r="G276" s="5"/>
      <c r="H276" s="5"/>
      <c r="I276" s="9"/>
      <c r="J276" s="24"/>
      <c r="K276" s="5"/>
      <c r="L276" s="5"/>
      <c r="M276" s="5"/>
    </row>
    <row r="277" spans="1:13" x14ac:dyDescent="0.25">
      <c r="A277" s="8"/>
      <c r="B277" s="5"/>
      <c r="C277" s="5"/>
      <c r="D277" s="5"/>
      <c r="E277" s="5"/>
      <c r="F277" s="5"/>
      <c r="G277" s="5"/>
      <c r="H277" s="5"/>
      <c r="I277" s="9"/>
      <c r="J277" s="24"/>
      <c r="K277" s="5"/>
      <c r="L277" s="5"/>
      <c r="M277" s="5"/>
    </row>
    <row r="278" spans="1:13" x14ac:dyDescent="0.25">
      <c r="A278" s="8"/>
      <c r="B278" s="5"/>
      <c r="C278" s="5"/>
      <c r="D278" s="5"/>
      <c r="E278" s="5"/>
      <c r="F278" s="5"/>
      <c r="G278" s="5"/>
      <c r="H278" s="5"/>
      <c r="I278" s="9"/>
      <c r="J278" s="24"/>
      <c r="K278" s="5"/>
      <c r="L278" s="5"/>
      <c r="M278" s="5"/>
    </row>
    <row r="279" spans="1:13" x14ac:dyDescent="0.25">
      <c r="A279" s="8"/>
      <c r="B279" s="5"/>
      <c r="C279" s="5"/>
      <c r="D279" s="5"/>
      <c r="E279" s="5"/>
      <c r="F279" s="5"/>
      <c r="G279" s="5"/>
      <c r="H279" s="5"/>
      <c r="I279" s="9"/>
      <c r="J279" s="24"/>
      <c r="K279" s="5"/>
      <c r="L279" s="5"/>
      <c r="M279" s="5"/>
    </row>
    <row r="280" spans="1:13" x14ac:dyDescent="0.25">
      <c r="A280" s="8"/>
      <c r="B280" s="5"/>
      <c r="C280" s="5"/>
      <c r="D280" s="5"/>
      <c r="E280" s="5"/>
      <c r="F280" s="5"/>
      <c r="G280" s="5"/>
      <c r="H280" s="5"/>
      <c r="I280" s="9"/>
      <c r="J280" s="24"/>
      <c r="K280" s="5"/>
      <c r="L280" s="5"/>
      <c r="M280" s="5"/>
    </row>
    <row r="281" spans="1:13" x14ac:dyDescent="0.25">
      <c r="A281" s="8"/>
      <c r="B281" s="5"/>
      <c r="C281" s="5"/>
      <c r="D281" s="5"/>
      <c r="E281" s="5"/>
      <c r="F281" s="5"/>
      <c r="G281" s="5"/>
      <c r="H281" s="5"/>
      <c r="I281" s="9"/>
      <c r="J281" s="24"/>
      <c r="K281" s="5"/>
      <c r="L281" s="5"/>
      <c r="M281" s="5"/>
    </row>
    <row r="282" spans="1:13" x14ac:dyDescent="0.25">
      <c r="A282" s="8"/>
      <c r="B282" s="5"/>
      <c r="C282" s="5"/>
      <c r="D282" s="5"/>
      <c r="E282" s="5"/>
      <c r="F282" s="5"/>
      <c r="G282" s="5"/>
      <c r="H282" s="5"/>
      <c r="I282" s="9"/>
      <c r="J282" s="24"/>
      <c r="K282" s="5"/>
      <c r="L282" s="5"/>
      <c r="M282" s="5"/>
    </row>
    <row r="283" spans="1:13" x14ac:dyDescent="0.25">
      <c r="A283" s="8"/>
      <c r="B283" s="5"/>
      <c r="C283" s="5"/>
      <c r="D283" s="5"/>
      <c r="E283" s="5"/>
      <c r="F283" s="5"/>
      <c r="G283" s="5"/>
      <c r="H283" s="5"/>
      <c r="I283" s="9"/>
      <c r="J283" s="24"/>
      <c r="K283" s="5"/>
      <c r="L283" s="5"/>
      <c r="M283" s="5"/>
    </row>
    <row r="284" spans="1:13" x14ac:dyDescent="0.25">
      <c r="A284" s="8"/>
      <c r="B284" s="5"/>
      <c r="C284" s="5"/>
      <c r="D284" s="5"/>
      <c r="E284" s="5"/>
      <c r="F284" s="5"/>
      <c r="G284" s="5"/>
      <c r="H284" s="5"/>
      <c r="I284" s="9"/>
      <c r="J284" s="24"/>
      <c r="K284" s="5"/>
      <c r="L284" s="5"/>
      <c r="M284" s="5"/>
    </row>
    <row r="285" spans="1:13" x14ac:dyDescent="0.25">
      <c r="A285" s="8"/>
      <c r="B285" s="5"/>
      <c r="C285" s="5"/>
      <c r="D285" s="5"/>
      <c r="E285" s="5"/>
      <c r="F285" s="5"/>
      <c r="G285" s="5"/>
      <c r="H285" s="5"/>
      <c r="I285" s="9"/>
      <c r="J285" s="24"/>
      <c r="K285" s="5"/>
      <c r="L285" s="5"/>
      <c r="M285" s="5"/>
    </row>
    <row r="286" spans="1:13" x14ac:dyDescent="0.25">
      <c r="A286" s="8"/>
      <c r="B286" s="5"/>
      <c r="C286" s="5"/>
      <c r="D286" s="5"/>
      <c r="E286" s="5"/>
      <c r="F286" s="5"/>
      <c r="G286" s="5"/>
      <c r="H286" s="5"/>
      <c r="I286" s="9"/>
      <c r="J286" s="24"/>
      <c r="K286" s="5"/>
      <c r="L286" s="5"/>
      <c r="M286" s="5"/>
    </row>
    <row r="287" spans="1:13" x14ac:dyDescent="0.25">
      <c r="A287" s="8"/>
      <c r="B287" s="5"/>
      <c r="C287" s="5"/>
      <c r="D287" s="5"/>
      <c r="E287" s="5"/>
      <c r="F287" s="5"/>
      <c r="G287" s="5"/>
      <c r="H287" s="5"/>
      <c r="I287" s="9"/>
      <c r="J287" s="24"/>
      <c r="K287" s="5"/>
      <c r="L287" s="5"/>
      <c r="M287" s="5"/>
    </row>
    <row r="288" spans="1:13" x14ac:dyDescent="0.25">
      <c r="A288" s="8"/>
      <c r="B288" s="5"/>
      <c r="C288" s="5"/>
      <c r="D288" s="5"/>
      <c r="E288" s="5"/>
      <c r="F288" s="5"/>
      <c r="G288" s="5"/>
      <c r="H288" s="5"/>
      <c r="I288" s="9"/>
      <c r="J288" s="24"/>
      <c r="K288" s="5"/>
      <c r="L288" s="5"/>
      <c r="M288" s="5"/>
    </row>
    <row r="289" spans="1:13" x14ac:dyDescent="0.25">
      <c r="A289" s="8"/>
      <c r="B289" s="5"/>
      <c r="C289" s="5"/>
      <c r="D289" s="5"/>
      <c r="E289" s="5"/>
      <c r="F289" s="5"/>
      <c r="G289" s="5"/>
      <c r="H289" s="5"/>
      <c r="I289" s="9"/>
      <c r="J289" s="24"/>
      <c r="K289" s="5"/>
      <c r="L289" s="5"/>
      <c r="M289" s="5"/>
    </row>
    <row r="290" spans="1:13" x14ac:dyDescent="0.25">
      <c r="A290" s="8"/>
      <c r="B290" s="5"/>
      <c r="C290" s="5"/>
      <c r="D290" s="5"/>
      <c r="E290" s="5"/>
      <c r="F290" s="5"/>
      <c r="G290" s="5"/>
      <c r="H290" s="5"/>
      <c r="I290" s="9"/>
      <c r="J290" s="24"/>
      <c r="K290" s="5"/>
      <c r="L290" s="5"/>
      <c r="M290" s="5"/>
    </row>
    <row r="291" spans="1:13" x14ac:dyDescent="0.25">
      <c r="A291" s="8"/>
      <c r="B291" s="5"/>
      <c r="C291" s="5"/>
      <c r="D291" s="5"/>
      <c r="E291" s="5"/>
      <c r="F291" s="5"/>
      <c r="G291" s="5"/>
      <c r="H291" s="5"/>
      <c r="I291" s="9"/>
      <c r="J291" s="24"/>
      <c r="K291" s="5"/>
      <c r="L291" s="5"/>
      <c r="M291" s="5"/>
    </row>
    <row r="292" spans="1:13" x14ac:dyDescent="0.25">
      <c r="A292" s="8"/>
      <c r="B292" s="5"/>
      <c r="C292" s="5"/>
      <c r="D292" s="5"/>
      <c r="E292" s="5"/>
      <c r="F292" s="5"/>
      <c r="G292" s="5"/>
      <c r="H292" s="5"/>
      <c r="I292" s="9"/>
      <c r="J292" s="24"/>
      <c r="K292" s="5"/>
      <c r="L292" s="5"/>
      <c r="M292" s="5"/>
    </row>
    <row r="293" spans="1:13" x14ac:dyDescent="0.25">
      <c r="A293" s="8"/>
      <c r="B293" s="5"/>
      <c r="C293" s="5"/>
      <c r="D293" s="5"/>
      <c r="E293" s="5"/>
      <c r="F293" s="5"/>
      <c r="G293" s="5"/>
      <c r="H293" s="5"/>
      <c r="I293" s="9"/>
      <c r="J293" s="24"/>
      <c r="K293" s="5"/>
      <c r="L293" s="5"/>
      <c r="M293" s="5"/>
    </row>
    <row r="294" spans="1:13" x14ac:dyDescent="0.25">
      <c r="A294" s="8"/>
      <c r="B294" s="5"/>
      <c r="C294" s="5"/>
      <c r="D294" s="5"/>
      <c r="E294" s="5"/>
      <c r="F294" s="5"/>
      <c r="G294" s="5"/>
      <c r="H294" s="5"/>
      <c r="I294" s="9"/>
      <c r="J294" s="24"/>
      <c r="K294" s="5"/>
      <c r="L294" s="5"/>
      <c r="M294" s="5"/>
    </row>
    <row r="295" spans="1:13" x14ac:dyDescent="0.25">
      <c r="A295" s="8"/>
      <c r="B295" s="5"/>
      <c r="C295" s="5"/>
      <c r="D295" s="5"/>
      <c r="E295" s="5"/>
      <c r="F295" s="5"/>
      <c r="G295" s="5"/>
      <c r="H295" s="5"/>
      <c r="I295" s="9"/>
      <c r="J295" s="24"/>
      <c r="K295" s="5"/>
      <c r="L295" s="5"/>
      <c r="M295" s="5"/>
    </row>
    <row r="296" spans="1:13" x14ac:dyDescent="0.25">
      <c r="A296" s="8"/>
      <c r="B296" s="5"/>
      <c r="C296" s="5"/>
      <c r="D296" s="5"/>
      <c r="E296" s="5"/>
      <c r="F296" s="5"/>
      <c r="G296" s="5"/>
      <c r="H296" s="5"/>
      <c r="I296" s="9"/>
      <c r="J296" s="24"/>
      <c r="K296" s="5"/>
      <c r="L296" s="5"/>
      <c r="M296" s="5"/>
    </row>
    <row r="297" spans="1:13" x14ac:dyDescent="0.25">
      <c r="A297" s="8"/>
      <c r="B297" s="5"/>
      <c r="C297" s="5"/>
      <c r="D297" s="5"/>
      <c r="E297" s="5"/>
      <c r="F297" s="5"/>
      <c r="G297" s="5"/>
      <c r="H297" s="5"/>
      <c r="I297" s="9"/>
      <c r="J297" s="24"/>
      <c r="K297" s="5"/>
      <c r="L297" s="5"/>
      <c r="M297" s="5"/>
    </row>
    <row r="298" spans="1:13" x14ac:dyDescent="0.25">
      <c r="A298" s="8"/>
      <c r="B298" s="5"/>
      <c r="C298" s="5"/>
      <c r="D298" s="5"/>
      <c r="E298" s="5"/>
      <c r="F298" s="5"/>
      <c r="G298" s="5"/>
      <c r="H298" s="5"/>
      <c r="I298" s="9"/>
      <c r="J298" s="24"/>
      <c r="K298" s="5"/>
      <c r="L298" s="5"/>
      <c r="M298" s="5"/>
    </row>
    <row r="299" spans="1:13" x14ac:dyDescent="0.25">
      <c r="A299" s="8"/>
      <c r="B299" s="5"/>
      <c r="C299" s="5"/>
      <c r="D299" s="5"/>
      <c r="E299" s="5"/>
      <c r="F299" s="5"/>
      <c r="G299" s="5"/>
      <c r="H299" s="5"/>
      <c r="I299" s="9"/>
      <c r="J299" s="24"/>
      <c r="K299" s="5"/>
      <c r="L299" s="5"/>
      <c r="M299" s="5"/>
    </row>
    <row r="300" spans="1:13" x14ac:dyDescent="0.25">
      <c r="A300" s="10"/>
      <c r="B300" s="7"/>
      <c r="C300" s="7"/>
      <c r="D300" s="7"/>
      <c r="E300" s="7"/>
      <c r="F300" s="7"/>
      <c r="G300" s="7"/>
      <c r="H300" s="7"/>
      <c r="I300" s="21"/>
      <c r="J300" s="24"/>
      <c r="K300" s="7"/>
      <c r="L300" s="7"/>
      <c r="M300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2"/>
  <sheetViews>
    <sheetView workbookViewId="0">
      <selection activeCell="G52" sqref="G52"/>
    </sheetView>
  </sheetViews>
  <sheetFormatPr defaultRowHeight="15" x14ac:dyDescent="0.25"/>
  <cols>
    <col min="1" max="1" width="9.85546875" bestFit="1" customWidth="1"/>
    <col min="2" max="2" width="13.28515625" bestFit="1" customWidth="1"/>
    <col min="4" max="4" width="12.42578125" bestFit="1" customWidth="1"/>
    <col min="5" max="5" width="9.28515625" bestFit="1" customWidth="1"/>
    <col min="6" max="6" width="11" bestFit="1" customWidth="1"/>
  </cols>
  <sheetData>
    <row r="1" spans="1:8" x14ac:dyDescent="0.25">
      <c r="A1" s="6" t="s">
        <v>0</v>
      </c>
      <c r="B1" s="6" t="s">
        <v>1</v>
      </c>
      <c r="C1" s="6" t="s">
        <v>522</v>
      </c>
    </row>
    <row r="2" spans="1:8" x14ac:dyDescent="0.25">
      <c r="A2" s="5" t="s">
        <v>39</v>
      </c>
      <c r="B2" s="5" t="s">
        <v>523</v>
      </c>
      <c r="C2" s="5">
        <v>500</v>
      </c>
      <c r="H2" t="s">
        <v>527</v>
      </c>
    </row>
    <row r="3" spans="1:8" x14ac:dyDescent="0.25">
      <c r="A3" s="5" t="s">
        <v>40</v>
      </c>
      <c r="B3" s="5" t="s">
        <v>524</v>
      </c>
      <c r="C3" s="5">
        <v>450</v>
      </c>
    </row>
    <row r="4" spans="1:8" x14ac:dyDescent="0.25">
      <c r="A4" s="5" t="s">
        <v>41</v>
      </c>
      <c r="B4" s="5" t="s">
        <v>525</v>
      </c>
      <c r="C4" s="5">
        <v>500</v>
      </c>
    </row>
    <row r="6" spans="1:8" x14ac:dyDescent="0.25">
      <c r="B6" t="str">
        <f>VLOOKUP("P001",A2:C4,2,FALSE)</f>
        <v>Coca-Cola</v>
      </c>
    </row>
    <row r="7" spans="1:8" x14ac:dyDescent="0.25">
      <c r="B7" t="str">
        <f>VLOOKUP("P002",A2:C4,2,FALSE)</f>
        <v>Pepsi</v>
      </c>
    </row>
    <row r="8" spans="1:8" x14ac:dyDescent="0.25">
      <c r="B8">
        <f>VLOOKUP("P003",A2:C4,3,FALSE)</f>
        <v>500</v>
      </c>
      <c r="D8" t="str">
        <f>INDEX(A2:A4,MATCH("Fanta",B2:B4,0))</f>
        <v>P003</v>
      </c>
    </row>
    <row r="9" spans="1:8" x14ac:dyDescent="0.25">
      <c r="B9">
        <f>VLOOKUP("P001",A2:C4,3,FALSE)</f>
        <v>500</v>
      </c>
    </row>
    <row r="10" spans="1:8" x14ac:dyDescent="0.25">
      <c r="B10" t="e">
        <f>VLOOKUP("Fanta",A2:C4,1,FALSE)</f>
        <v>#N/A</v>
      </c>
    </row>
    <row r="11" spans="1:8" x14ac:dyDescent="0.25">
      <c r="B11">
        <f>MATCH("Fanta",B2:B4,0)</f>
        <v>3</v>
      </c>
    </row>
    <row r="12" spans="1:8" x14ac:dyDescent="0.25">
      <c r="B12" t="str">
        <f>INDEX(A2:A4,3)</f>
        <v>P003</v>
      </c>
    </row>
    <row r="13" spans="1:8" x14ac:dyDescent="0.25">
      <c r="B13" t="str">
        <f>INDEX(A2:A4,MATCH("Fanta",B2:B4,0))</f>
        <v>P003</v>
      </c>
    </row>
    <row r="14" spans="1:8" x14ac:dyDescent="0.25">
      <c r="B14" s="87"/>
    </row>
    <row r="15" spans="1:8" x14ac:dyDescent="0.25">
      <c r="B15" t="str">
        <f>INDEX(A2:A4,MATCH("Coca-Cola",B2:B4,0))</f>
        <v>P001</v>
      </c>
    </row>
    <row r="16" spans="1:8" x14ac:dyDescent="0.25">
      <c r="B16" t="str">
        <f>INDEX(A2:A4,MATCH("Pepsi",B2:B4,0))</f>
        <v>P002</v>
      </c>
    </row>
    <row r="17" spans="2:2" x14ac:dyDescent="0.25">
      <c r="B17">
        <f>INDEX(C2:C4,MATCH("Fanta",B2:B4,0))</f>
        <v>500</v>
      </c>
    </row>
    <row r="18" spans="2:2" x14ac:dyDescent="0.25">
      <c r="B18">
        <f>INDEX(C2:C4,MATCH("Pepsi",B2:B4,0))</f>
        <v>450</v>
      </c>
    </row>
    <row r="19" spans="2:2" x14ac:dyDescent="0.25">
      <c r="B19" t="str">
        <f>INDEX(B2:B4,MATCH("P001",A2:A4,0))</f>
        <v>Coca-Cola</v>
      </c>
    </row>
    <row r="20" spans="2:2" x14ac:dyDescent="0.25">
      <c r="B20">
        <f>INDEX(C2:C4,MATCH("P002",A2:A4,0))</f>
        <v>450</v>
      </c>
    </row>
    <row r="22" spans="2:2" x14ac:dyDescent="0.25">
      <c r="B22">
        <f>INDEX(C2:C4,MATCH("Coca-Cola",B2:B4,0))</f>
        <v>500</v>
      </c>
    </row>
    <row r="23" spans="2:2" x14ac:dyDescent="0.25">
      <c r="B23" t="str">
        <f>INDEX(A2:A4,MATCH("Fanta",B2:B4,0))</f>
        <v>P003</v>
      </c>
    </row>
    <row r="24" spans="2:2" x14ac:dyDescent="0.25">
      <c r="B24" t="str">
        <f>INDEX(B2:B4,MATCH("P002",A2:A4,0))</f>
        <v>Pepsi</v>
      </c>
    </row>
    <row r="26" spans="2:2" x14ac:dyDescent="0.25">
      <c r="B26" t="str">
        <f>INDEX(B2:B4,MATCH("P003",A2:A4,0))</f>
        <v>Fanta</v>
      </c>
    </row>
    <row r="27" spans="2:2" x14ac:dyDescent="0.25">
      <c r="B27" t="str">
        <f>INDEX(A2:A4,MATCH("Coca-Cola",B2:B4,0))</f>
        <v>P001</v>
      </c>
    </row>
    <row r="28" spans="2:2" x14ac:dyDescent="0.25">
      <c r="B28">
        <f>INDEX(C2:C4,MATCH("Pepsi",B2:B4,0))</f>
        <v>450</v>
      </c>
    </row>
    <row r="29" spans="2:2" x14ac:dyDescent="0.25">
      <c r="B29" t="str">
        <f>INDEX(B2:B4,MATCH("P001",A2:A4,0))</f>
        <v>Coca-Cola</v>
      </c>
    </row>
    <row r="43" spans="1:6" x14ac:dyDescent="0.25">
      <c r="A43" s="6" t="s">
        <v>0</v>
      </c>
      <c r="B43" s="6" t="s">
        <v>1</v>
      </c>
      <c r="C43" s="6" t="s">
        <v>2</v>
      </c>
      <c r="D43" s="6" t="s">
        <v>107</v>
      </c>
      <c r="E43" s="6" t="s">
        <v>4</v>
      </c>
      <c r="F43" s="6" t="s">
        <v>5</v>
      </c>
    </row>
    <row r="44" spans="1:6" x14ac:dyDescent="0.25">
      <c r="A44" s="5" t="s">
        <v>526</v>
      </c>
      <c r="B44" s="5" t="s">
        <v>523</v>
      </c>
      <c r="C44" s="5" t="s">
        <v>8</v>
      </c>
      <c r="D44" s="5">
        <v>50</v>
      </c>
      <c r="E44" s="5">
        <v>400</v>
      </c>
      <c r="F44" s="5">
        <v>500</v>
      </c>
    </row>
    <row r="45" spans="1:6" x14ac:dyDescent="0.25">
      <c r="A45" s="5" t="s">
        <v>527</v>
      </c>
      <c r="B45" s="5" t="s">
        <v>524</v>
      </c>
      <c r="C45" s="5" t="s">
        <v>8</v>
      </c>
      <c r="D45" s="5">
        <v>35</v>
      </c>
      <c r="E45" s="5">
        <v>350</v>
      </c>
      <c r="F45" s="5">
        <v>450</v>
      </c>
    </row>
    <row r="46" spans="1:6" x14ac:dyDescent="0.25">
      <c r="A46" s="5" t="s">
        <v>528</v>
      </c>
      <c r="B46" s="5" t="s">
        <v>525</v>
      </c>
      <c r="C46" s="5" t="s">
        <v>8</v>
      </c>
      <c r="D46" s="5">
        <v>40</v>
      </c>
      <c r="E46" s="5">
        <v>400</v>
      </c>
      <c r="F46" s="5">
        <v>500</v>
      </c>
    </row>
    <row r="47" spans="1:6" x14ac:dyDescent="0.25">
      <c r="A47" s="5" t="s">
        <v>529</v>
      </c>
      <c r="B47" s="5" t="s">
        <v>531</v>
      </c>
      <c r="C47" s="5" t="s">
        <v>12</v>
      </c>
      <c r="D47" s="5">
        <v>60</v>
      </c>
      <c r="E47" s="5">
        <v>450</v>
      </c>
      <c r="F47" s="5">
        <v>600</v>
      </c>
    </row>
    <row r="48" spans="1:6" x14ac:dyDescent="0.25">
      <c r="A48" s="5" t="s">
        <v>530</v>
      </c>
      <c r="B48" s="5" t="s">
        <v>532</v>
      </c>
      <c r="C48" s="5" t="s">
        <v>533</v>
      </c>
      <c r="D48" s="5">
        <v>25</v>
      </c>
      <c r="E48" s="5">
        <v>700</v>
      </c>
      <c r="F48" s="5">
        <v>850</v>
      </c>
    </row>
    <row r="50" spans="1:5" x14ac:dyDescent="0.25">
      <c r="A50" s="1">
        <v>1</v>
      </c>
      <c r="B50" s="1" t="str">
        <f>INDEX(B44:B48,MATCH("P0004",A44:A48,0))</f>
        <v>Indomie</v>
      </c>
    </row>
    <row r="51" spans="1:5" x14ac:dyDescent="0.25">
      <c r="A51" s="1">
        <v>2</v>
      </c>
      <c r="B51" s="1">
        <f>INDEX(D44:D48,MATCH("P0004",A44:A48,0))</f>
        <v>60</v>
      </c>
      <c r="D51" s="1">
        <v>1</v>
      </c>
      <c r="E51">
        <f>INDEX(F44:F48,MATCH("P0004",A44:A48,0))</f>
        <v>600</v>
      </c>
    </row>
    <row r="52" spans="1:5" x14ac:dyDescent="0.25">
      <c r="A52" s="1">
        <v>3</v>
      </c>
      <c r="B52" s="1">
        <f>INDEX(E44:E48,MATCH("P0002",A44:A48,0))</f>
        <v>350</v>
      </c>
      <c r="D52" s="1">
        <v>2</v>
      </c>
      <c r="E52">
        <f>INDEX(E44:E48,MATCH("Peak Milk",B44:B48,0))</f>
        <v>700</v>
      </c>
    </row>
    <row r="53" spans="1:5" x14ac:dyDescent="0.25">
      <c r="A53" s="1">
        <v>4</v>
      </c>
      <c r="B53" s="1" t="str">
        <f>INDEX(B44:B48,MATCH("P0005",A44:A48,0))</f>
        <v>Peak Milk</v>
      </c>
      <c r="D53" s="1">
        <v>3</v>
      </c>
      <c r="E53">
        <f>INDEX(D44:D48,MATCH("P0002",A44:A48,0))</f>
        <v>35</v>
      </c>
    </row>
    <row r="54" spans="1:5" x14ac:dyDescent="0.25">
      <c r="A54" s="1">
        <v>5</v>
      </c>
      <c r="B54" s="1">
        <f>INDEX(F44:F48,MATCH("P0003",A44:A48,0))</f>
        <v>500</v>
      </c>
      <c r="D54" s="1">
        <v>4</v>
      </c>
      <c r="E54">
        <f>INDEX(E44:E48,MATCH("Fanta",B44:B48,0))</f>
        <v>400</v>
      </c>
    </row>
    <row r="55" spans="1:5" x14ac:dyDescent="0.25">
      <c r="A55" s="1">
        <v>6</v>
      </c>
      <c r="B55" s="1"/>
      <c r="D55" s="1">
        <v>5</v>
      </c>
      <c r="E55">
        <f>INDEX(F44:F48,MATCH("P0005",A44:A48,0))</f>
        <v>850</v>
      </c>
    </row>
    <row r="56" spans="1:5" x14ac:dyDescent="0.25">
      <c r="A56" s="1">
        <v>7</v>
      </c>
      <c r="B56" s="1"/>
      <c r="D56" s="1">
        <v>6</v>
      </c>
      <c r="E56">
        <f>INDEX(D44:D48,MATCH("Indomie",B44:B48,0))</f>
        <v>60</v>
      </c>
    </row>
    <row r="57" spans="1:5" x14ac:dyDescent="0.25">
      <c r="A57" s="1">
        <v>8</v>
      </c>
      <c r="B57" s="1"/>
      <c r="D57" s="1">
        <v>7</v>
      </c>
      <c r="E57">
        <f>INDEX(E44:E48,MATCH("P0004",A44:A48,0))</f>
        <v>450</v>
      </c>
    </row>
    <row r="58" spans="1:5" x14ac:dyDescent="0.25">
      <c r="A58" s="1">
        <v>9</v>
      </c>
      <c r="B58" s="1"/>
      <c r="D58" s="1">
        <v>8</v>
      </c>
      <c r="E58" t="str">
        <f>INDEX(A44:A48,MATCH("Peak Milk",B44:B48,0))</f>
        <v>P0005</v>
      </c>
    </row>
    <row r="59" spans="1:5" x14ac:dyDescent="0.25">
      <c r="A59" s="1">
        <v>10</v>
      </c>
      <c r="B59" s="1"/>
      <c r="D59" s="1">
        <v>9</v>
      </c>
      <c r="E59" t="str">
        <f>INDEX(B44:B48,MATCH("P0003",A44:A48,0))</f>
        <v>Fanta</v>
      </c>
    </row>
    <row r="60" spans="1:5" x14ac:dyDescent="0.25">
      <c r="D60" s="1">
        <v>10</v>
      </c>
      <c r="E60">
        <f>INDEX(F44:F48,MATCH(H2,A44:A48,0))</f>
        <v>450</v>
      </c>
    </row>
    <row r="61" spans="1:5" x14ac:dyDescent="0.25">
      <c r="E61" t="e">
        <f>INDEX(A44:A48,MATCH(H2,B44:B48,0))</f>
        <v>#N/A</v>
      </c>
    </row>
    <row r="62" spans="1:5" x14ac:dyDescent="0.25">
      <c r="E62">
        <f>INDEX(E44:E48,MATCH(H2,A44:A48,0))</f>
        <v>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20</vt:i4>
      </vt:variant>
    </vt:vector>
  </HeadingPairs>
  <TitlesOfParts>
    <vt:vector size="34" baseType="lpstr">
      <vt:lpstr>User Guide</vt:lpstr>
      <vt:lpstr>Dashboard</vt:lpstr>
      <vt:lpstr>Product Master</vt:lpstr>
      <vt:lpstr>Daily Sales Entry</vt:lpstr>
      <vt:lpstr>Stock Purchase</vt:lpstr>
      <vt:lpstr>Inventory</vt:lpstr>
      <vt:lpstr>Stock Adjustment</vt:lpstr>
      <vt:lpstr>Expenses</vt:lpstr>
      <vt:lpstr>Budget</vt:lpstr>
      <vt:lpstr>Suppliers</vt:lpstr>
      <vt:lpstr>REPORTS</vt:lpstr>
      <vt:lpstr>Product Search</vt:lpstr>
      <vt:lpstr>List</vt:lpstr>
      <vt:lpstr>Sheet1</vt:lpstr>
      <vt:lpstr>a</vt:lpstr>
      <vt:lpstr>AdjustmentTypes</vt:lpstr>
      <vt:lpstr>BudgetCategoryList</vt:lpstr>
      <vt:lpstr>CashierList</vt:lpstr>
      <vt:lpstr>CashierLists</vt:lpstr>
      <vt:lpstr>CategoryList</vt:lpstr>
      <vt:lpstr>CategoryLists</vt:lpstr>
      <vt:lpstr>DateList</vt:lpstr>
      <vt:lpstr>ddmmyyyy</vt:lpstr>
      <vt:lpstr>ECategoryList</vt:lpstr>
      <vt:lpstr>EPMethod</vt:lpstr>
      <vt:lpstr>ExpensesCategoryList</vt:lpstr>
      <vt:lpstr>PaymentMethodList</vt:lpstr>
      <vt:lpstr>ProductID</vt:lpstr>
      <vt:lpstr>ProductList</vt:lpstr>
      <vt:lpstr>ProductNames</vt:lpstr>
      <vt:lpstr>Statuslist</vt:lpstr>
      <vt:lpstr>SupplierList</vt:lpstr>
      <vt:lpstr>UnitofMeasures</vt:lpstr>
      <vt:lpstr>Uomlist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5</dc:creator>
  <cp:lastModifiedBy>tunde Sulaimon</cp:lastModifiedBy>
  <dcterms:created xsi:type="dcterms:W3CDTF">2026-07-27T09:39:13Z</dcterms:created>
  <dcterms:modified xsi:type="dcterms:W3CDTF">2026-09-02T19:54:51Z</dcterms:modified>
</cp:coreProperties>
</file>